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defaultThemeVersion="124226"/>
  <bookViews>
    <workbookView xWindow="120" yWindow="135" windowWidth="20115" windowHeight="7965" firstSheet="2" activeTab="2"/>
  </bookViews>
  <sheets>
    <sheet name="control" sheetId="5" state="hidden" r:id="rId1"/>
    <sheet name="Preguntas" sheetId="3" state="hidden" r:id="rId2"/>
    <sheet name="Configuración" sheetId="6" r:id="rId3"/>
    <sheet name="EXAMEN" sheetId="4" state="hidden" r:id="rId4"/>
    <sheet name="Respuestas" sheetId="7" state="hidden" r:id="rId5"/>
    <sheet name="Respuestas2" sheetId="8" state="hidden" r:id="rId6"/>
  </sheets>
  <definedNames>
    <definedName name="_xlnm._FilterDatabase" localSheetId="1" hidden="1">Preguntas!$A$1:$C$2976</definedName>
  </definedNames>
  <calcPr calcId="144525"/>
</workbook>
</file>

<file path=xl/calcChain.xml><?xml version="1.0" encoding="utf-8"?>
<calcChain xmlns="http://schemas.openxmlformats.org/spreadsheetml/2006/main">
  <c r="F18" i="5" l="1"/>
  <c r="E103" i="8"/>
  <c r="D103" i="8"/>
  <c r="E102" i="8"/>
  <c r="D102" i="8"/>
  <c r="E101" i="8"/>
  <c r="D101" i="8"/>
  <c r="E100" i="8"/>
  <c r="D100" i="8"/>
  <c r="E99" i="8"/>
  <c r="D99" i="8"/>
  <c r="E98" i="8"/>
  <c r="D98" i="8"/>
  <c r="E97" i="8"/>
  <c r="D97" i="8"/>
  <c r="E96" i="8"/>
  <c r="D96" i="8"/>
  <c r="E95" i="8"/>
  <c r="D95" i="8"/>
  <c r="E94" i="8"/>
  <c r="D94" i="8"/>
  <c r="E93" i="8"/>
  <c r="D93" i="8"/>
  <c r="E92" i="8"/>
  <c r="D92" i="8"/>
  <c r="E91" i="8"/>
  <c r="D91" i="8"/>
  <c r="E90" i="8"/>
  <c r="D90" i="8"/>
  <c r="E89" i="8"/>
  <c r="D89" i="8"/>
  <c r="E88" i="8"/>
  <c r="D88" i="8"/>
  <c r="E87" i="8"/>
  <c r="D87" i="8"/>
  <c r="E86" i="8"/>
  <c r="D86" i="8"/>
  <c r="E85" i="8"/>
  <c r="D85" i="8"/>
  <c r="E84" i="8"/>
  <c r="D84" i="8"/>
  <c r="E83" i="8"/>
  <c r="D83" i="8"/>
  <c r="E82" i="8"/>
  <c r="D82" i="8"/>
  <c r="E81" i="8"/>
  <c r="D81" i="8"/>
  <c r="E80" i="8"/>
  <c r="D80" i="8"/>
  <c r="E79" i="8"/>
  <c r="D79" i="8"/>
  <c r="E78" i="8"/>
  <c r="D78" i="8"/>
  <c r="E77" i="8"/>
  <c r="D77" i="8"/>
  <c r="E76" i="8"/>
  <c r="D76" i="8"/>
  <c r="E75" i="8"/>
  <c r="D75" i="8"/>
  <c r="E74" i="8"/>
  <c r="D74" i="8"/>
  <c r="E73" i="8"/>
  <c r="D73" i="8"/>
  <c r="E72" i="8"/>
  <c r="D72" i="8"/>
  <c r="E71" i="8"/>
  <c r="D71" i="8"/>
  <c r="E70" i="8"/>
  <c r="D70" i="8"/>
  <c r="E69" i="8"/>
  <c r="D69" i="8"/>
  <c r="E68" i="8"/>
  <c r="D68" i="8"/>
  <c r="E67" i="8"/>
  <c r="D67" i="8"/>
  <c r="E66" i="8"/>
  <c r="D66" i="8"/>
  <c r="E65" i="8"/>
  <c r="D65" i="8"/>
  <c r="E64" i="8"/>
  <c r="D64" i="8"/>
  <c r="E63" i="8"/>
  <c r="D63" i="8"/>
  <c r="E62" i="8"/>
  <c r="D62" i="8"/>
  <c r="E61" i="8"/>
  <c r="D61" i="8"/>
  <c r="E60" i="8"/>
  <c r="D60" i="8"/>
  <c r="E59" i="8"/>
  <c r="D59" i="8"/>
  <c r="E58" i="8"/>
  <c r="D58" i="8"/>
  <c r="E57" i="8"/>
  <c r="D57" i="8"/>
  <c r="E56" i="8"/>
  <c r="D56" i="8"/>
  <c r="E55" i="8"/>
  <c r="D55" i="8"/>
  <c r="E54" i="8"/>
  <c r="D54" i="8"/>
  <c r="E53" i="8"/>
  <c r="D53" i="8"/>
  <c r="E52" i="8"/>
  <c r="D52" i="8"/>
  <c r="E51" i="8"/>
  <c r="D51" i="8"/>
  <c r="E50" i="8"/>
  <c r="D50" i="8"/>
  <c r="E49" i="8"/>
  <c r="D49" i="8"/>
  <c r="E48" i="8"/>
  <c r="D48" i="8"/>
  <c r="E47" i="8"/>
  <c r="D47" i="8"/>
  <c r="E46" i="8"/>
  <c r="D46" i="8"/>
  <c r="E45" i="8"/>
  <c r="D45" i="8"/>
  <c r="E44" i="8"/>
  <c r="D44" i="8"/>
  <c r="E43" i="8"/>
  <c r="D43" i="8"/>
  <c r="E42" i="8"/>
  <c r="D42" i="8"/>
  <c r="E41" i="8"/>
  <c r="D41" i="8"/>
  <c r="E40" i="8"/>
  <c r="D40" i="8"/>
  <c r="E39" i="8"/>
  <c r="D39" i="8"/>
  <c r="E38" i="8"/>
  <c r="D38" i="8"/>
  <c r="E37" i="8"/>
  <c r="D37" i="8"/>
  <c r="E36" i="8"/>
  <c r="D36" i="8"/>
  <c r="E35" i="8"/>
  <c r="D35" i="8"/>
  <c r="E34" i="8"/>
  <c r="D34" i="8"/>
  <c r="E33" i="8"/>
  <c r="D33" i="8"/>
  <c r="E32" i="8"/>
  <c r="D32" i="8"/>
  <c r="E31" i="8"/>
  <c r="D31" i="8"/>
  <c r="E30" i="8"/>
  <c r="D30" i="8"/>
  <c r="E29" i="8"/>
  <c r="D29" i="8"/>
  <c r="E28" i="8"/>
  <c r="D28" i="8"/>
  <c r="E27" i="8"/>
  <c r="D27" i="8"/>
  <c r="E26" i="8"/>
  <c r="D26" i="8"/>
  <c r="E25" i="8"/>
  <c r="D25" i="8"/>
  <c r="E24" i="8"/>
  <c r="D24" i="8"/>
  <c r="E23" i="8"/>
  <c r="D23" i="8"/>
  <c r="E22" i="8"/>
  <c r="D22" i="8"/>
  <c r="E21" i="8"/>
  <c r="D21" i="8"/>
  <c r="E20" i="8"/>
  <c r="D20" i="8"/>
  <c r="E19" i="8"/>
  <c r="D19" i="8"/>
  <c r="E18" i="8"/>
  <c r="D18" i="8"/>
  <c r="E17" i="8"/>
  <c r="D17" i="8"/>
  <c r="E16" i="8"/>
  <c r="D16" i="8"/>
  <c r="E15" i="8"/>
  <c r="D15" i="8"/>
  <c r="E14" i="8"/>
  <c r="D14" i="8"/>
  <c r="E13" i="8"/>
  <c r="D13" i="8"/>
  <c r="E12" i="8"/>
  <c r="D12" i="8"/>
  <c r="E11" i="8"/>
  <c r="D11" i="8"/>
  <c r="E10" i="8"/>
  <c r="D10" i="8"/>
  <c r="E9" i="8"/>
  <c r="D9" i="8"/>
  <c r="E8" i="8"/>
  <c r="D8" i="8"/>
  <c r="E7" i="8"/>
  <c r="D7" i="8"/>
  <c r="E6" i="8"/>
  <c r="D6" i="8"/>
  <c r="E5" i="8"/>
  <c r="D5" i="8"/>
  <c r="D4" i="8"/>
  <c r="E4" i="8"/>
  <c r="F16" i="5" l="1"/>
  <c r="B16" i="4" s="1"/>
  <c r="G6" i="5"/>
  <c r="D2976" i="3"/>
  <c r="E2976" i="3" s="1"/>
  <c r="D2975" i="3"/>
  <c r="E2975" i="3" s="1"/>
  <c r="D2974" i="3"/>
  <c r="E2974" i="3" s="1"/>
  <c r="D2973" i="3"/>
  <c r="E2973" i="3" s="1"/>
  <c r="D2972" i="3"/>
  <c r="E2972" i="3" s="1"/>
  <c r="D2971" i="3"/>
  <c r="E2971" i="3" s="1"/>
  <c r="D2970" i="3"/>
  <c r="E2970" i="3" s="1"/>
  <c r="D2969" i="3"/>
  <c r="E2969" i="3" s="1"/>
  <c r="D2968" i="3"/>
  <c r="E2968" i="3" s="1"/>
  <c r="D2967" i="3"/>
  <c r="E2967" i="3" s="1"/>
  <c r="D2966" i="3"/>
  <c r="E2966" i="3" s="1"/>
  <c r="D2965" i="3"/>
  <c r="E2965" i="3" s="1"/>
  <c r="D2964" i="3"/>
  <c r="E2964" i="3" s="1"/>
  <c r="D2963" i="3"/>
  <c r="E2963" i="3" s="1"/>
  <c r="D2962" i="3"/>
  <c r="E2962" i="3" s="1"/>
  <c r="D2961" i="3"/>
  <c r="E2961" i="3" s="1"/>
  <c r="D2960" i="3"/>
  <c r="E2960" i="3" s="1"/>
  <c r="D2959" i="3"/>
  <c r="E2959" i="3" s="1"/>
  <c r="D2958" i="3"/>
  <c r="E2958" i="3" s="1"/>
  <c r="D2957" i="3"/>
  <c r="E2957" i="3" s="1"/>
  <c r="D2956" i="3"/>
  <c r="E2956" i="3" s="1"/>
  <c r="D2955" i="3"/>
  <c r="E2955" i="3" s="1"/>
  <c r="D2954" i="3"/>
  <c r="E2954" i="3" s="1"/>
  <c r="D2953" i="3"/>
  <c r="E2953" i="3" s="1"/>
  <c r="D2952" i="3"/>
  <c r="E2952" i="3" s="1"/>
  <c r="D2951" i="3"/>
  <c r="E2951" i="3" s="1"/>
  <c r="D2950" i="3"/>
  <c r="E2950" i="3" s="1"/>
  <c r="D2949" i="3"/>
  <c r="E2949" i="3" s="1"/>
  <c r="D2948" i="3"/>
  <c r="E2948" i="3" s="1"/>
  <c r="D2947" i="3"/>
  <c r="E2947" i="3" s="1"/>
  <c r="D2946" i="3"/>
  <c r="E2946" i="3" s="1"/>
  <c r="D2945" i="3"/>
  <c r="E2945" i="3" s="1"/>
  <c r="D2944" i="3"/>
  <c r="E2944" i="3" s="1"/>
  <c r="D2943" i="3"/>
  <c r="E2943" i="3" s="1"/>
  <c r="D2942" i="3"/>
  <c r="E2942" i="3" s="1"/>
  <c r="D2941" i="3"/>
  <c r="E2941" i="3" s="1"/>
  <c r="D2940" i="3"/>
  <c r="E2940" i="3" s="1"/>
  <c r="D2939" i="3"/>
  <c r="E2939" i="3" s="1"/>
  <c r="D2938" i="3"/>
  <c r="E2938" i="3" s="1"/>
  <c r="D2937" i="3"/>
  <c r="E2937" i="3" s="1"/>
  <c r="D2936" i="3"/>
  <c r="E2936" i="3" s="1"/>
  <c r="D2935" i="3"/>
  <c r="E2935" i="3" s="1"/>
  <c r="D2934" i="3"/>
  <c r="E2934" i="3" s="1"/>
  <c r="D2933" i="3"/>
  <c r="E2933" i="3" s="1"/>
  <c r="D2932" i="3"/>
  <c r="E2932" i="3" s="1"/>
  <c r="D2931" i="3"/>
  <c r="E2931" i="3" s="1"/>
  <c r="D2930" i="3"/>
  <c r="E2930" i="3" s="1"/>
  <c r="D2929" i="3"/>
  <c r="E2929" i="3" s="1"/>
  <c r="D2928" i="3"/>
  <c r="E2928" i="3" s="1"/>
  <c r="D2927" i="3"/>
  <c r="E2927" i="3" s="1"/>
  <c r="D2926" i="3"/>
  <c r="E2926" i="3" s="1"/>
  <c r="D2925" i="3"/>
  <c r="E2925" i="3" s="1"/>
  <c r="D2924" i="3"/>
  <c r="E2924" i="3" s="1"/>
  <c r="D2923" i="3"/>
  <c r="E2923" i="3" s="1"/>
  <c r="D2922" i="3"/>
  <c r="E2922" i="3" s="1"/>
  <c r="D2921" i="3"/>
  <c r="E2921" i="3" s="1"/>
  <c r="D2920" i="3"/>
  <c r="E2920" i="3" s="1"/>
  <c r="D2919" i="3"/>
  <c r="E2919" i="3" s="1"/>
  <c r="D2918" i="3"/>
  <c r="E2918" i="3" s="1"/>
  <c r="D2917" i="3"/>
  <c r="E2917" i="3" s="1"/>
  <c r="D2916" i="3"/>
  <c r="E2916" i="3" s="1"/>
  <c r="D2915" i="3"/>
  <c r="E2915" i="3" s="1"/>
  <c r="D2914" i="3"/>
  <c r="E2914" i="3" s="1"/>
  <c r="D2913" i="3"/>
  <c r="E2913" i="3" s="1"/>
  <c r="D2912" i="3"/>
  <c r="E2912" i="3" s="1"/>
  <c r="D2911" i="3"/>
  <c r="E2911" i="3" s="1"/>
  <c r="D2910" i="3"/>
  <c r="E2910" i="3" s="1"/>
  <c r="D2909" i="3"/>
  <c r="E2909" i="3" s="1"/>
  <c r="D2908" i="3"/>
  <c r="E2908" i="3" s="1"/>
  <c r="D2907" i="3"/>
  <c r="E2907" i="3" s="1"/>
  <c r="D2906" i="3"/>
  <c r="E2906" i="3" s="1"/>
  <c r="D2905" i="3"/>
  <c r="E2905" i="3" s="1"/>
  <c r="D2904" i="3"/>
  <c r="E2904" i="3" s="1"/>
  <c r="D2903" i="3"/>
  <c r="E2903" i="3" s="1"/>
  <c r="D2902" i="3"/>
  <c r="E2902" i="3" s="1"/>
  <c r="D2901" i="3"/>
  <c r="E2901" i="3" s="1"/>
  <c r="D2900" i="3"/>
  <c r="E2900" i="3" s="1"/>
  <c r="D2899" i="3"/>
  <c r="E2899" i="3" s="1"/>
  <c r="D2898" i="3"/>
  <c r="E2898" i="3" s="1"/>
  <c r="D2897" i="3"/>
  <c r="E2897" i="3" s="1"/>
  <c r="D2896" i="3"/>
  <c r="E2896" i="3" s="1"/>
  <c r="D2895" i="3"/>
  <c r="E2895" i="3" s="1"/>
  <c r="D2894" i="3"/>
  <c r="E2894" i="3" s="1"/>
  <c r="D2893" i="3"/>
  <c r="E2893" i="3" s="1"/>
  <c r="D2892" i="3"/>
  <c r="E2892" i="3" s="1"/>
  <c r="D2891" i="3"/>
  <c r="E2891" i="3" s="1"/>
  <c r="D2890" i="3"/>
  <c r="E2890" i="3" s="1"/>
  <c r="D2889" i="3"/>
  <c r="E2889" i="3" s="1"/>
  <c r="D2888" i="3"/>
  <c r="E2888" i="3" s="1"/>
  <c r="D2887" i="3"/>
  <c r="E2887" i="3" s="1"/>
  <c r="D2886" i="3"/>
  <c r="E2886" i="3" s="1"/>
  <c r="D2885" i="3"/>
  <c r="E2885" i="3" s="1"/>
  <c r="D2884" i="3"/>
  <c r="E2884" i="3" s="1"/>
  <c r="D2883" i="3"/>
  <c r="E2883" i="3" s="1"/>
  <c r="D2882" i="3"/>
  <c r="E2882" i="3" s="1"/>
  <c r="D2881" i="3"/>
  <c r="E2881" i="3" s="1"/>
  <c r="D2880" i="3"/>
  <c r="E2880" i="3" s="1"/>
  <c r="D2879" i="3"/>
  <c r="E2879" i="3" s="1"/>
  <c r="D2878" i="3"/>
  <c r="E2878" i="3" s="1"/>
  <c r="D2877" i="3"/>
  <c r="E2877" i="3" s="1"/>
  <c r="D2876" i="3"/>
  <c r="E2876" i="3" s="1"/>
  <c r="D2875" i="3"/>
  <c r="E2875" i="3" s="1"/>
  <c r="D2874" i="3"/>
  <c r="E2874" i="3" s="1"/>
  <c r="D2873" i="3"/>
  <c r="E2873" i="3" s="1"/>
  <c r="D2872" i="3"/>
  <c r="E2872" i="3" s="1"/>
  <c r="D2871" i="3"/>
  <c r="E2871" i="3" s="1"/>
  <c r="D2870" i="3"/>
  <c r="E2870" i="3" s="1"/>
  <c r="D2869" i="3"/>
  <c r="E2869" i="3" s="1"/>
  <c r="D2868" i="3"/>
  <c r="E2868" i="3" s="1"/>
  <c r="D2867" i="3"/>
  <c r="E2867" i="3" s="1"/>
  <c r="D2866" i="3"/>
  <c r="E2866" i="3" s="1"/>
  <c r="D2865" i="3"/>
  <c r="E2865" i="3" s="1"/>
  <c r="D2864" i="3"/>
  <c r="E2864" i="3" s="1"/>
  <c r="D2863" i="3"/>
  <c r="E2863" i="3" s="1"/>
  <c r="D2862" i="3"/>
  <c r="E2862" i="3" s="1"/>
  <c r="D2861" i="3"/>
  <c r="E2861" i="3" s="1"/>
  <c r="D2860" i="3"/>
  <c r="E2860" i="3" s="1"/>
  <c r="D2859" i="3"/>
  <c r="E2859" i="3" s="1"/>
  <c r="D2858" i="3"/>
  <c r="E2858" i="3" s="1"/>
  <c r="D2857" i="3"/>
  <c r="E2857" i="3" s="1"/>
  <c r="D2856" i="3"/>
  <c r="E2856" i="3" s="1"/>
  <c r="D2855" i="3"/>
  <c r="E2855" i="3" s="1"/>
  <c r="D2854" i="3"/>
  <c r="E2854" i="3" s="1"/>
  <c r="D2853" i="3"/>
  <c r="E2853" i="3" s="1"/>
  <c r="D2852" i="3"/>
  <c r="E2852" i="3" s="1"/>
  <c r="D2851" i="3"/>
  <c r="E2851" i="3" s="1"/>
  <c r="D2850" i="3"/>
  <c r="E2850" i="3" s="1"/>
  <c r="D2849" i="3"/>
  <c r="E2849" i="3" s="1"/>
  <c r="D2848" i="3"/>
  <c r="E2848" i="3" s="1"/>
  <c r="D2847" i="3"/>
  <c r="E2847" i="3" s="1"/>
  <c r="D2846" i="3"/>
  <c r="E2846" i="3" s="1"/>
  <c r="D2845" i="3"/>
  <c r="E2845" i="3" s="1"/>
  <c r="D2844" i="3"/>
  <c r="E2844" i="3" s="1"/>
  <c r="D2843" i="3"/>
  <c r="E2843" i="3" s="1"/>
  <c r="D2842" i="3"/>
  <c r="E2842" i="3" s="1"/>
  <c r="D2841" i="3"/>
  <c r="E2841" i="3" s="1"/>
  <c r="D2840" i="3"/>
  <c r="E2840" i="3" s="1"/>
  <c r="D2839" i="3"/>
  <c r="E2839" i="3" s="1"/>
  <c r="D2838" i="3"/>
  <c r="E2838" i="3" s="1"/>
  <c r="D2837" i="3"/>
  <c r="E2837" i="3" s="1"/>
  <c r="D2836" i="3"/>
  <c r="E2836" i="3" s="1"/>
  <c r="D2835" i="3"/>
  <c r="E2835" i="3" s="1"/>
  <c r="D2834" i="3"/>
  <c r="E2834" i="3" s="1"/>
  <c r="D2833" i="3"/>
  <c r="E2833" i="3" s="1"/>
  <c r="D2832" i="3"/>
  <c r="E2832" i="3" s="1"/>
  <c r="D2831" i="3"/>
  <c r="E2831" i="3" s="1"/>
  <c r="D2830" i="3"/>
  <c r="E2830" i="3" s="1"/>
  <c r="D2829" i="3"/>
  <c r="E2829" i="3" s="1"/>
  <c r="D2828" i="3"/>
  <c r="E2828" i="3" s="1"/>
  <c r="D2827" i="3"/>
  <c r="E2827" i="3" s="1"/>
  <c r="D2826" i="3"/>
  <c r="E2826" i="3" s="1"/>
  <c r="D2825" i="3"/>
  <c r="E2825" i="3" s="1"/>
  <c r="D2824" i="3"/>
  <c r="E2824" i="3" s="1"/>
  <c r="D2823" i="3"/>
  <c r="E2823" i="3" s="1"/>
  <c r="D2822" i="3"/>
  <c r="E2822" i="3" s="1"/>
  <c r="D2821" i="3"/>
  <c r="E2821" i="3" s="1"/>
  <c r="D2820" i="3"/>
  <c r="E2820" i="3" s="1"/>
  <c r="D2819" i="3"/>
  <c r="E2819" i="3" s="1"/>
  <c r="D2818" i="3"/>
  <c r="E2818" i="3" s="1"/>
  <c r="D2817" i="3"/>
  <c r="E2817" i="3" s="1"/>
  <c r="D2816" i="3"/>
  <c r="E2816" i="3" s="1"/>
  <c r="D2815" i="3"/>
  <c r="E2815" i="3" s="1"/>
  <c r="D2814" i="3"/>
  <c r="E2814" i="3" s="1"/>
  <c r="D2813" i="3"/>
  <c r="E2813" i="3" s="1"/>
  <c r="D2812" i="3"/>
  <c r="E2812" i="3" s="1"/>
  <c r="D2811" i="3"/>
  <c r="E2811" i="3" s="1"/>
  <c r="D2810" i="3"/>
  <c r="E2810" i="3" s="1"/>
  <c r="D2809" i="3"/>
  <c r="E2809" i="3" s="1"/>
  <c r="D2808" i="3"/>
  <c r="E2808" i="3" s="1"/>
  <c r="D2807" i="3"/>
  <c r="E2807" i="3" s="1"/>
  <c r="D2806" i="3"/>
  <c r="E2806" i="3" s="1"/>
  <c r="D2805" i="3"/>
  <c r="E2805" i="3" s="1"/>
  <c r="D2804" i="3"/>
  <c r="E2804" i="3" s="1"/>
  <c r="D2803" i="3"/>
  <c r="E2803" i="3" s="1"/>
  <c r="D2802" i="3"/>
  <c r="E2802" i="3" s="1"/>
  <c r="D2801" i="3"/>
  <c r="E2801" i="3" s="1"/>
  <c r="D2800" i="3"/>
  <c r="E2800" i="3" s="1"/>
  <c r="D2799" i="3"/>
  <c r="E2799" i="3" s="1"/>
  <c r="D2798" i="3"/>
  <c r="E2798" i="3" s="1"/>
  <c r="D2797" i="3"/>
  <c r="E2797" i="3" s="1"/>
  <c r="D2796" i="3"/>
  <c r="E2796" i="3" s="1"/>
  <c r="D2795" i="3"/>
  <c r="E2795" i="3" s="1"/>
  <c r="D2794" i="3"/>
  <c r="E2794" i="3" s="1"/>
  <c r="D2793" i="3"/>
  <c r="E2793" i="3" s="1"/>
  <c r="D2792" i="3"/>
  <c r="E2792" i="3" s="1"/>
  <c r="D2791" i="3"/>
  <c r="E2791" i="3" s="1"/>
  <c r="D2790" i="3"/>
  <c r="E2790" i="3" s="1"/>
  <c r="D2789" i="3"/>
  <c r="E2789" i="3" s="1"/>
  <c r="D2788" i="3"/>
  <c r="E2788" i="3" s="1"/>
  <c r="D2787" i="3"/>
  <c r="E2787" i="3" s="1"/>
  <c r="D2786" i="3"/>
  <c r="E2786" i="3" s="1"/>
  <c r="D2785" i="3"/>
  <c r="E2785" i="3" s="1"/>
  <c r="D2784" i="3"/>
  <c r="E2784" i="3" s="1"/>
  <c r="D2783" i="3"/>
  <c r="E2783" i="3" s="1"/>
  <c r="D2782" i="3"/>
  <c r="E2782" i="3" s="1"/>
  <c r="D2781" i="3"/>
  <c r="E2781" i="3" s="1"/>
  <c r="D2780" i="3"/>
  <c r="E2780" i="3" s="1"/>
  <c r="D2779" i="3"/>
  <c r="E2779" i="3" s="1"/>
  <c r="D2778" i="3"/>
  <c r="E2778" i="3" s="1"/>
  <c r="D2777" i="3"/>
  <c r="E2777" i="3" s="1"/>
  <c r="D2776" i="3"/>
  <c r="E2776" i="3" s="1"/>
  <c r="D2775" i="3"/>
  <c r="E2775" i="3" s="1"/>
  <c r="D2774" i="3"/>
  <c r="E2774" i="3" s="1"/>
  <c r="D2773" i="3"/>
  <c r="E2773" i="3" s="1"/>
  <c r="D2772" i="3"/>
  <c r="E2772" i="3" s="1"/>
  <c r="D2771" i="3"/>
  <c r="E2771" i="3" s="1"/>
  <c r="D2770" i="3"/>
  <c r="E2770" i="3" s="1"/>
  <c r="D2769" i="3"/>
  <c r="E2769" i="3" s="1"/>
  <c r="D2768" i="3"/>
  <c r="E2768" i="3" s="1"/>
  <c r="D2767" i="3"/>
  <c r="E2767" i="3" s="1"/>
  <c r="D2766" i="3"/>
  <c r="E2766" i="3" s="1"/>
  <c r="D2765" i="3"/>
  <c r="E2765" i="3" s="1"/>
  <c r="D2764" i="3"/>
  <c r="E2764" i="3" s="1"/>
  <c r="D2763" i="3"/>
  <c r="E2763" i="3" s="1"/>
  <c r="D2762" i="3"/>
  <c r="E2762" i="3" s="1"/>
  <c r="D2761" i="3"/>
  <c r="E2761" i="3" s="1"/>
  <c r="D2760" i="3"/>
  <c r="E2760" i="3" s="1"/>
  <c r="D2759" i="3"/>
  <c r="E2759" i="3" s="1"/>
  <c r="D2758" i="3"/>
  <c r="E2758" i="3" s="1"/>
  <c r="D2757" i="3"/>
  <c r="E2757" i="3" s="1"/>
  <c r="D2756" i="3"/>
  <c r="E2756" i="3" s="1"/>
  <c r="D2755" i="3"/>
  <c r="E2755" i="3" s="1"/>
  <c r="D2754" i="3"/>
  <c r="E2754" i="3" s="1"/>
  <c r="D2753" i="3"/>
  <c r="E2753" i="3" s="1"/>
  <c r="D2752" i="3"/>
  <c r="E2752" i="3" s="1"/>
  <c r="D2751" i="3"/>
  <c r="E2751" i="3" s="1"/>
  <c r="D2750" i="3"/>
  <c r="E2750" i="3" s="1"/>
  <c r="D2749" i="3"/>
  <c r="E2749" i="3" s="1"/>
  <c r="D2748" i="3"/>
  <c r="E2748" i="3" s="1"/>
  <c r="D2747" i="3"/>
  <c r="E2747" i="3" s="1"/>
  <c r="D2746" i="3"/>
  <c r="E2746" i="3" s="1"/>
  <c r="D2745" i="3"/>
  <c r="E2745" i="3" s="1"/>
  <c r="D2744" i="3"/>
  <c r="E2744" i="3" s="1"/>
  <c r="D2743" i="3"/>
  <c r="E2743" i="3" s="1"/>
  <c r="D2742" i="3"/>
  <c r="E2742" i="3" s="1"/>
  <c r="D2741" i="3"/>
  <c r="E2741" i="3" s="1"/>
  <c r="D2740" i="3"/>
  <c r="E2740" i="3" s="1"/>
  <c r="D2739" i="3"/>
  <c r="E2739" i="3" s="1"/>
  <c r="D2738" i="3"/>
  <c r="E2738" i="3" s="1"/>
  <c r="D2737" i="3"/>
  <c r="E2737" i="3" s="1"/>
  <c r="D2736" i="3"/>
  <c r="E2736" i="3" s="1"/>
  <c r="D2735" i="3"/>
  <c r="E2735" i="3" s="1"/>
  <c r="D2734" i="3"/>
  <c r="E2734" i="3" s="1"/>
  <c r="D2733" i="3"/>
  <c r="E2733" i="3" s="1"/>
  <c r="D2732" i="3"/>
  <c r="E2732" i="3" s="1"/>
  <c r="D2731" i="3"/>
  <c r="E2731" i="3" s="1"/>
  <c r="D2730" i="3"/>
  <c r="E2730" i="3" s="1"/>
  <c r="D2729" i="3"/>
  <c r="E2729" i="3" s="1"/>
  <c r="D2728" i="3"/>
  <c r="E2728" i="3" s="1"/>
  <c r="D2727" i="3"/>
  <c r="E2727" i="3" s="1"/>
  <c r="D2726" i="3"/>
  <c r="E2726" i="3" s="1"/>
  <c r="D2725" i="3"/>
  <c r="E2725" i="3" s="1"/>
  <c r="D2724" i="3"/>
  <c r="E2724" i="3" s="1"/>
  <c r="D2723" i="3"/>
  <c r="E2723" i="3" s="1"/>
  <c r="D2722" i="3"/>
  <c r="E2722" i="3" s="1"/>
  <c r="D2721" i="3"/>
  <c r="E2721" i="3" s="1"/>
  <c r="D2720" i="3"/>
  <c r="E2720" i="3" s="1"/>
  <c r="D2719" i="3"/>
  <c r="E2719" i="3" s="1"/>
  <c r="D2718" i="3"/>
  <c r="E2718" i="3" s="1"/>
  <c r="D2717" i="3"/>
  <c r="E2717" i="3" s="1"/>
  <c r="D2716" i="3"/>
  <c r="E2716" i="3" s="1"/>
  <c r="D2715" i="3"/>
  <c r="E2715" i="3" s="1"/>
  <c r="D2714" i="3"/>
  <c r="E2714" i="3" s="1"/>
  <c r="D2713" i="3"/>
  <c r="E2713" i="3" s="1"/>
  <c r="D2712" i="3"/>
  <c r="E2712" i="3" s="1"/>
  <c r="D2711" i="3"/>
  <c r="E2711" i="3" s="1"/>
  <c r="D2710" i="3"/>
  <c r="E2710" i="3" s="1"/>
  <c r="D2709" i="3"/>
  <c r="E2709" i="3" s="1"/>
  <c r="D2708" i="3"/>
  <c r="E2708" i="3" s="1"/>
  <c r="D2707" i="3"/>
  <c r="E2707" i="3" s="1"/>
  <c r="D2706" i="3"/>
  <c r="E2706" i="3" s="1"/>
  <c r="D2705" i="3"/>
  <c r="E2705" i="3" s="1"/>
  <c r="D2704" i="3"/>
  <c r="E2704" i="3" s="1"/>
  <c r="D2703" i="3"/>
  <c r="E2703" i="3" s="1"/>
  <c r="D2702" i="3"/>
  <c r="E2702" i="3" s="1"/>
  <c r="D2701" i="3"/>
  <c r="E2701" i="3" s="1"/>
  <c r="D2700" i="3"/>
  <c r="E2700" i="3" s="1"/>
  <c r="D2699" i="3"/>
  <c r="E2699" i="3" s="1"/>
  <c r="D2698" i="3"/>
  <c r="E2698" i="3" s="1"/>
  <c r="D2697" i="3"/>
  <c r="E2697" i="3" s="1"/>
  <c r="D2696" i="3"/>
  <c r="E2696" i="3" s="1"/>
  <c r="D2695" i="3"/>
  <c r="E2695" i="3" s="1"/>
  <c r="D2694" i="3"/>
  <c r="E2694" i="3" s="1"/>
  <c r="D2693" i="3"/>
  <c r="E2693" i="3" s="1"/>
  <c r="D2692" i="3"/>
  <c r="E2692" i="3" s="1"/>
  <c r="D2691" i="3"/>
  <c r="E2691" i="3" s="1"/>
  <c r="D2690" i="3"/>
  <c r="E2690" i="3" s="1"/>
  <c r="D2689" i="3"/>
  <c r="E2689" i="3" s="1"/>
  <c r="D2688" i="3"/>
  <c r="E2688" i="3" s="1"/>
  <c r="D2687" i="3"/>
  <c r="E2687" i="3" s="1"/>
  <c r="D2686" i="3"/>
  <c r="E2686" i="3" s="1"/>
  <c r="D2685" i="3"/>
  <c r="E2685" i="3" s="1"/>
  <c r="D2684" i="3"/>
  <c r="E2684" i="3" s="1"/>
  <c r="D2683" i="3"/>
  <c r="E2683" i="3" s="1"/>
  <c r="D2682" i="3"/>
  <c r="E2682" i="3" s="1"/>
  <c r="D2681" i="3"/>
  <c r="E2681" i="3" s="1"/>
  <c r="D2680" i="3"/>
  <c r="E2680" i="3" s="1"/>
  <c r="D2679" i="3"/>
  <c r="E2679" i="3" s="1"/>
  <c r="D2678" i="3"/>
  <c r="E2678" i="3" s="1"/>
  <c r="D2677" i="3"/>
  <c r="E2677" i="3" s="1"/>
  <c r="D2676" i="3"/>
  <c r="E2676" i="3" s="1"/>
  <c r="D2675" i="3"/>
  <c r="E2675" i="3" s="1"/>
  <c r="D2674" i="3"/>
  <c r="E2674" i="3" s="1"/>
  <c r="D2673" i="3"/>
  <c r="E2673" i="3" s="1"/>
  <c r="D2672" i="3"/>
  <c r="E2672" i="3" s="1"/>
  <c r="D2671" i="3"/>
  <c r="E2671" i="3" s="1"/>
  <c r="D2670" i="3"/>
  <c r="E2670" i="3" s="1"/>
  <c r="D2669" i="3"/>
  <c r="E2669" i="3" s="1"/>
  <c r="D2668" i="3"/>
  <c r="E2668" i="3" s="1"/>
  <c r="D2667" i="3"/>
  <c r="E2667" i="3" s="1"/>
  <c r="D2666" i="3"/>
  <c r="E2666" i="3" s="1"/>
  <c r="D2665" i="3"/>
  <c r="E2665" i="3" s="1"/>
  <c r="D2664" i="3"/>
  <c r="E2664" i="3" s="1"/>
  <c r="D2663" i="3"/>
  <c r="E2663" i="3" s="1"/>
  <c r="D2662" i="3"/>
  <c r="E2662" i="3" s="1"/>
  <c r="D2661" i="3"/>
  <c r="E2661" i="3" s="1"/>
  <c r="D2660" i="3"/>
  <c r="E2660" i="3" s="1"/>
  <c r="D2659" i="3"/>
  <c r="E2659" i="3" s="1"/>
  <c r="D2658" i="3"/>
  <c r="E2658" i="3" s="1"/>
  <c r="D2657" i="3"/>
  <c r="E2657" i="3" s="1"/>
  <c r="D2656" i="3"/>
  <c r="E2656" i="3" s="1"/>
  <c r="D2655" i="3"/>
  <c r="E2655" i="3" s="1"/>
  <c r="D2654" i="3"/>
  <c r="E2654" i="3" s="1"/>
  <c r="D2653" i="3"/>
  <c r="E2653" i="3" s="1"/>
  <c r="D2652" i="3"/>
  <c r="E2652" i="3" s="1"/>
  <c r="D2651" i="3"/>
  <c r="E2651" i="3" s="1"/>
  <c r="D2650" i="3"/>
  <c r="E2650" i="3" s="1"/>
  <c r="D2649" i="3"/>
  <c r="E2649" i="3" s="1"/>
  <c r="D2648" i="3"/>
  <c r="E2648" i="3" s="1"/>
  <c r="D2647" i="3"/>
  <c r="E2647" i="3" s="1"/>
  <c r="D2646" i="3"/>
  <c r="E2646" i="3" s="1"/>
  <c r="D2645" i="3"/>
  <c r="E2645" i="3" s="1"/>
  <c r="D2644" i="3"/>
  <c r="E2644" i="3" s="1"/>
  <c r="D2643" i="3"/>
  <c r="E2643" i="3" s="1"/>
  <c r="D2642" i="3"/>
  <c r="E2642" i="3" s="1"/>
  <c r="D2641" i="3"/>
  <c r="E2641" i="3" s="1"/>
  <c r="D2640" i="3"/>
  <c r="E2640" i="3" s="1"/>
  <c r="D2639" i="3"/>
  <c r="E2639" i="3" s="1"/>
  <c r="D2638" i="3"/>
  <c r="E2638" i="3" s="1"/>
  <c r="D2637" i="3"/>
  <c r="E2637" i="3" s="1"/>
  <c r="D2636" i="3"/>
  <c r="E2636" i="3" s="1"/>
  <c r="D2635" i="3"/>
  <c r="E2635" i="3" s="1"/>
  <c r="D2634" i="3"/>
  <c r="E2634" i="3" s="1"/>
  <c r="D2633" i="3"/>
  <c r="E2633" i="3" s="1"/>
  <c r="D2632" i="3"/>
  <c r="E2632" i="3" s="1"/>
  <c r="D2631" i="3"/>
  <c r="E2631" i="3" s="1"/>
  <c r="D2630" i="3"/>
  <c r="E2630" i="3" s="1"/>
  <c r="D2629" i="3"/>
  <c r="E2629" i="3" s="1"/>
  <c r="D2628" i="3"/>
  <c r="E2628" i="3" s="1"/>
  <c r="D2627" i="3"/>
  <c r="E2627" i="3" s="1"/>
  <c r="D2626" i="3"/>
  <c r="E2626" i="3" s="1"/>
  <c r="D2625" i="3"/>
  <c r="E2625" i="3" s="1"/>
  <c r="D2624" i="3"/>
  <c r="E2624" i="3" s="1"/>
  <c r="D2623" i="3"/>
  <c r="E2623" i="3" s="1"/>
  <c r="D2622" i="3"/>
  <c r="E2622" i="3" s="1"/>
  <c r="D2621" i="3"/>
  <c r="E2621" i="3" s="1"/>
  <c r="D2620" i="3"/>
  <c r="E2620" i="3" s="1"/>
  <c r="D2619" i="3"/>
  <c r="E2619" i="3" s="1"/>
  <c r="D2618" i="3"/>
  <c r="E2618" i="3" s="1"/>
  <c r="D2617" i="3"/>
  <c r="E2617" i="3" s="1"/>
  <c r="D2616" i="3"/>
  <c r="E2616" i="3" s="1"/>
  <c r="D2615" i="3"/>
  <c r="E2615" i="3" s="1"/>
  <c r="D2614" i="3"/>
  <c r="E2614" i="3" s="1"/>
  <c r="D2613" i="3"/>
  <c r="E2613" i="3" s="1"/>
  <c r="D2612" i="3"/>
  <c r="E2612" i="3" s="1"/>
  <c r="D2611" i="3"/>
  <c r="E2611" i="3" s="1"/>
  <c r="D2610" i="3"/>
  <c r="E2610" i="3" s="1"/>
  <c r="D2609" i="3"/>
  <c r="E2609" i="3" s="1"/>
  <c r="D2608" i="3"/>
  <c r="E2608" i="3" s="1"/>
  <c r="D2607" i="3"/>
  <c r="E2607" i="3" s="1"/>
  <c r="D2606" i="3"/>
  <c r="E2606" i="3" s="1"/>
  <c r="D2605" i="3"/>
  <c r="E2605" i="3" s="1"/>
  <c r="D2604" i="3"/>
  <c r="E2604" i="3" s="1"/>
  <c r="D2603" i="3"/>
  <c r="E2603" i="3" s="1"/>
  <c r="D2602" i="3"/>
  <c r="E2602" i="3" s="1"/>
  <c r="D2601" i="3"/>
  <c r="E2601" i="3" s="1"/>
  <c r="D2600" i="3"/>
  <c r="E2600" i="3" s="1"/>
  <c r="D2599" i="3"/>
  <c r="E2599" i="3" s="1"/>
  <c r="D2598" i="3"/>
  <c r="E2598" i="3" s="1"/>
  <c r="D2597" i="3"/>
  <c r="E2597" i="3" s="1"/>
  <c r="D2596" i="3"/>
  <c r="E2596" i="3" s="1"/>
  <c r="D2595" i="3"/>
  <c r="E2595" i="3" s="1"/>
  <c r="D2594" i="3"/>
  <c r="E2594" i="3" s="1"/>
  <c r="D2593" i="3"/>
  <c r="E2593" i="3" s="1"/>
  <c r="D2592" i="3"/>
  <c r="E2592" i="3" s="1"/>
  <c r="D2591" i="3"/>
  <c r="E2591" i="3" s="1"/>
  <c r="D2590" i="3"/>
  <c r="E2590" i="3" s="1"/>
  <c r="D2589" i="3"/>
  <c r="E2589" i="3" s="1"/>
  <c r="D2588" i="3"/>
  <c r="E2588" i="3" s="1"/>
  <c r="D2587" i="3"/>
  <c r="E2587" i="3" s="1"/>
  <c r="D2586" i="3"/>
  <c r="E2586" i="3" s="1"/>
  <c r="D2585" i="3"/>
  <c r="E2585" i="3" s="1"/>
  <c r="D2584" i="3"/>
  <c r="E2584" i="3" s="1"/>
  <c r="D2583" i="3"/>
  <c r="E2583" i="3" s="1"/>
  <c r="D2582" i="3"/>
  <c r="E2582" i="3" s="1"/>
  <c r="D2581" i="3"/>
  <c r="E2581" i="3" s="1"/>
  <c r="D2580" i="3"/>
  <c r="E2580" i="3" s="1"/>
  <c r="D2579" i="3"/>
  <c r="E2579" i="3" s="1"/>
  <c r="D2578" i="3"/>
  <c r="E2578" i="3" s="1"/>
  <c r="D2577" i="3"/>
  <c r="E2577" i="3" s="1"/>
  <c r="D2576" i="3"/>
  <c r="E2576" i="3" s="1"/>
  <c r="D2575" i="3"/>
  <c r="E2575" i="3" s="1"/>
  <c r="D2574" i="3"/>
  <c r="E2574" i="3" s="1"/>
  <c r="D2573" i="3"/>
  <c r="E2573" i="3" s="1"/>
  <c r="D2572" i="3"/>
  <c r="E2572" i="3" s="1"/>
  <c r="D2571" i="3"/>
  <c r="E2571" i="3" s="1"/>
  <c r="D2570" i="3"/>
  <c r="E2570" i="3" s="1"/>
  <c r="D2569" i="3"/>
  <c r="E2569" i="3" s="1"/>
  <c r="D2568" i="3"/>
  <c r="E2568" i="3" s="1"/>
  <c r="D2567" i="3"/>
  <c r="E2567" i="3" s="1"/>
  <c r="D2566" i="3"/>
  <c r="E2566" i="3" s="1"/>
  <c r="D2565" i="3"/>
  <c r="E2565" i="3" s="1"/>
  <c r="D2564" i="3"/>
  <c r="E2564" i="3" s="1"/>
  <c r="D2563" i="3"/>
  <c r="E2563" i="3" s="1"/>
  <c r="D2562" i="3"/>
  <c r="E2562" i="3" s="1"/>
  <c r="D2561" i="3"/>
  <c r="E2561" i="3" s="1"/>
  <c r="D2560" i="3"/>
  <c r="E2560" i="3" s="1"/>
  <c r="D2559" i="3"/>
  <c r="E2559" i="3" s="1"/>
  <c r="D2558" i="3"/>
  <c r="E2558" i="3" s="1"/>
  <c r="D2557" i="3"/>
  <c r="E2557" i="3" s="1"/>
  <c r="D2556" i="3"/>
  <c r="E2556" i="3" s="1"/>
  <c r="D2555" i="3"/>
  <c r="E2555" i="3" s="1"/>
  <c r="D2554" i="3"/>
  <c r="E2554" i="3" s="1"/>
  <c r="D2553" i="3"/>
  <c r="E2553" i="3" s="1"/>
  <c r="D2552" i="3"/>
  <c r="E2552" i="3" s="1"/>
  <c r="D2551" i="3"/>
  <c r="E2551" i="3" s="1"/>
  <c r="D2550" i="3"/>
  <c r="E2550" i="3" s="1"/>
  <c r="D2549" i="3"/>
  <c r="E2549" i="3" s="1"/>
  <c r="D2548" i="3"/>
  <c r="E2548" i="3" s="1"/>
  <c r="D2547" i="3"/>
  <c r="E2547" i="3" s="1"/>
  <c r="D2546" i="3"/>
  <c r="E2546" i="3" s="1"/>
  <c r="D2545" i="3"/>
  <c r="E2545" i="3" s="1"/>
  <c r="D2544" i="3"/>
  <c r="E2544" i="3" s="1"/>
  <c r="D2543" i="3"/>
  <c r="E2543" i="3" s="1"/>
  <c r="D2542" i="3"/>
  <c r="E2542" i="3" s="1"/>
  <c r="D2541" i="3"/>
  <c r="E2541" i="3" s="1"/>
  <c r="D2540" i="3"/>
  <c r="E2540" i="3" s="1"/>
  <c r="D2539" i="3"/>
  <c r="E2539" i="3" s="1"/>
  <c r="D2538" i="3"/>
  <c r="E2538" i="3" s="1"/>
  <c r="D2537" i="3"/>
  <c r="E2537" i="3" s="1"/>
  <c r="D2536" i="3"/>
  <c r="E2536" i="3" s="1"/>
  <c r="D2535" i="3"/>
  <c r="E2535" i="3" s="1"/>
  <c r="D2534" i="3"/>
  <c r="E2534" i="3" s="1"/>
  <c r="D2533" i="3"/>
  <c r="E2533" i="3" s="1"/>
  <c r="D2532" i="3"/>
  <c r="E2532" i="3" s="1"/>
  <c r="D2531" i="3"/>
  <c r="E2531" i="3" s="1"/>
  <c r="D2530" i="3"/>
  <c r="E2530" i="3" s="1"/>
  <c r="D2529" i="3"/>
  <c r="E2529" i="3" s="1"/>
  <c r="D2528" i="3"/>
  <c r="E2528" i="3" s="1"/>
  <c r="D2527" i="3"/>
  <c r="E2527" i="3" s="1"/>
  <c r="D2526" i="3"/>
  <c r="E2526" i="3" s="1"/>
  <c r="D2525" i="3"/>
  <c r="E2525" i="3" s="1"/>
  <c r="D2524" i="3"/>
  <c r="E2524" i="3" s="1"/>
  <c r="D2523" i="3"/>
  <c r="E2523" i="3" s="1"/>
  <c r="D2522" i="3"/>
  <c r="E2522" i="3" s="1"/>
  <c r="D2521" i="3"/>
  <c r="E2521" i="3" s="1"/>
  <c r="D2520" i="3"/>
  <c r="E2520" i="3" s="1"/>
  <c r="D2519" i="3"/>
  <c r="E2519" i="3" s="1"/>
  <c r="D2518" i="3"/>
  <c r="E2518" i="3" s="1"/>
  <c r="D2517" i="3"/>
  <c r="E2517" i="3" s="1"/>
  <c r="D2516" i="3"/>
  <c r="E2516" i="3" s="1"/>
  <c r="D2515" i="3"/>
  <c r="E2515" i="3" s="1"/>
  <c r="D2514" i="3"/>
  <c r="E2514" i="3" s="1"/>
  <c r="D2513" i="3"/>
  <c r="E2513" i="3" s="1"/>
  <c r="D2512" i="3"/>
  <c r="E2512" i="3" s="1"/>
  <c r="D2511" i="3"/>
  <c r="E2511" i="3" s="1"/>
  <c r="D2510" i="3"/>
  <c r="E2510" i="3" s="1"/>
  <c r="D2509" i="3"/>
  <c r="E2509" i="3" s="1"/>
  <c r="D2508" i="3"/>
  <c r="E2508" i="3" s="1"/>
  <c r="D2507" i="3"/>
  <c r="E2507" i="3" s="1"/>
  <c r="D2506" i="3"/>
  <c r="E2506" i="3" s="1"/>
  <c r="D2505" i="3"/>
  <c r="E2505" i="3" s="1"/>
  <c r="D2504" i="3"/>
  <c r="E2504" i="3" s="1"/>
  <c r="D2503" i="3"/>
  <c r="E2503" i="3" s="1"/>
  <c r="D2502" i="3"/>
  <c r="E2502" i="3" s="1"/>
  <c r="A2502" i="3"/>
  <c r="A2503" i="3" s="1"/>
  <c r="A2504" i="3" s="1"/>
  <c r="A2505" i="3" s="1"/>
  <c r="A2506" i="3" s="1"/>
  <c r="A2507" i="3" s="1"/>
  <c r="A2508" i="3" s="1"/>
  <c r="A2509" i="3" s="1"/>
  <c r="A2510" i="3" s="1"/>
  <c r="A2511" i="3" s="1"/>
  <c r="A2512" i="3" s="1"/>
  <c r="A2513" i="3" s="1"/>
  <c r="A2514" i="3" s="1"/>
  <c r="A2515" i="3" s="1"/>
  <c r="A2516" i="3" s="1"/>
  <c r="A2517" i="3" s="1"/>
  <c r="A2518" i="3" s="1"/>
  <c r="A2519" i="3" s="1"/>
  <c r="A2520" i="3" s="1"/>
  <c r="A2521" i="3" s="1"/>
  <c r="A2522" i="3" s="1"/>
  <c r="A2523" i="3" s="1"/>
  <c r="A2524" i="3" s="1"/>
  <c r="A2525" i="3" s="1"/>
  <c r="A2526" i="3" s="1"/>
  <c r="A2527" i="3" s="1"/>
  <c r="A2528" i="3" s="1"/>
  <c r="A2529" i="3" s="1"/>
  <c r="A2530" i="3" s="1"/>
  <c r="A2531" i="3" s="1"/>
  <c r="A2532" i="3" s="1"/>
  <c r="A2533" i="3" s="1"/>
  <c r="A2534" i="3" s="1"/>
  <c r="A2535" i="3" s="1"/>
  <c r="A2536" i="3" s="1"/>
  <c r="A2537" i="3" s="1"/>
  <c r="A2538" i="3" s="1"/>
  <c r="A2539" i="3" s="1"/>
  <c r="A2540" i="3" s="1"/>
  <c r="A2541" i="3" s="1"/>
  <c r="A2542" i="3" s="1"/>
  <c r="A2543" i="3" s="1"/>
  <c r="A2544" i="3" s="1"/>
  <c r="A2545" i="3" s="1"/>
  <c r="A2546" i="3" s="1"/>
  <c r="A2547" i="3" s="1"/>
  <c r="A2548" i="3" s="1"/>
  <c r="A2549" i="3" s="1"/>
  <c r="A2550" i="3" s="1"/>
  <c r="A2551" i="3" s="1"/>
  <c r="A2552" i="3" s="1"/>
  <c r="A2553" i="3" s="1"/>
  <c r="A2554" i="3" s="1"/>
  <c r="A2555" i="3" s="1"/>
  <c r="A2556" i="3" s="1"/>
  <c r="A2557" i="3" s="1"/>
  <c r="A2558" i="3" s="1"/>
  <c r="A2559" i="3" s="1"/>
  <c r="A2560" i="3" s="1"/>
  <c r="A2561" i="3" s="1"/>
  <c r="A2562" i="3" s="1"/>
  <c r="A2563" i="3" s="1"/>
  <c r="A2564" i="3" s="1"/>
  <c r="A2565" i="3" s="1"/>
  <c r="A2566" i="3" s="1"/>
  <c r="A2567" i="3" s="1"/>
  <c r="A2568" i="3" s="1"/>
  <c r="A2569" i="3" s="1"/>
  <c r="A2570" i="3" s="1"/>
  <c r="A2571" i="3" s="1"/>
  <c r="A2572" i="3" s="1"/>
  <c r="A2573" i="3" s="1"/>
  <c r="A2574" i="3" s="1"/>
  <c r="A2575" i="3" s="1"/>
  <c r="A2576" i="3" s="1"/>
  <c r="A2577" i="3" s="1"/>
  <c r="A2578" i="3" s="1"/>
  <c r="A2579" i="3" s="1"/>
  <c r="A2580" i="3" s="1"/>
  <c r="A2581" i="3" s="1"/>
  <c r="A2582" i="3" s="1"/>
  <c r="A2583" i="3" s="1"/>
  <c r="A2584" i="3" s="1"/>
  <c r="A2585" i="3" s="1"/>
  <c r="A2586" i="3" s="1"/>
  <c r="A2587" i="3" s="1"/>
  <c r="A2588" i="3" s="1"/>
  <c r="A2589" i="3" s="1"/>
  <c r="A2590" i="3" s="1"/>
  <c r="A2591" i="3" s="1"/>
  <c r="A2592" i="3" s="1"/>
  <c r="A2593" i="3" s="1"/>
  <c r="A2594" i="3" s="1"/>
  <c r="A2595" i="3" s="1"/>
  <c r="A2596" i="3" s="1"/>
  <c r="A2597" i="3" s="1"/>
  <c r="A2598" i="3" s="1"/>
  <c r="A2599" i="3" s="1"/>
  <c r="A2600" i="3" s="1"/>
  <c r="A2601" i="3" s="1"/>
  <c r="A2602" i="3" s="1"/>
  <c r="A2603" i="3" s="1"/>
  <c r="A2604" i="3" s="1"/>
  <c r="A2605" i="3" s="1"/>
  <c r="A2606" i="3" s="1"/>
  <c r="A2607" i="3" s="1"/>
  <c r="A2608" i="3" s="1"/>
  <c r="A2609" i="3" s="1"/>
  <c r="A2610" i="3" s="1"/>
  <c r="A2611" i="3" s="1"/>
  <c r="A2612" i="3" s="1"/>
  <c r="A2613" i="3" s="1"/>
  <c r="A2614" i="3" s="1"/>
  <c r="A2615" i="3" s="1"/>
  <c r="A2616" i="3" s="1"/>
  <c r="A2617" i="3" s="1"/>
  <c r="A2618" i="3" s="1"/>
  <c r="A2619" i="3" s="1"/>
  <c r="A2620" i="3" s="1"/>
  <c r="A2621" i="3" s="1"/>
  <c r="A2622" i="3" s="1"/>
  <c r="A2623" i="3" s="1"/>
  <c r="A2624" i="3" s="1"/>
  <c r="A2625" i="3" s="1"/>
  <c r="A2626" i="3" s="1"/>
  <c r="A2627" i="3" s="1"/>
  <c r="A2628" i="3" s="1"/>
  <c r="A2629" i="3" s="1"/>
  <c r="A2630" i="3" s="1"/>
  <c r="A2631" i="3" s="1"/>
  <c r="A2632" i="3" s="1"/>
  <c r="A2633" i="3" s="1"/>
  <c r="A2634" i="3" s="1"/>
  <c r="A2635" i="3" s="1"/>
  <c r="A2636" i="3" s="1"/>
  <c r="A2637" i="3" s="1"/>
  <c r="A2638" i="3" s="1"/>
  <c r="A2639" i="3" s="1"/>
  <c r="A2640" i="3" s="1"/>
  <c r="A2641" i="3" s="1"/>
  <c r="A2642" i="3" s="1"/>
  <c r="A2643" i="3" s="1"/>
  <c r="A2644" i="3" s="1"/>
  <c r="A2645" i="3" s="1"/>
  <c r="A2646" i="3" s="1"/>
  <c r="A2647" i="3" s="1"/>
  <c r="A2648" i="3" s="1"/>
  <c r="A2649" i="3" s="1"/>
  <c r="A2650" i="3" s="1"/>
  <c r="A2651" i="3" s="1"/>
  <c r="A2652" i="3" s="1"/>
  <c r="A2653" i="3" s="1"/>
  <c r="A2654" i="3" s="1"/>
  <c r="A2655" i="3" s="1"/>
  <c r="A2656" i="3" s="1"/>
  <c r="A2657" i="3" s="1"/>
  <c r="A2658" i="3" s="1"/>
  <c r="A2659" i="3" s="1"/>
  <c r="A2660" i="3" s="1"/>
  <c r="A2661" i="3" s="1"/>
  <c r="A2662" i="3" s="1"/>
  <c r="A2663" i="3" s="1"/>
  <c r="A2664" i="3" s="1"/>
  <c r="A2665" i="3" s="1"/>
  <c r="A2666" i="3" s="1"/>
  <c r="A2667" i="3" s="1"/>
  <c r="A2668" i="3" s="1"/>
  <c r="A2669" i="3" s="1"/>
  <c r="A2670" i="3" s="1"/>
  <c r="A2671" i="3" s="1"/>
  <c r="A2672" i="3" s="1"/>
  <c r="A2673" i="3" s="1"/>
  <c r="A2674" i="3" s="1"/>
  <c r="A2675" i="3" s="1"/>
  <c r="A2676" i="3" s="1"/>
  <c r="A2677" i="3" s="1"/>
  <c r="A2678" i="3" s="1"/>
  <c r="A2679" i="3" s="1"/>
  <c r="A2680" i="3" s="1"/>
  <c r="A2681" i="3" s="1"/>
  <c r="A2682" i="3" s="1"/>
  <c r="A2683" i="3" s="1"/>
  <c r="A2684" i="3" s="1"/>
  <c r="A2685" i="3" s="1"/>
  <c r="A2686" i="3" s="1"/>
  <c r="A2687" i="3" s="1"/>
  <c r="A2688" i="3" s="1"/>
  <c r="A2689" i="3" s="1"/>
  <c r="A2690" i="3" s="1"/>
  <c r="A2691" i="3" s="1"/>
  <c r="A2692" i="3" s="1"/>
  <c r="A2693" i="3" s="1"/>
  <c r="A2694" i="3" s="1"/>
  <c r="A2695" i="3" s="1"/>
  <c r="A2696" i="3" s="1"/>
  <c r="A2697" i="3" s="1"/>
  <c r="A2698" i="3" s="1"/>
  <c r="A2699" i="3" s="1"/>
  <c r="A2700" i="3" s="1"/>
  <c r="A2701" i="3" s="1"/>
  <c r="A2702" i="3" s="1"/>
  <c r="A2703" i="3" s="1"/>
  <c r="A2704" i="3" s="1"/>
  <c r="A2705" i="3" s="1"/>
  <c r="A2706" i="3" s="1"/>
  <c r="A2707" i="3" s="1"/>
  <c r="A2708" i="3" s="1"/>
  <c r="A2709" i="3" s="1"/>
  <c r="A2710" i="3" s="1"/>
  <c r="A2711" i="3" s="1"/>
  <c r="A2712" i="3" s="1"/>
  <c r="A2713" i="3" s="1"/>
  <c r="A2714" i="3" s="1"/>
  <c r="A2715" i="3" s="1"/>
  <c r="A2716" i="3" s="1"/>
  <c r="A2717" i="3" s="1"/>
  <c r="A2718" i="3" s="1"/>
  <c r="A2719" i="3" s="1"/>
  <c r="A2720" i="3" s="1"/>
  <c r="A2721" i="3" s="1"/>
  <c r="A2722" i="3" s="1"/>
  <c r="A2723" i="3" s="1"/>
  <c r="A2724" i="3" s="1"/>
  <c r="A2725" i="3" s="1"/>
  <c r="A2726" i="3" s="1"/>
  <c r="A2727" i="3" s="1"/>
  <c r="A2728" i="3" s="1"/>
  <c r="A2729" i="3" s="1"/>
  <c r="A2730" i="3" s="1"/>
  <c r="A2731" i="3" s="1"/>
  <c r="A2732" i="3" s="1"/>
  <c r="A2733" i="3" s="1"/>
  <c r="A2734" i="3" s="1"/>
  <c r="A2735" i="3" s="1"/>
  <c r="A2736" i="3" s="1"/>
  <c r="A2737" i="3" s="1"/>
  <c r="A2738" i="3" s="1"/>
  <c r="A2739" i="3" s="1"/>
  <c r="A2740" i="3" s="1"/>
  <c r="A2741" i="3" s="1"/>
  <c r="A2742" i="3" s="1"/>
  <c r="A2743" i="3" s="1"/>
  <c r="A2744" i="3" s="1"/>
  <c r="A2745" i="3" s="1"/>
  <c r="A2746" i="3" s="1"/>
  <c r="A2747" i="3" s="1"/>
  <c r="A2748" i="3" s="1"/>
  <c r="A2749" i="3" s="1"/>
  <c r="A2750" i="3" s="1"/>
  <c r="A2751" i="3" s="1"/>
  <c r="A2752" i="3" s="1"/>
  <c r="A2753" i="3" s="1"/>
  <c r="A2754" i="3" s="1"/>
  <c r="A2755" i="3" s="1"/>
  <c r="A2756" i="3" s="1"/>
  <c r="A2757" i="3" s="1"/>
  <c r="A2758" i="3" s="1"/>
  <c r="A2759" i="3" s="1"/>
  <c r="A2760" i="3" s="1"/>
  <c r="A2761" i="3" s="1"/>
  <c r="A2762" i="3" s="1"/>
  <c r="A2763" i="3" s="1"/>
  <c r="A2764" i="3" s="1"/>
  <c r="A2765" i="3" s="1"/>
  <c r="A2766" i="3" s="1"/>
  <c r="A2767" i="3" s="1"/>
  <c r="A2768" i="3" s="1"/>
  <c r="A2769" i="3" s="1"/>
  <c r="A2770" i="3" s="1"/>
  <c r="A2771" i="3" s="1"/>
  <c r="A2772" i="3" s="1"/>
  <c r="A2773" i="3" s="1"/>
  <c r="A2774" i="3" s="1"/>
  <c r="A2775" i="3" s="1"/>
  <c r="A2776" i="3" s="1"/>
  <c r="A2777" i="3" s="1"/>
  <c r="A2778" i="3" s="1"/>
  <c r="A2779" i="3" s="1"/>
  <c r="A2780" i="3" s="1"/>
  <c r="A2781" i="3" s="1"/>
  <c r="A2782" i="3" s="1"/>
  <c r="A2783" i="3" s="1"/>
  <c r="A2784" i="3" s="1"/>
  <c r="A2785" i="3" s="1"/>
  <c r="A2786" i="3" s="1"/>
  <c r="A2787" i="3" s="1"/>
  <c r="A2788" i="3" s="1"/>
  <c r="A2789" i="3" s="1"/>
  <c r="A2790" i="3" s="1"/>
  <c r="A2791" i="3" s="1"/>
  <c r="A2792" i="3" s="1"/>
  <c r="A2793" i="3" s="1"/>
  <c r="A2794" i="3" s="1"/>
  <c r="A2795" i="3" s="1"/>
  <c r="A2796" i="3" s="1"/>
  <c r="A2797" i="3" s="1"/>
  <c r="A2798" i="3" s="1"/>
  <c r="A2799" i="3" s="1"/>
  <c r="A2800" i="3" s="1"/>
  <c r="A2801" i="3" s="1"/>
  <c r="A2802" i="3" s="1"/>
  <c r="A2803" i="3" s="1"/>
  <c r="A2804" i="3" s="1"/>
  <c r="A2805" i="3" s="1"/>
  <c r="A2806" i="3" s="1"/>
  <c r="A2807" i="3" s="1"/>
  <c r="A2808" i="3" s="1"/>
  <c r="A2809" i="3" s="1"/>
  <c r="A2810" i="3" s="1"/>
  <c r="A2811" i="3" s="1"/>
  <c r="A2812" i="3" s="1"/>
  <c r="A2813" i="3" s="1"/>
  <c r="A2814" i="3" s="1"/>
  <c r="A2815" i="3" s="1"/>
  <c r="A2816" i="3" s="1"/>
  <c r="A2817" i="3" s="1"/>
  <c r="A2818" i="3" s="1"/>
  <c r="A2819" i="3" s="1"/>
  <c r="A2820" i="3" s="1"/>
  <c r="A2821" i="3" s="1"/>
  <c r="A2822" i="3" s="1"/>
  <c r="A2823" i="3" s="1"/>
  <c r="A2824" i="3" s="1"/>
  <c r="A2825" i="3" s="1"/>
  <c r="A2826" i="3" s="1"/>
  <c r="A2827" i="3" s="1"/>
  <c r="A2828" i="3" s="1"/>
  <c r="A2829" i="3" s="1"/>
  <c r="A2830" i="3" s="1"/>
  <c r="A2831" i="3" s="1"/>
  <c r="A2832" i="3" s="1"/>
  <c r="A2833" i="3" s="1"/>
  <c r="A2834" i="3" s="1"/>
  <c r="A2835" i="3" s="1"/>
  <c r="A2836" i="3" s="1"/>
  <c r="A2837" i="3" s="1"/>
  <c r="A2838" i="3" s="1"/>
  <c r="A2839" i="3" s="1"/>
  <c r="A2840" i="3" s="1"/>
  <c r="A2841" i="3" s="1"/>
  <c r="A2842" i="3" s="1"/>
  <c r="A2843" i="3" s="1"/>
  <c r="A2844" i="3" s="1"/>
  <c r="A2845" i="3" s="1"/>
  <c r="A2846" i="3" s="1"/>
  <c r="A2847" i="3" s="1"/>
  <c r="A2848" i="3" s="1"/>
  <c r="A2849" i="3" s="1"/>
  <c r="A2850" i="3" s="1"/>
  <c r="A2851" i="3" s="1"/>
  <c r="A2852" i="3" s="1"/>
  <c r="A2853" i="3" s="1"/>
  <c r="A2854" i="3" s="1"/>
  <c r="A2855" i="3" s="1"/>
  <c r="A2856" i="3" s="1"/>
  <c r="A2857" i="3" s="1"/>
  <c r="A2858" i="3" s="1"/>
  <c r="A2859" i="3" s="1"/>
  <c r="A2860" i="3" s="1"/>
  <c r="A2861" i="3" s="1"/>
  <c r="A2862" i="3" s="1"/>
  <c r="A2863" i="3" s="1"/>
  <c r="A2864" i="3" s="1"/>
  <c r="A2865" i="3" s="1"/>
  <c r="A2866" i="3" s="1"/>
  <c r="A2867" i="3" s="1"/>
  <c r="A2868" i="3" s="1"/>
  <c r="A2869" i="3" s="1"/>
  <c r="A2870" i="3" s="1"/>
  <c r="A2871" i="3" s="1"/>
  <c r="A2872" i="3" s="1"/>
  <c r="A2873" i="3" s="1"/>
  <c r="A2874" i="3" s="1"/>
  <c r="A2875" i="3" s="1"/>
  <c r="A2876" i="3" s="1"/>
  <c r="A2877" i="3" s="1"/>
  <c r="A2878" i="3" s="1"/>
  <c r="A2879" i="3" s="1"/>
  <c r="A2880" i="3" s="1"/>
  <c r="A2881" i="3" s="1"/>
  <c r="A2882" i="3" s="1"/>
  <c r="A2883" i="3" s="1"/>
  <c r="A2884" i="3" s="1"/>
  <c r="A2885" i="3" s="1"/>
  <c r="A2886" i="3" s="1"/>
  <c r="A2887" i="3" s="1"/>
  <c r="A2888" i="3" s="1"/>
  <c r="A2889" i="3" s="1"/>
  <c r="A2890" i="3" s="1"/>
  <c r="A2891" i="3" s="1"/>
  <c r="A2892" i="3" s="1"/>
  <c r="A2893" i="3" s="1"/>
  <c r="A2894" i="3" s="1"/>
  <c r="A2895" i="3" s="1"/>
  <c r="A2896" i="3" s="1"/>
  <c r="A2897" i="3" s="1"/>
  <c r="A2898" i="3" s="1"/>
  <c r="A2899" i="3" s="1"/>
  <c r="A2900" i="3" s="1"/>
  <c r="A2901" i="3" s="1"/>
  <c r="A2902" i="3" s="1"/>
  <c r="A2903" i="3" s="1"/>
  <c r="A2904" i="3" s="1"/>
  <c r="A2905" i="3" s="1"/>
  <c r="A2906" i="3" s="1"/>
  <c r="A2907" i="3" s="1"/>
  <c r="A2908" i="3" s="1"/>
  <c r="A2909" i="3" s="1"/>
  <c r="A2910" i="3" s="1"/>
  <c r="A2911" i="3" s="1"/>
  <c r="A2912" i="3" s="1"/>
  <c r="A2913" i="3" s="1"/>
  <c r="A2914" i="3" s="1"/>
  <c r="A2915" i="3" s="1"/>
  <c r="A2916" i="3" s="1"/>
  <c r="A2917" i="3" s="1"/>
  <c r="A2918" i="3" s="1"/>
  <c r="A2919" i="3" s="1"/>
  <c r="A2920" i="3" s="1"/>
  <c r="A2921" i="3" s="1"/>
  <c r="A2922" i="3" s="1"/>
  <c r="A2923" i="3" s="1"/>
  <c r="A2924" i="3" s="1"/>
  <c r="A2925" i="3" s="1"/>
  <c r="A2926" i="3" s="1"/>
  <c r="A2927" i="3" s="1"/>
  <c r="A2928" i="3" s="1"/>
  <c r="A2929" i="3" s="1"/>
  <c r="A2930" i="3" s="1"/>
  <c r="A2931" i="3" s="1"/>
  <c r="A2932" i="3" s="1"/>
  <c r="A2933" i="3" s="1"/>
  <c r="A2934" i="3" s="1"/>
  <c r="A2935" i="3" s="1"/>
  <c r="A2936" i="3" s="1"/>
  <c r="A2937" i="3" s="1"/>
  <c r="A2938" i="3" s="1"/>
  <c r="A2939" i="3" s="1"/>
  <c r="A2940" i="3" s="1"/>
  <c r="A2941" i="3" s="1"/>
  <c r="A2942" i="3" s="1"/>
  <c r="A2943" i="3" s="1"/>
  <c r="A2944" i="3" s="1"/>
  <c r="A2945" i="3" s="1"/>
  <c r="A2946" i="3" s="1"/>
  <c r="A2947" i="3" s="1"/>
  <c r="A2948" i="3" s="1"/>
  <c r="A2949" i="3" s="1"/>
  <c r="A2950" i="3" s="1"/>
  <c r="A2951" i="3" s="1"/>
  <c r="A2952" i="3" s="1"/>
  <c r="A2953" i="3" s="1"/>
  <c r="A2954" i="3" s="1"/>
  <c r="A2955" i="3" s="1"/>
  <c r="A2956" i="3" s="1"/>
  <c r="A2957" i="3" s="1"/>
  <c r="A2958" i="3" s="1"/>
  <c r="A2959" i="3" s="1"/>
  <c r="A2960" i="3" s="1"/>
  <c r="A2961" i="3" s="1"/>
  <c r="A2962" i="3" s="1"/>
  <c r="A2963" i="3" s="1"/>
  <c r="A2964" i="3" s="1"/>
  <c r="A2965" i="3" s="1"/>
  <c r="A2966" i="3" s="1"/>
  <c r="A2967" i="3" s="1"/>
  <c r="A2968" i="3" s="1"/>
  <c r="A2969" i="3" s="1"/>
  <c r="A2970" i="3" s="1"/>
  <c r="A2971" i="3" s="1"/>
  <c r="A2972" i="3" s="1"/>
  <c r="A2973" i="3" s="1"/>
  <c r="A2974" i="3" s="1"/>
  <c r="A2975" i="3" s="1"/>
  <c r="A2976" i="3" s="1"/>
  <c r="H17" i="5"/>
  <c r="C19" i="4"/>
  <c r="E103" i="7"/>
  <c r="D103" i="7"/>
  <c r="E102" i="7"/>
  <c r="D102" i="7"/>
  <c r="D2393" i="3"/>
  <c r="E2393" i="3" s="1"/>
  <c r="D2394" i="3"/>
  <c r="E2394" i="3" s="1"/>
  <c r="D2395" i="3"/>
  <c r="E2395" i="3" s="1"/>
  <c r="D2396" i="3"/>
  <c r="E2396" i="3" s="1"/>
  <c r="D2397" i="3"/>
  <c r="E2397" i="3" s="1"/>
  <c r="D2398" i="3"/>
  <c r="E2398" i="3" s="1"/>
  <c r="D2399" i="3"/>
  <c r="E2399" i="3" s="1"/>
  <c r="D2400" i="3"/>
  <c r="E2400" i="3" s="1"/>
  <c r="D2401" i="3"/>
  <c r="E2401" i="3" s="1"/>
  <c r="D2402" i="3"/>
  <c r="E2402" i="3" s="1"/>
  <c r="D2403" i="3"/>
  <c r="E2403" i="3" s="1"/>
  <c r="D2404" i="3"/>
  <c r="E2404" i="3" s="1"/>
  <c r="D2405" i="3"/>
  <c r="E2405" i="3" s="1"/>
  <c r="D2406" i="3"/>
  <c r="E2406" i="3" s="1"/>
  <c r="D2407" i="3"/>
  <c r="E2407" i="3" s="1"/>
  <c r="D2408" i="3"/>
  <c r="E2408" i="3" s="1"/>
  <c r="D2409" i="3"/>
  <c r="E2409" i="3" s="1"/>
  <c r="D2410" i="3"/>
  <c r="E2410" i="3" s="1"/>
  <c r="D2411" i="3"/>
  <c r="E2411" i="3" s="1"/>
  <c r="D2412" i="3"/>
  <c r="E2412" i="3" s="1"/>
  <c r="D2413" i="3"/>
  <c r="E2413" i="3" s="1"/>
  <c r="D2414" i="3"/>
  <c r="E2414" i="3" s="1"/>
  <c r="D2415" i="3"/>
  <c r="E2415" i="3" s="1"/>
  <c r="D2416" i="3"/>
  <c r="E2416" i="3" s="1"/>
  <c r="D2417" i="3"/>
  <c r="E2417" i="3" s="1"/>
  <c r="D2418" i="3"/>
  <c r="E2418" i="3" s="1"/>
  <c r="D2419" i="3"/>
  <c r="E2419" i="3" s="1"/>
  <c r="D2420" i="3"/>
  <c r="E2420" i="3" s="1"/>
  <c r="D2421" i="3"/>
  <c r="E2421" i="3" s="1"/>
  <c r="D2422" i="3"/>
  <c r="E2422" i="3" s="1"/>
  <c r="D2423" i="3"/>
  <c r="E2423" i="3" s="1"/>
  <c r="D2424" i="3"/>
  <c r="E2424" i="3" s="1"/>
  <c r="D2425" i="3"/>
  <c r="E2425" i="3" s="1"/>
  <c r="D2426" i="3"/>
  <c r="E2426" i="3" s="1"/>
  <c r="D2427" i="3"/>
  <c r="E2427" i="3" s="1"/>
  <c r="D2428" i="3"/>
  <c r="E2428" i="3" s="1"/>
  <c r="D2429" i="3"/>
  <c r="E2429" i="3" s="1"/>
  <c r="D2430" i="3"/>
  <c r="E2430" i="3" s="1"/>
  <c r="D2431" i="3"/>
  <c r="E2431" i="3" s="1"/>
  <c r="D2432" i="3"/>
  <c r="E2432" i="3" s="1"/>
  <c r="D2433" i="3"/>
  <c r="E2433" i="3" s="1"/>
  <c r="D2434" i="3"/>
  <c r="E2434" i="3" s="1"/>
  <c r="D2435" i="3"/>
  <c r="E2435" i="3" s="1"/>
  <c r="D2436" i="3"/>
  <c r="E2436" i="3" s="1"/>
  <c r="D2437" i="3"/>
  <c r="E2437" i="3" s="1"/>
  <c r="D2438" i="3"/>
  <c r="E2438" i="3" s="1"/>
  <c r="D2439" i="3"/>
  <c r="E2439" i="3" s="1"/>
  <c r="D2440" i="3"/>
  <c r="E2440" i="3" s="1"/>
  <c r="D2441" i="3"/>
  <c r="E2441" i="3" s="1"/>
  <c r="D2442" i="3"/>
  <c r="E2442" i="3" s="1"/>
  <c r="D2443" i="3"/>
  <c r="E2443" i="3" s="1"/>
  <c r="D2444" i="3"/>
  <c r="E2444" i="3" s="1"/>
  <c r="D2445" i="3"/>
  <c r="E2445" i="3" s="1"/>
  <c r="D2446" i="3"/>
  <c r="E2446" i="3" s="1"/>
  <c r="D2447" i="3"/>
  <c r="E2447" i="3" s="1"/>
  <c r="D2448" i="3"/>
  <c r="E2448" i="3" s="1"/>
  <c r="D2449" i="3"/>
  <c r="E2449" i="3" s="1"/>
  <c r="D2450" i="3"/>
  <c r="E2450" i="3" s="1"/>
  <c r="D2451" i="3"/>
  <c r="E2451" i="3" s="1"/>
  <c r="D2452" i="3"/>
  <c r="E2452" i="3" s="1"/>
  <c r="D2453" i="3"/>
  <c r="E2453" i="3" s="1"/>
  <c r="D2454" i="3"/>
  <c r="E2454" i="3" s="1"/>
  <c r="D2455" i="3"/>
  <c r="E2455" i="3" s="1"/>
  <c r="D2456" i="3"/>
  <c r="E2456" i="3" s="1"/>
  <c r="D2457" i="3"/>
  <c r="E2457" i="3" s="1"/>
  <c r="D2458" i="3"/>
  <c r="E2458" i="3" s="1"/>
  <c r="D2459" i="3"/>
  <c r="E2459" i="3" s="1"/>
  <c r="D2460" i="3"/>
  <c r="E2460" i="3" s="1"/>
  <c r="D2461" i="3"/>
  <c r="E2461" i="3" s="1"/>
  <c r="D2462" i="3"/>
  <c r="E2462" i="3" s="1"/>
  <c r="D2463" i="3"/>
  <c r="E2463" i="3" s="1"/>
  <c r="D2464" i="3"/>
  <c r="E2464" i="3" s="1"/>
  <c r="D2465" i="3"/>
  <c r="E2465" i="3" s="1"/>
  <c r="D2466" i="3"/>
  <c r="E2466" i="3" s="1"/>
  <c r="D2467" i="3"/>
  <c r="E2467" i="3" s="1"/>
  <c r="D2468" i="3"/>
  <c r="E2468" i="3" s="1"/>
  <c r="D2469" i="3"/>
  <c r="E2469" i="3" s="1"/>
  <c r="D2470" i="3"/>
  <c r="E2470" i="3" s="1"/>
  <c r="D2471" i="3"/>
  <c r="E2471" i="3" s="1"/>
  <c r="D2472" i="3"/>
  <c r="E2472" i="3" s="1"/>
  <c r="D2473" i="3"/>
  <c r="E2473" i="3" s="1"/>
  <c r="D2474" i="3"/>
  <c r="E2474" i="3" s="1"/>
  <c r="D2475" i="3"/>
  <c r="E2475" i="3" s="1"/>
  <c r="D2476" i="3"/>
  <c r="E2476" i="3" s="1"/>
  <c r="D2477" i="3"/>
  <c r="E2477" i="3" s="1"/>
  <c r="D2478" i="3"/>
  <c r="E2478" i="3" s="1"/>
  <c r="D2479" i="3"/>
  <c r="E2479" i="3" s="1"/>
  <c r="D2480" i="3"/>
  <c r="E2480" i="3" s="1"/>
  <c r="D2481" i="3"/>
  <c r="E2481" i="3" s="1"/>
  <c r="D2482" i="3"/>
  <c r="E2482" i="3" s="1"/>
  <c r="D2483" i="3"/>
  <c r="E2483" i="3" s="1"/>
  <c r="D2484" i="3"/>
  <c r="E2484" i="3" s="1"/>
  <c r="D2485" i="3"/>
  <c r="E2485" i="3" s="1"/>
  <c r="D2486" i="3"/>
  <c r="E2486" i="3" s="1"/>
  <c r="D2487" i="3"/>
  <c r="E2487" i="3" s="1"/>
  <c r="D2488" i="3"/>
  <c r="E2488" i="3" s="1"/>
  <c r="D2489" i="3"/>
  <c r="E2489" i="3" s="1"/>
  <c r="D2490" i="3"/>
  <c r="E2490" i="3" s="1"/>
  <c r="D2491" i="3"/>
  <c r="E2491" i="3" s="1"/>
  <c r="D2492" i="3"/>
  <c r="E2492" i="3" s="1"/>
  <c r="D2493" i="3"/>
  <c r="E2493" i="3" s="1"/>
  <c r="D2494" i="3"/>
  <c r="E2494" i="3" s="1"/>
  <c r="D2495" i="3"/>
  <c r="E2495" i="3" s="1"/>
  <c r="D2496" i="3"/>
  <c r="E2496" i="3" s="1"/>
  <c r="D2497" i="3"/>
  <c r="E2497" i="3" s="1"/>
  <c r="D2498" i="3"/>
  <c r="E2498" i="3" s="1"/>
  <c r="D2499" i="3"/>
  <c r="E2499" i="3" s="1"/>
  <c r="D2500" i="3"/>
  <c r="E2500" i="3" s="1"/>
  <c r="D2501" i="3"/>
  <c r="E2501" i="3" s="1"/>
  <c r="D2004" i="3"/>
  <c r="E2004" i="3" s="1"/>
  <c r="D2005" i="3"/>
  <c r="E2005" i="3" s="1"/>
  <c r="D2006" i="3"/>
  <c r="E2006" i="3" s="1"/>
  <c r="D2007" i="3"/>
  <c r="E2007" i="3" s="1"/>
  <c r="D2008" i="3"/>
  <c r="E2008" i="3" s="1"/>
  <c r="D2009" i="3"/>
  <c r="E2009" i="3" s="1"/>
  <c r="D2010" i="3"/>
  <c r="E2010" i="3" s="1"/>
  <c r="D2011" i="3"/>
  <c r="E2011" i="3" s="1"/>
  <c r="D2012" i="3"/>
  <c r="E2012" i="3" s="1"/>
  <c r="D2013" i="3"/>
  <c r="E2013" i="3" s="1"/>
  <c r="D2014" i="3"/>
  <c r="E2014" i="3" s="1"/>
  <c r="D2015" i="3"/>
  <c r="E2015" i="3" s="1"/>
  <c r="D2016" i="3"/>
  <c r="E2016" i="3" s="1"/>
  <c r="D2017" i="3"/>
  <c r="E2017" i="3" s="1"/>
  <c r="D2018" i="3"/>
  <c r="E2018" i="3" s="1"/>
  <c r="D2019" i="3"/>
  <c r="E2019" i="3" s="1"/>
  <c r="D2020" i="3"/>
  <c r="E2020" i="3" s="1"/>
  <c r="D2021" i="3"/>
  <c r="E2021" i="3" s="1"/>
  <c r="D2022" i="3"/>
  <c r="E2022" i="3" s="1"/>
  <c r="D2023" i="3"/>
  <c r="E2023" i="3" s="1"/>
  <c r="D2024" i="3"/>
  <c r="E2024" i="3" s="1"/>
  <c r="D2025" i="3"/>
  <c r="E2025" i="3" s="1"/>
  <c r="D2026" i="3"/>
  <c r="E2026" i="3" s="1"/>
  <c r="D2027" i="3"/>
  <c r="E2027" i="3" s="1"/>
  <c r="D2028" i="3"/>
  <c r="E2028" i="3" s="1"/>
  <c r="D2029" i="3"/>
  <c r="E2029" i="3" s="1"/>
  <c r="D2030" i="3"/>
  <c r="E2030" i="3" s="1"/>
  <c r="D2031" i="3"/>
  <c r="E2031" i="3" s="1"/>
  <c r="D2032" i="3"/>
  <c r="E2032" i="3" s="1"/>
  <c r="D2033" i="3"/>
  <c r="E2033" i="3" s="1"/>
  <c r="D2034" i="3"/>
  <c r="E2034" i="3" s="1"/>
  <c r="D2035" i="3"/>
  <c r="E2035" i="3" s="1"/>
  <c r="D2036" i="3"/>
  <c r="E2036" i="3" s="1"/>
  <c r="D2037" i="3"/>
  <c r="E2037" i="3" s="1"/>
  <c r="D2038" i="3"/>
  <c r="E2038" i="3" s="1"/>
  <c r="D2039" i="3"/>
  <c r="E2039" i="3" s="1"/>
  <c r="D2040" i="3"/>
  <c r="E2040" i="3" s="1"/>
  <c r="D2041" i="3"/>
  <c r="E2041" i="3" s="1"/>
  <c r="D2042" i="3"/>
  <c r="E2042" i="3" s="1"/>
  <c r="D2043" i="3"/>
  <c r="E2043" i="3" s="1"/>
  <c r="D2044" i="3"/>
  <c r="E2044" i="3" s="1"/>
  <c r="D2045" i="3"/>
  <c r="E2045" i="3" s="1"/>
  <c r="D2046" i="3"/>
  <c r="E2046" i="3" s="1"/>
  <c r="D2047" i="3"/>
  <c r="E2047" i="3" s="1"/>
  <c r="D2048" i="3"/>
  <c r="E2048" i="3" s="1"/>
  <c r="D2049" i="3"/>
  <c r="E2049" i="3" s="1"/>
  <c r="D2050" i="3"/>
  <c r="E2050" i="3" s="1"/>
  <c r="D2051" i="3"/>
  <c r="E2051" i="3" s="1"/>
  <c r="D2052" i="3"/>
  <c r="E2052" i="3" s="1"/>
  <c r="D2053" i="3"/>
  <c r="E2053" i="3" s="1"/>
  <c r="D2054" i="3"/>
  <c r="E2054" i="3" s="1"/>
  <c r="D2055" i="3"/>
  <c r="E2055" i="3" s="1"/>
  <c r="D2056" i="3"/>
  <c r="E2056" i="3" s="1"/>
  <c r="D2057" i="3"/>
  <c r="E2057" i="3" s="1"/>
  <c r="D2058" i="3"/>
  <c r="E2058" i="3" s="1"/>
  <c r="D2059" i="3"/>
  <c r="E2059" i="3" s="1"/>
  <c r="D2060" i="3"/>
  <c r="E2060" i="3" s="1"/>
  <c r="D2061" i="3"/>
  <c r="E2061" i="3" s="1"/>
  <c r="D2062" i="3"/>
  <c r="E2062" i="3" s="1"/>
  <c r="D2063" i="3"/>
  <c r="E2063" i="3" s="1"/>
  <c r="D2064" i="3"/>
  <c r="E2064" i="3" s="1"/>
  <c r="D2065" i="3"/>
  <c r="E2065" i="3" s="1"/>
  <c r="D2066" i="3"/>
  <c r="E2066" i="3" s="1"/>
  <c r="D2067" i="3"/>
  <c r="E2067" i="3" s="1"/>
  <c r="D2068" i="3"/>
  <c r="E2068" i="3" s="1"/>
  <c r="D2069" i="3"/>
  <c r="E2069" i="3" s="1"/>
  <c r="D2070" i="3"/>
  <c r="E2070" i="3" s="1"/>
  <c r="D2071" i="3"/>
  <c r="E2071" i="3" s="1"/>
  <c r="D2072" i="3"/>
  <c r="E2072" i="3" s="1"/>
  <c r="D2073" i="3"/>
  <c r="E2073" i="3" s="1"/>
  <c r="D2074" i="3"/>
  <c r="E2074" i="3" s="1"/>
  <c r="D2075" i="3"/>
  <c r="E2075" i="3" s="1"/>
  <c r="D2076" i="3"/>
  <c r="E2076" i="3" s="1"/>
  <c r="D2077" i="3"/>
  <c r="E2077" i="3" s="1"/>
  <c r="D2078" i="3"/>
  <c r="E2078" i="3" s="1"/>
  <c r="D2079" i="3"/>
  <c r="E2079" i="3" s="1"/>
  <c r="D2080" i="3"/>
  <c r="E2080" i="3" s="1"/>
  <c r="D2081" i="3"/>
  <c r="E2081" i="3" s="1"/>
  <c r="D2082" i="3"/>
  <c r="E2082" i="3" s="1"/>
  <c r="D2083" i="3"/>
  <c r="E2083" i="3" s="1"/>
  <c r="D2084" i="3"/>
  <c r="E2084" i="3" s="1"/>
  <c r="D2085" i="3"/>
  <c r="E2085" i="3" s="1"/>
  <c r="D2086" i="3"/>
  <c r="E2086" i="3" s="1"/>
  <c r="D2087" i="3"/>
  <c r="E2087" i="3" s="1"/>
  <c r="D2088" i="3"/>
  <c r="E2088" i="3" s="1"/>
  <c r="D2089" i="3"/>
  <c r="E2089" i="3" s="1"/>
  <c r="D2090" i="3"/>
  <c r="E2090" i="3" s="1"/>
  <c r="D2091" i="3"/>
  <c r="E2091" i="3" s="1"/>
  <c r="D2092" i="3"/>
  <c r="E2092" i="3" s="1"/>
  <c r="D2093" i="3"/>
  <c r="E2093" i="3" s="1"/>
  <c r="D2094" i="3"/>
  <c r="E2094" i="3" s="1"/>
  <c r="D2095" i="3"/>
  <c r="E2095" i="3" s="1"/>
  <c r="D2096" i="3"/>
  <c r="E2096" i="3" s="1"/>
  <c r="D2097" i="3"/>
  <c r="E2097" i="3" s="1"/>
  <c r="D2098" i="3"/>
  <c r="E2098" i="3" s="1"/>
  <c r="D2099" i="3"/>
  <c r="E2099" i="3" s="1"/>
  <c r="D2100" i="3"/>
  <c r="E2100" i="3" s="1"/>
  <c r="D2101" i="3"/>
  <c r="E2101" i="3" s="1"/>
  <c r="D2102" i="3"/>
  <c r="E2102" i="3" s="1"/>
  <c r="D2103" i="3"/>
  <c r="E2103" i="3" s="1"/>
  <c r="D2104" i="3"/>
  <c r="E2104" i="3" s="1"/>
  <c r="D2105" i="3"/>
  <c r="E2105" i="3" s="1"/>
  <c r="D2106" i="3"/>
  <c r="E2106" i="3" s="1"/>
  <c r="D2107" i="3"/>
  <c r="E2107" i="3" s="1"/>
  <c r="D2108" i="3"/>
  <c r="E2108" i="3" s="1"/>
  <c r="D2109" i="3"/>
  <c r="E2109" i="3" s="1"/>
  <c r="D2110" i="3"/>
  <c r="E2110" i="3" s="1"/>
  <c r="D2111" i="3"/>
  <c r="E2111" i="3" s="1"/>
  <c r="D2112" i="3"/>
  <c r="E2112" i="3" s="1"/>
  <c r="D2113" i="3"/>
  <c r="E2113" i="3" s="1"/>
  <c r="D2114" i="3"/>
  <c r="E2114" i="3" s="1"/>
  <c r="D2115" i="3"/>
  <c r="E2115" i="3" s="1"/>
  <c r="D2116" i="3"/>
  <c r="E2116" i="3" s="1"/>
  <c r="D2117" i="3"/>
  <c r="E2117" i="3" s="1"/>
  <c r="D2118" i="3"/>
  <c r="E2118" i="3" s="1"/>
  <c r="D2119" i="3"/>
  <c r="E2119" i="3" s="1"/>
  <c r="D2120" i="3"/>
  <c r="E2120" i="3" s="1"/>
  <c r="D2121" i="3"/>
  <c r="E2121" i="3" s="1"/>
  <c r="D2122" i="3"/>
  <c r="E2122" i="3" s="1"/>
  <c r="D2123" i="3"/>
  <c r="E2123" i="3" s="1"/>
  <c r="D2124" i="3"/>
  <c r="E2124" i="3" s="1"/>
  <c r="D2125" i="3"/>
  <c r="E2125" i="3" s="1"/>
  <c r="D2126" i="3"/>
  <c r="E2126" i="3" s="1"/>
  <c r="D2127" i="3"/>
  <c r="E2127" i="3" s="1"/>
  <c r="D2128" i="3"/>
  <c r="E2128" i="3" s="1"/>
  <c r="D2129" i="3"/>
  <c r="E2129" i="3" s="1"/>
  <c r="D2130" i="3"/>
  <c r="E2130" i="3" s="1"/>
  <c r="D2131" i="3"/>
  <c r="E2131" i="3" s="1"/>
  <c r="D2132" i="3"/>
  <c r="E2132" i="3" s="1"/>
  <c r="D2133" i="3"/>
  <c r="E2133" i="3" s="1"/>
  <c r="D2134" i="3"/>
  <c r="E2134" i="3" s="1"/>
  <c r="D2135" i="3"/>
  <c r="E2135" i="3" s="1"/>
  <c r="D2136" i="3"/>
  <c r="E2136" i="3" s="1"/>
  <c r="D2137" i="3"/>
  <c r="E2137" i="3" s="1"/>
  <c r="D2138" i="3"/>
  <c r="E2138" i="3" s="1"/>
  <c r="D2139" i="3"/>
  <c r="E2139" i="3" s="1"/>
  <c r="D2140" i="3"/>
  <c r="E2140" i="3" s="1"/>
  <c r="D2141" i="3"/>
  <c r="E2141" i="3" s="1"/>
  <c r="D2142" i="3"/>
  <c r="E2142" i="3" s="1"/>
  <c r="D2143" i="3"/>
  <c r="E2143" i="3" s="1"/>
  <c r="D2144" i="3"/>
  <c r="E2144" i="3" s="1"/>
  <c r="D2145" i="3"/>
  <c r="E2145" i="3" s="1"/>
  <c r="D2146" i="3"/>
  <c r="E2146" i="3" s="1"/>
  <c r="D2147" i="3"/>
  <c r="E2147" i="3" s="1"/>
  <c r="D2148" i="3"/>
  <c r="E2148" i="3" s="1"/>
  <c r="D2149" i="3"/>
  <c r="E2149" i="3" s="1"/>
  <c r="D2150" i="3"/>
  <c r="E2150" i="3" s="1"/>
  <c r="D2151" i="3"/>
  <c r="E2151" i="3" s="1"/>
  <c r="D2152" i="3"/>
  <c r="E2152" i="3" s="1"/>
  <c r="D2153" i="3"/>
  <c r="E2153" i="3" s="1"/>
  <c r="D2154" i="3"/>
  <c r="E2154" i="3" s="1"/>
  <c r="D2155" i="3"/>
  <c r="E2155" i="3" s="1"/>
  <c r="D2156" i="3"/>
  <c r="E2156" i="3" s="1"/>
  <c r="D2157" i="3"/>
  <c r="E2157" i="3" s="1"/>
  <c r="D2158" i="3"/>
  <c r="E2158" i="3" s="1"/>
  <c r="D2159" i="3"/>
  <c r="E2159" i="3" s="1"/>
  <c r="D2160" i="3"/>
  <c r="E2160" i="3" s="1"/>
  <c r="D2161" i="3"/>
  <c r="E2161" i="3" s="1"/>
  <c r="D2162" i="3"/>
  <c r="E2162" i="3" s="1"/>
  <c r="D2163" i="3"/>
  <c r="E2163" i="3" s="1"/>
  <c r="D2164" i="3"/>
  <c r="E2164" i="3" s="1"/>
  <c r="D2165" i="3"/>
  <c r="E2165" i="3" s="1"/>
  <c r="D2166" i="3"/>
  <c r="E2166" i="3" s="1"/>
  <c r="D2167" i="3"/>
  <c r="E2167" i="3" s="1"/>
  <c r="D2168" i="3"/>
  <c r="E2168" i="3" s="1"/>
  <c r="D2169" i="3"/>
  <c r="E2169" i="3" s="1"/>
  <c r="D2170" i="3"/>
  <c r="E2170" i="3" s="1"/>
  <c r="D2171" i="3"/>
  <c r="E2171" i="3" s="1"/>
  <c r="D2172" i="3"/>
  <c r="E2172" i="3" s="1"/>
  <c r="D2173" i="3"/>
  <c r="E2173" i="3" s="1"/>
  <c r="D2174" i="3"/>
  <c r="E2174" i="3" s="1"/>
  <c r="D2175" i="3"/>
  <c r="E2175" i="3" s="1"/>
  <c r="D2176" i="3"/>
  <c r="E2176" i="3" s="1"/>
  <c r="D2177" i="3"/>
  <c r="E2177" i="3" s="1"/>
  <c r="D2178" i="3"/>
  <c r="E2178" i="3" s="1"/>
  <c r="D2179" i="3"/>
  <c r="E2179" i="3" s="1"/>
  <c r="D2180" i="3"/>
  <c r="E2180" i="3" s="1"/>
  <c r="D2181" i="3"/>
  <c r="E2181" i="3" s="1"/>
  <c r="D2182" i="3"/>
  <c r="E2182" i="3" s="1"/>
  <c r="D2183" i="3"/>
  <c r="E2183" i="3" s="1"/>
  <c r="D2184" i="3"/>
  <c r="E2184" i="3" s="1"/>
  <c r="D2185" i="3"/>
  <c r="E2185" i="3" s="1"/>
  <c r="D2186" i="3"/>
  <c r="E2186" i="3" s="1"/>
  <c r="D2187" i="3"/>
  <c r="E2187" i="3" s="1"/>
  <c r="D2188" i="3"/>
  <c r="E2188" i="3" s="1"/>
  <c r="D2189" i="3"/>
  <c r="E2189" i="3" s="1"/>
  <c r="D2190" i="3"/>
  <c r="E2190" i="3" s="1"/>
  <c r="D2191" i="3"/>
  <c r="E2191" i="3" s="1"/>
  <c r="D2192" i="3"/>
  <c r="E2192" i="3" s="1"/>
  <c r="D2193" i="3"/>
  <c r="E2193" i="3" s="1"/>
  <c r="D2194" i="3"/>
  <c r="E2194" i="3" s="1"/>
  <c r="D2195" i="3"/>
  <c r="E2195" i="3" s="1"/>
  <c r="D2196" i="3"/>
  <c r="E2196" i="3" s="1"/>
  <c r="D2197" i="3"/>
  <c r="E2197" i="3" s="1"/>
  <c r="D2198" i="3"/>
  <c r="E2198" i="3" s="1"/>
  <c r="D2199" i="3"/>
  <c r="E2199" i="3" s="1"/>
  <c r="D2200" i="3"/>
  <c r="E2200" i="3" s="1"/>
  <c r="D2201" i="3"/>
  <c r="E2201" i="3" s="1"/>
  <c r="D2202" i="3"/>
  <c r="E2202" i="3" s="1"/>
  <c r="D2203" i="3"/>
  <c r="E2203" i="3" s="1"/>
  <c r="D2204" i="3"/>
  <c r="E2204" i="3" s="1"/>
  <c r="D2205" i="3"/>
  <c r="E2205" i="3" s="1"/>
  <c r="D2206" i="3"/>
  <c r="E2206" i="3" s="1"/>
  <c r="D2207" i="3"/>
  <c r="E2207" i="3" s="1"/>
  <c r="D2208" i="3"/>
  <c r="E2208" i="3" s="1"/>
  <c r="D2209" i="3"/>
  <c r="E2209" i="3" s="1"/>
  <c r="D2210" i="3"/>
  <c r="E2210" i="3" s="1"/>
  <c r="D2211" i="3"/>
  <c r="E2211" i="3" s="1"/>
  <c r="D2212" i="3"/>
  <c r="E2212" i="3" s="1"/>
  <c r="D2213" i="3"/>
  <c r="E2213" i="3" s="1"/>
  <c r="D2214" i="3"/>
  <c r="E2214" i="3" s="1"/>
  <c r="D2215" i="3"/>
  <c r="E2215" i="3" s="1"/>
  <c r="D2216" i="3"/>
  <c r="E2216" i="3" s="1"/>
  <c r="D2217" i="3"/>
  <c r="E2217" i="3" s="1"/>
  <c r="D2218" i="3"/>
  <c r="E2218" i="3" s="1"/>
  <c r="D2219" i="3"/>
  <c r="E2219" i="3" s="1"/>
  <c r="D2220" i="3"/>
  <c r="E2220" i="3" s="1"/>
  <c r="D2221" i="3"/>
  <c r="E2221" i="3" s="1"/>
  <c r="D2222" i="3"/>
  <c r="E2222" i="3" s="1"/>
  <c r="D2223" i="3"/>
  <c r="E2223" i="3" s="1"/>
  <c r="D2224" i="3"/>
  <c r="E2224" i="3" s="1"/>
  <c r="D2225" i="3"/>
  <c r="E2225" i="3" s="1"/>
  <c r="D2226" i="3"/>
  <c r="E2226" i="3" s="1"/>
  <c r="D2227" i="3"/>
  <c r="E2227" i="3" s="1"/>
  <c r="D2228" i="3"/>
  <c r="E2228" i="3" s="1"/>
  <c r="D2229" i="3"/>
  <c r="E2229" i="3" s="1"/>
  <c r="D2230" i="3"/>
  <c r="E2230" i="3" s="1"/>
  <c r="D2231" i="3"/>
  <c r="E2231" i="3" s="1"/>
  <c r="D2232" i="3"/>
  <c r="E2232" i="3" s="1"/>
  <c r="D2233" i="3"/>
  <c r="E2233" i="3" s="1"/>
  <c r="D2234" i="3"/>
  <c r="E2234" i="3" s="1"/>
  <c r="D2235" i="3"/>
  <c r="E2235" i="3" s="1"/>
  <c r="D2236" i="3"/>
  <c r="E2236" i="3" s="1"/>
  <c r="D2237" i="3"/>
  <c r="E2237" i="3" s="1"/>
  <c r="D2238" i="3"/>
  <c r="E2238" i="3" s="1"/>
  <c r="D2239" i="3"/>
  <c r="E2239" i="3" s="1"/>
  <c r="D2240" i="3"/>
  <c r="E2240" i="3" s="1"/>
  <c r="D2241" i="3"/>
  <c r="E2241" i="3" s="1"/>
  <c r="D2242" i="3"/>
  <c r="E2242" i="3" s="1"/>
  <c r="D2243" i="3"/>
  <c r="E2243" i="3" s="1"/>
  <c r="D2244" i="3"/>
  <c r="E2244" i="3" s="1"/>
  <c r="D2245" i="3"/>
  <c r="E2245" i="3" s="1"/>
  <c r="D2246" i="3"/>
  <c r="E2246" i="3" s="1"/>
  <c r="D2247" i="3"/>
  <c r="E2247" i="3" s="1"/>
  <c r="D2248" i="3"/>
  <c r="E2248" i="3" s="1"/>
  <c r="D2249" i="3"/>
  <c r="E2249" i="3" s="1"/>
  <c r="D2250" i="3"/>
  <c r="E2250" i="3" s="1"/>
  <c r="D2251" i="3"/>
  <c r="E2251" i="3" s="1"/>
  <c r="D2252" i="3"/>
  <c r="E2252" i="3" s="1"/>
  <c r="D2253" i="3"/>
  <c r="E2253" i="3" s="1"/>
  <c r="D2254" i="3"/>
  <c r="E2254" i="3" s="1"/>
  <c r="D2255" i="3"/>
  <c r="E2255" i="3" s="1"/>
  <c r="D2256" i="3"/>
  <c r="E2256" i="3" s="1"/>
  <c r="D2257" i="3"/>
  <c r="E2257" i="3" s="1"/>
  <c r="D2258" i="3"/>
  <c r="E2258" i="3" s="1"/>
  <c r="D2259" i="3"/>
  <c r="E2259" i="3" s="1"/>
  <c r="D2260" i="3"/>
  <c r="E2260" i="3" s="1"/>
  <c r="D2261" i="3"/>
  <c r="E2261" i="3" s="1"/>
  <c r="D2262" i="3"/>
  <c r="E2262" i="3" s="1"/>
  <c r="D2263" i="3"/>
  <c r="E2263" i="3" s="1"/>
  <c r="D2264" i="3"/>
  <c r="E2264" i="3" s="1"/>
  <c r="D2265" i="3"/>
  <c r="E2265" i="3" s="1"/>
  <c r="D2266" i="3"/>
  <c r="E2266" i="3" s="1"/>
  <c r="D2267" i="3"/>
  <c r="E2267" i="3" s="1"/>
  <c r="D2268" i="3"/>
  <c r="E2268" i="3" s="1"/>
  <c r="D2269" i="3"/>
  <c r="E2269" i="3" s="1"/>
  <c r="D2270" i="3"/>
  <c r="E2270" i="3" s="1"/>
  <c r="D2271" i="3"/>
  <c r="E2271" i="3" s="1"/>
  <c r="D2272" i="3"/>
  <c r="E2272" i="3" s="1"/>
  <c r="D2273" i="3"/>
  <c r="E2273" i="3" s="1"/>
  <c r="D2274" i="3"/>
  <c r="E2274" i="3" s="1"/>
  <c r="D2275" i="3"/>
  <c r="E2275" i="3" s="1"/>
  <c r="D2276" i="3"/>
  <c r="E2276" i="3" s="1"/>
  <c r="D2277" i="3"/>
  <c r="E2277" i="3" s="1"/>
  <c r="D2278" i="3"/>
  <c r="E2278" i="3" s="1"/>
  <c r="D2279" i="3"/>
  <c r="E2279" i="3" s="1"/>
  <c r="D2280" i="3"/>
  <c r="E2280" i="3" s="1"/>
  <c r="D2281" i="3"/>
  <c r="E2281" i="3" s="1"/>
  <c r="D2282" i="3"/>
  <c r="E2282" i="3" s="1"/>
  <c r="D2283" i="3"/>
  <c r="E2283" i="3" s="1"/>
  <c r="D2284" i="3"/>
  <c r="E2284" i="3" s="1"/>
  <c r="D2285" i="3"/>
  <c r="E2285" i="3" s="1"/>
  <c r="D2286" i="3"/>
  <c r="E2286" i="3" s="1"/>
  <c r="D2287" i="3"/>
  <c r="E2287" i="3" s="1"/>
  <c r="D2288" i="3"/>
  <c r="E2288" i="3" s="1"/>
  <c r="D2289" i="3"/>
  <c r="E2289" i="3" s="1"/>
  <c r="D2290" i="3"/>
  <c r="E2290" i="3" s="1"/>
  <c r="D2291" i="3"/>
  <c r="E2291" i="3" s="1"/>
  <c r="D2292" i="3"/>
  <c r="E2292" i="3" s="1"/>
  <c r="D2293" i="3"/>
  <c r="E2293" i="3" s="1"/>
  <c r="D2294" i="3"/>
  <c r="E2294" i="3" s="1"/>
  <c r="D2295" i="3"/>
  <c r="E2295" i="3" s="1"/>
  <c r="D2296" i="3"/>
  <c r="E2296" i="3" s="1"/>
  <c r="D2297" i="3"/>
  <c r="E2297" i="3" s="1"/>
  <c r="D2298" i="3"/>
  <c r="E2298" i="3" s="1"/>
  <c r="D2299" i="3"/>
  <c r="E2299" i="3" s="1"/>
  <c r="D2300" i="3"/>
  <c r="E2300" i="3" s="1"/>
  <c r="D2301" i="3"/>
  <c r="E2301" i="3" s="1"/>
  <c r="D2302" i="3"/>
  <c r="E2302" i="3" s="1"/>
  <c r="D2303" i="3"/>
  <c r="E2303" i="3" s="1"/>
  <c r="D2304" i="3"/>
  <c r="E2304" i="3" s="1"/>
  <c r="D2305" i="3"/>
  <c r="E2305" i="3" s="1"/>
  <c r="D2306" i="3"/>
  <c r="E2306" i="3" s="1"/>
  <c r="D2307" i="3"/>
  <c r="E2307" i="3" s="1"/>
  <c r="D2308" i="3"/>
  <c r="E2308" i="3" s="1"/>
  <c r="D2309" i="3"/>
  <c r="E2309" i="3" s="1"/>
  <c r="D2310" i="3"/>
  <c r="E2310" i="3" s="1"/>
  <c r="D2311" i="3"/>
  <c r="E2311" i="3" s="1"/>
  <c r="D2312" i="3"/>
  <c r="E2312" i="3" s="1"/>
  <c r="D2313" i="3"/>
  <c r="E2313" i="3" s="1"/>
  <c r="D2314" i="3"/>
  <c r="E2314" i="3" s="1"/>
  <c r="D2315" i="3"/>
  <c r="E2315" i="3" s="1"/>
  <c r="D2316" i="3"/>
  <c r="E2316" i="3" s="1"/>
  <c r="D2317" i="3"/>
  <c r="E2317" i="3" s="1"/>
  <c r="D2318" i="3"/>
  <c r="E2318" i="3" s="1"/>
  <c r="D2319" i="3"/>
  <c r="E2319" i="3" s="1"/>
  <c r="D2320" i="3"/>
  <c r="E2320" i="3" s="1"/>
  <c r="D2321" i="3"/>
  <c r="E2321" i="3" s="1"/>
  <c r="D2322" i="3"/>
  <c r="E2322" i="3" s="1"/>
  <c r="D2323" i="3"/>
  <c r="E2323" i="3" s="1"/>
  <c r="D2324" i="3"/>
  <c r="E2324" i="3" s="1"/>
  <c r="D2325" i="3"/>
  <c r="E2325" i="3" s="1"/>
  <c r="D2326" i="3"/>
  <c r="E2326" i="3" s="1"/>
  <c r="D2327" i="3"/>
  <c r="E2327" i="3" s="1"/>
  <c r="D2328" i="3"/>
  <c r="E2328" i="3" s="1"/>
  <c r="D2329" i="3"/>
  <c r="E2329" i="3" s="1"/>
  <c r="D2330" i="3"/>
  <c r="E2330" i="3" s="1"/>
  <c r="D2331" i="3"/>
  <c r="E2331" i="3" s="1"/>
  <c r="D2332" i="3"/>
  <c r="E2332" i="3" s="1"/>
  <c r="D2333" i="3"/>
  <c r="E2333" i="3" s="1"/>
  <c r="D2334" i="3"/>
  <c r="E2334" i="3" s="1"/>
  <c r="D2335" i="3"/>
  <c r="E2335" i="3" s="1"/>
  <c r="D2336" i="3"/>
  <c r="E2336" i="3" s="1"/>
  <c r="D2337" i="3"/>
  <c r="E2337" i="3" s="1"/>
  <c r="D2338" i="3"/>
  <c r="E2338" i="3" s="1"/>
  <c r="D2339" i="3"/>
  <c r="E2339" i="3" s="1"/>
  <c r="D2340" i="3"/>
  <c r="E2340" i="3" s="1"/>
  <c r="D2341" i="3"/>
  <c r="E2341" i="3" s="1"/>
  <c r="D2342" i="3"/>
  <c r="E2342" i="3" s="1"/>
  <c r="D2343" i="3"/>
  <c r="E2343" i="3" s="1"/>
  <c r="D2344" i="3"/>
  <c r="E2344" i="3" s="1"/>
  <c r="D2345" i="3"/>
  <c r="E2345" i="3" s="1"/>
  <c r="D2346" i="3"/>
  <c r="E2346" i="3" s="1"/>
  <c r="D2347" i="3"/>
  <c r="E2347" i="3" s="1"/>
  <c r="D2348" i="3"/>
  <c r="E2348" i="3" s="1"/>
  <c r="D2349" i="3"/>
  <c r="E2349" i="3" s="1"/>
  <c r="D2350" i="3"/>
  <c r="E2350" i="3" s="1"/>
  <c r="D2351" i="3"/>
  <c r="E2351" i="3" s="1"/>
  <c r="D2352" i="3"/>
  <c r="E2352" i="3" s="1"/>
  <c r="D2353" i="3"/>
  <c r="E2353" i="3" s="1"/>
  <c r="D2354" i="3"/>
  <c r="E2354" i="3" s="1"/>
  <c r="D2355" i="3"/>
  <c r="E2355" i="3" s="1"/>
  <c r="D2356" i="3"/>
  <c r="E2356" i="3" s="1"/>
  <c r="D2357" i="3"/>
  <c r="E2357" i="3" s="1"/>
  <c r="D2358" i="3"/>
  <c r="E2358" i="3" s="1"/>
  <c r="D2359" i="3"/>
  <c r="E2359" i="3" s="1"/>
  <c r="D2360" i="3"/>
  <c r="E2360" i="3" s="1"/>
  <c r="D2361" i="3"/>
  <c r="E2361" i="3" s="1"/>
  <c r="D2362" i="3"/>
  <c r="E2362" i="3" s="1"/>
  <c r="D2363" i="3"/>
  <c r="E2363" i="3" s="1"/>
  <c r="D2364" i="3"/>
  <c r="E2364" i="3" s="1"/>
  <c r="D2365" i="3"/>
  <c r="E2365" i="3" s="1"/>
  <c r="D2366" i="3"/>
  <c r="E2366" i="3" s="1"/>
  <c r="D2367" i="3"/>
  <c r="E2367" i="3" s="1"/>
  <c r="D2368" i="3"/>
  <c r="E2368" i="3" s="1"/>
  <c r="D2369" i="3"/>
  <c r="E2369" i="3" s="1"/>
  <c r="D2370" i="3"/>
  <c r="E2370" i="3" s="1"/>
  <c r="D2371" i="3"/>
  <c r="E2371" i="3" s="1"/>
  <c r="D2372" i="3"/>
  <c r="E2372" i="3" s="1"/>
  <c r="D2373" i="3"/>
  <c r="E2373" i="3" s="1"/>
  <c r="D2374" i="3"/>
  <c r="E2374" i="3" s="1"/>
  <c r="D2375" i="3"/>
  <c r="E2375" i="3" s="1"/>
  <c r="D2376" i="3"/>
  <c r="E2376" i="3" s="1"/>
  <c r="D2377" i="3"/>
  <c r="E2377" i="3" s="1"/>
  <c r="D2378" i="3"/>
  <c r="E2378" i="3" s="1"/>
  <c r="D2379" i="3"/>
  <c r="E2379" i="3" s="1"/>
  <c r="D2380" i="3"/>
  <c r="E2380" i="3" s="1"/>
  <c r="D2381" i="3"/>
  <c r="E2381" i="3" s="1"/>
  <c r="D2382" i="3"/>
  <c r="E2382" i="3" s="1"/>
  <c r="D2383" i="3"/>
  <c r="E2383" i="3" s="1"/>
  <c r="D2384" i="3"/>
  <c r="E2384" i="3" s="1"/>
  <c r="D2385" i="3"/>
  <c r="E2385" i="3" s="1"/>
  <c r="D2386" i="3"/>
  <c r="E2386" i="3" s="1"/>
  <c r="D2387" i="3"/>
  <c r="E2387" i="3" s="1"/>
  <c r="D2388" i="3"/>
  <c r="E2388" i="3" s="1"/>
  <c r="D2389" i="3"/>
  <c r="E2389" i="3" s="1"/>
  <c r="D2390" i="3"/>
  <c r="E2390" i="3" s="1"/>
  <c r="D2391" i="3"/>
  <c r="E2391" i="3" s="1"/>
  <c r="D2392" i="3"/>
  <c r="E2392" i="3" s="1"/>
  <c r="D1938" i="3"/>
  <c r="E1938" i="3" s="1"/>
  <c r="D1939" i="3"/>
  <c r="E1939" i="3" s="1"/>
  <c r="D1940" i="3"/>
  <c r="E1940" i="3" s="1"/>
  <c r="D1941" i="3"/>
  <c r="E1941" i="3" s="1"/>
  <c r="D1942" i="3"/>
  <c r="E1942" i="3" s="1"/>
  <c r="D1943" i="3"/>
  <c r="E1943" i="3" s="1"/>
  <c r="D1944" i="3"/>
  <c r="E1944" i="3" s="1"/>
  <c r="D1945" i="3"/>
  <c r="E1945" i="3" s="1"/>
  <c r="D1946" i="3"/>
  <c r="E1946" i="3" s="1"/>
  <c r="D1947" i="3"/>
  <c r="E1947" i="3" s="1"/>
  <c r="D1948" i="3"/>
  <c r="E1948" i="3" s="1"/>
  <c r="D1949" i="3"/>
  <c r="E1949" i="3" s="1"/>
  <c r="D1950" i="3"/>
  <c r="E1950" i="3" s="1"/>
  <c r="D1951" i="3"/>
  <c r="E1951" i="3" s="1"/>
  <c r="D1952" i="3"/>
  <c r="E1952" i="3" s="1"/>
  <c r="D1953" i="3"/>
  <c r="E1953" i="3" s="1"/>
  <c r="D1954" i="3"/>
  <c r="E1954" i="3" s="1"/>
  <c r="D1955" i="3"/>
  <c r="E1955" i="3" s="1"/>
  <c r="D1956" i="3"/>
  <c r="E1956" i="3" s="1"/>
  <c r="D1957" i="3"/>
  <c r="E1957" i="3" s="1"/>
  <c r="D1958" i="3"/>
  <c r="E1958" i="3" s="1"/>
  <c r="D1959" i="3"/>
  <c r="E1959" i="3" s="1"/>
  <c r="D1960" i="3"/>
  <c r="E1960" i="3" s="1"/>
  <c r="D1961" i="3"/>
  <c r="E1961" i="3" s="1"/>
  <c r="D1962" i="3"/>
  <c r="E1962" i="3" s="1"/>
  <c r="D1963" i="3"/>
  <c r="E1963" i="3" s="1"/>
  <c r="D1964" i="3"/>
  <c r="E1964" i="3" s="1"/>
  <c r="D1965" i="3"/>
  <c r="E1965" i="3" s="1"/>
  <c r="D1966" i="3"/>
  <c r="E1966" i="3" s="1"/>
  <c r="D1967" i="3"/>
  <c r="E1967" i="3" s="1"/>
  <c r="D1968" i="3"/>
  <c r="E1968" i="3" s="1"/>
  <c r="D1969" i="3"/>
  <c r="E1969" i="3" s="1"/>
  <c r="D1970" i="3"/>
  <c r="E1970" i="3" s="1"/>
  <c r="D1971" i="3"/>
  <c r="E1971" i="3" s="1"/>
  <c r="D1972" i="3"/>
  <c r="E1972" i="3" s="1"/>
  <c r="D1973" i="3"/>
  <c r="E1973" i="3" s="1"/>
  <c r="D1974" i="3"/>
  <c r="E1974" i="3" s="1"/>
  <c r="D1975" i="3"/>
  <c r="E1975" i="3" s="1"/>
  <c r="D1976" i="3"/>
  <c r="E1976" i="3" s="1"/>
  <c r="D1977" i="3"/>
  <c r="E1977" i="3" s="1"/>
  <c r="D1978" i="3"/>
  <c r="E1978" i="3" s="1"/>
  <c r="D1979" i="3"/>
  <c r="E1979" i="3" s="1"/>
  <c r="D1980" i="3"/>
  <c r="E1980" i="3" s="1"/>
  <c r="D1981" i="3"/>
  <c r="E1981" i="3" s="1"/>
  <c r="D1982" i="3"/>
  <c r="E1982" i="3" s="1"/>
  <c r="D1983" i="3"/>
  <c r="E1983" i="3" s="1"/>
  <c r="D1984" i="3"/>
  <c r="E1984" i="3" s="1"/>
  <c r="D1985" i="3"/>
  <c r="E1985" i="3" s="1"/>
  <c r="D1986" i="3"/>
  <c r="E1986" i="3" s="1"/>
  <c r="D1987" i="3"/>
  <c r="E1987" i="3" s="1"/>
  <c r="D1988" i="3"/>
  <c r="E1988" i="3" s="1"/>
  <c r="D1989" i="3"/>
  <c r="E1989" i="3" s="1"/>
  <c r="D1990" i="3"/>
  <c r="E1990" i="3" s="1"/>
  <c r="D1991" i="3"/>
  <c r="E1991" i="3" s="1"/>
  <c r="D1992" i="3"/>
  <c r="E1992" i="3" s="1"/>
  <c r="D1993" i="3"/>
  <c r="E1993" i="3" s="1"/>
  <c r="D1994" i="3"/>
  <c r="E1994" i="3" s="1"/>
  <c r="D1995" i="3"/>
  <c r="E1995" i="3" s="1"/>
  <c r="D1996" i="3"/>
  <c r="E1996" i="3" s="1"/>
  <c r="D1997" i="3"/>
  <c r="E1997" i="3" s="1"/>
  <c r="D1998" i="3"/>
  <c r="E1998" i="3" s="1"/>
  <c r="D1999" i="3"/>
  <c r="E1999" i="3" s="1"/>
  <c r="D2000" i="3"/>
  <c r="E2000" i="3" s="1"/>
  <c r="D2001" i="3"/>
  <c r="E2001" i="3" s="1"/>
  <c r="D2002" i="3"/>
  <c r="E2002" i="3" s="1"/>
  <c r="D2003" i="3"/>
  <c r="E2003" i="3" s="1"/>
  <c r="D1911" i="3"/>
  <c r="E1911" i="3" s="1"/>
  <c r="D1912" i="3"/>
  <c r="E1912" i="3" s="1"/>
  <c r="D1913" i="3"/>
  <c r="E1913" i="3" s="1"/>
  <c r="D1914" i="3"/>
  <c r="E1914" i="3" s="1"/>
  <c r="D1915" i="3"/>
  <c r="E1915" i="3" s="1"/>
  <c r="D1916" i="3"/>
  <c r="E1916" i="3" s="1"/>
  <c r="D1917" i="3"/>
  <c r="E1917" i="3" s="1"/>
  <c r="D1918" i="3"/>
  <c r="E1918" i="3" s="1"/>
  <c r="D1919" i="3"/>
  <c r="E1919" i="3" s="1"/>
  <c r="D1920" i="3"/>
  <c r="E1920" i="3" s="1"/>
  <c r="D1921" i="3"/>
  <c r="E1921" i="3" s="1"/>
  <c r="D1922" i="3"/>
  <c r="E1922" i="3" s="1"/>
  <c r="D1923" i="3"/>
  <c r="E1923" i="3" s="1"/>
  <c r="D1924" i="3"/>
  <c r="E1924" i="3" s="1"/>
  <c r="D1925" i="3"/>
  <c r="E1925" i="3" s="1"/>
  <c r="D1926" i="3"/>
  <c r="E1926" i="3" s="1"/>
  <c r="D1927" i="3"/>
  <c r="E1927" i="3" s="1"/>
  <c r="D1928" i="3"/>
  <c r="E1928" i="3" s="1"/>
  <c r="D1929" i="3"/>
  <c r="E1929" i="3" s="1"/>
  <c r="D1930" i="3"/>
  <c r="E1930" i="3" s="1"/>
  <c r="D1931" i="3"/>
  <c r="E1931" i="3" s="1"/>
  <c r="D1932" i="3"/>
  <c r="E1932" i="3" s="1"/>
  <c r="D1933" i="3"/>
  <c r="E1933" i="3" s="1"/>
  <c r="D1934" i="3"/>
  <c r="E1934" i="3" s="1"/>
  <c r="D1935" i="3"/>
  <c r="E1935" i="3" s="1"/>
  <c r="D1936" i="3"/>
  <c r="E1936" i="3" s="1"/>
  <c r="D1937" i="3"/>
  <c r="E1937" i="3" s="1"/>
  <c r="D1910" i="3"/>
  <c r="E1910" i="3" s="1"/>
  <c r="D1909" i="3"/>
  <c r="E1909" i="3" s="1"/>
  <c r="D1908" i="3"/>
  <c r="E1908" i="3" s="1"/>
  <c r="D1907" i="3"/>
  <c r="E1907" i="3" s="1"/>
  <c r="D1906" i="3"/>
  <c r="E1906" i="3" s="1"/>
  <c r="D1905" i="3"/>
  <c r="E1905" i="3" s="1"/>
  <c r="D1904" i="3"/>
  <c r="E1904" i="3" s="1"/>
  <c r="D1903" i="3"/>
  <c r="E1903" i="3" s="1"/>
  <c r="D1902" i="3"/>
  <c r="E1902" i="3" s="1"/>
  <c r="D1901" i="3"/>
  <c r="E1901" i="3" s="1"/>
  <c r="D1900" i="3"/>
  <c r="E1900" i="3" s="1"/>
  <c r="D1899" i="3"/>
  <c r="E1899" i="3" s="1"/>
  <c r="D1898" i="3"/>
  <c r="E1898" i="3" s="1"/>
  <c r="D1897" i="3"/>
  <c r="E1897" i="3" s="1"/>
  <c r="D1896" i="3"/>
  <c r="E1896" i="3" s="1"/>
  <c r="D1895" i="3"/>
  <c r="E1895" i="3" s="1"/>
  <c r="D1894" i="3"/>
  <c r="E1894" i="3" s="1"/>
  <c r="D1893" i="3"/>
  <c r="E1893" i="3" s="1"/>
  <c r="D1892" i="3"/>
  <c r="E1892" i="3" s="1"/>
  <c r="D1891" i="3"/>
  <c r="E1891" i="3" s="1"/>
  <c r="D1890" i="3"/>
  <c r="E1890" i="3" s="1"/>
  <c r="D1889" i="3"/>
  <c r="E1889" i="3" s="1"/>
  <c r="D1888" i="3"/>
  <c r="E1888" i="3" s="1"/>
  <c r="D1887" i="3"/>
  <c r="E1887" i="3" s="1"/>
  <c r="D1886" i="3"/>
  <c r="E1886" i="3" s="1"/>
  <c r="D1885" i="3"/>
  <c r="E1885" i="3" s="1"/>
  <c r="D1884" i="3"/>
  <c r="E1884" i="3" s="1"/>
  <c r="D1883" i="3"/>
  <c r="E1883" i="3" s="1"/>
  <c r="D1882" i="3"/>
  <c r="E1882" i="3" s="1"/>
  <c r="D1881" i="3"/>
  <c r="E1881" i="3" s="1"/>
  <c r="D1880" i="3"/>
  <c r="E1880" i="3" s="1"/>
  <c r="D1879" i="3"/>
  <c r="E1879" i="3" s="1"/>
  <c r="D1878" i="3"/>
  <c r="E1878" i="3" s="1"/>
  <c r="D1877" i="3"/>
  <c r="E1877" i="3" s="1"/>
  <c r="D1876" i="3"/>
  <c r="E1876" i="3" s="1"/>
  <c r="D1875" i="3"/>
  <c r="E1875" i="3" s="1"/>
  <c r="D1874" i="3"/>
  <c r="E1874" i="3" s="1"/>
  <c r="D1873" i="3"/>
  <c r="E1873" i="3" s="1"/>
  <c r="D1872" i="3"/>
  <c r="E1872" i="3" s="1"/>
  <c r="D1871" i="3"/>
  <c r="E1871" i="3" s="1"/>
  <c r="D1870" i="3"/>
  <c r="E1870" i="3" s="1"/>
  <c r="D1869" i="3"/>
  <c r="E1869" i="3" s="1"/>
  <c r="D1868" i="3"/>
  <c r="E1868" i="3" s="1"/>
  <c r="D1867" i="3"/>
  <c r="E1867" i="3" s="1"/>
  <c r="D1866" i="3"/>
  <c r="E1866" i="3" s="1"/>
  <c r="D1865" i="3"/>
  <c r="E1865" i="3" s="1"/>
  <c r="D1864" i="3"/>
  <c r="E1864" i="3" s="1"/>
  <c r="D1863" i="3"/>
  <c r="E1863" i="3" s="1"/>
  <c r="D1862" i="3"/>
  <c r="E1862" i="3" s="1"/>
  <c r="D1861" i="3"/>
  <c r="E1861" i="3" s="1"/>
  <c r="D1860" i="3"/>
  <c r="E1860" i="3" s="1"/>
  <c r="D1859" i="3"/>
  <c r="E1859" i="3" s="1"/>
  <c r="D1858" i="3"/>
  <c r="E1858" i="3" s="1"/>
  <c r="D1857" i="3"/>
  <c r="E1857" i="3" s="1"/>
  <c r="D1856" i="3"/>
  <c r="E1856" i="3" s="1"/>
  <c r="D1855" i="3"/>
  <c r="E1855" i="3" s="1"/>
  <c r="D1854" i="3"/>
  <c r="E1854" i="3" s="1"/>
  <c r="D1853" i="3"/>
  <c r="E1853" i="3" s="1"/>
  <c r="D1852" i="3"/>
  <c r="E1852" i="3" s="1"/>
  <c r="D1851" i="3"/>
  <c r="E1851" i="3" s="1"/>
  <c r="D1850" i="3"/>
  <c r="E1850" i="3" s="1"/>
  <c r="D1849" i="3"/>
  <c r="E1849" i="3" s="1"/>
  <c r="D1848" i="3"/>
  <c r="E1848" i="3" s="1"/>
  <c r="D1847" i="3"/>
  <c r="E1847" i="3" s="1"/>
  <c r="D1846" i="3"/>
  <c r="E1846" i="3" s="1"/>
  <c r="D1845" i="3"/>
  <c r="E1845" i="3" s="1"/>
  <c r="D1844" i="3"/>
  <c r="E1844" i="3" s="1"/>
  <c r="D1843" i="3"/>
  <c r="E1843" i="3" s="1"/>
  <c r="D1842" i="3"/>
  <c r="E1842" i="3" s="1"/>
  <c r="D1841" i="3"/>
  <c r="E1841" i="3" s="1"/>
  <c r="D1840" i="3"/>
  <c r="E1840" i="3" s="1"/>
  <c r="D1839" i="3"/>
  <c r="E1839" i="3" s="1"/>
  <c r="D1838" i="3"/>
  <c r="E1838" i="3" s="1"/>
  <c r="D1837" i="3"/>
  <c r="E1837" i="3" s="1"/>
  <c r="D1836" i="3"/>
  <c r="E1836" i="3" s="1"/>
  <c r="D1835" i="3"/>
  <c r="E1835" i="3" s="1"/>
  <c r="D1834" i="3"/>
  <c r="E1834" i="3" s="1"/>
  <c r="D1833" i="3"/>
  <c r="E1833" i="3" s="1"/>
  <c r="D1832" i="3"/>
  <c r="E1832" i="3" s="1"/>
  <c r="D1831" i="3"/>
  <c r="E1831" i="3" s="1"/>
  <c r="D1830" i="3"/>
  <c r="E1830" i="3" s="1"/>
  <c r="D1829" i="3"/>
  <c r="E1829" i="3" s="1"/>
  <c r="D1828" i="3"/>
  <c r="E1828" i="3" s="1"/>
  <c r="D1827" i="3"/>
  <c r="E1827" i="3" s="1"/>
  <c r="D1826" i="3"/>
  <c r="E1826" i="3" s="1"/>
  <c r="D1825" i="3"/>
  <c r="E1825" i="3" s="1"/>
  <c r="D1824" i="3"/>
  <c r="E1824" i="3" s="1"/>
  <c r="D1823" i="3"/>
  <c r="E1823" i="3" s="1"/>
  <c r="D1822" i="3"/>
  <c r="E1822" i="3" s="1"/>
  <c r="D1821" i="3"/>
  <c r="E1821" i="3" s="1"/>
  <c r="D1820" i="3"/>
  <c r="E1820" i="3" s="1"/>
  <c r="D1819" i="3"/>
  <c r="E1819" i="3" s="1"/>
  <c r="D1818" i="3"/>
  <c r="E1818" i="3" s="1"/>
  <c r="D1817" i="3"/>
  <c r="E1817" i="3" s="1"/>
  <c r="D1816" i="3"/>
  <c r="E1816" i="3" s="1"/>
  <c r="D1815" i="3"/>
  <c r="E1815" i="3" s="1"/>
  <c r="D1814" i="3"/>
  <c r="E1814" i="3" s="1"/>
  <c r="D1813" i="3"/>
  <c r="E1813" i="3" s="1"/>
  <c r="D1812" i="3"/>
  <c r="E1812" i="3" s="1"/>
  <c r="D1811" i="3"/>
  <c r="E1811" i="3" s="1"/>
  <c r="D1810" i="3"/>
  <c r="E1810" i="3" s="1"/>
  <c r="D1809" i="3"/>
  <c r="E1809" i="3" s="1"/>
  <c r="D1808" i="3"/>
  <c r="E1808" i="3" s="1"/>
  <c r="D1807" i="3"/>
  <c r="E1807" i="3" s="1"/>
  <c r="D1806" i="3"/>
  <c r="E1806" i="3" s="1"/>
  <c r="D1805" i="3"/>
  <c r="E1805" i="3" s="1"/>
  <c r="D1804" i="3"/>
  <c r="E1804" i="3" s="1"/>
  <c r="D1803" i="3"/>
  <c r="E1803" i="3" s="1"/>
  <c r="D1802" i="3"/>
  <c r="E1802" i="3" s="1"/>
  <c r="D1801" i="3"/>
  <c r="E1801" i="3" s="1"/>
  <c r="D1800" i="3"/>
  <c r="E1800" i="3" s="1"/>
  <c r="D1799" i="3"/>
  <c r="E1799" i="3" s="1"/>
  <c r="D1798" i="3"/>
  <c r="E1798" i="3" s="1"/>
  <c r="D1797" i="3"/>
  <c r="E1797" i="3" s="1"/>
  <c r="D1796" i="3"/>
  <c r="E1796" i="3" s="1"/>
  <c r="D1795" i="3"/>
  <c r="E1795" i="3" s="1"/>
  <c r="D1794" i="3"/>
  <c r="E1794" i="3" s="1"/>
  <c r="D1793" i="3"/>
  <c r="E1793" i="3" s="1"/>
  <c r="D1792" i="3"/>
  <c r="E1792" i="3" s="1"/>
  <c r="D1791" i="3"/>
  <c r="E1791" i="3" s="1"/>
  <c r="D1790" i="3"/>
  <c r="E1790" i="3" s="1"/>
  <c r="D1789" i="3"/>
  <c r="E1789" i="3" s="1"/>
  <c r="D1788" i="3"/>
  <c r="E1788" i="3" s="1"/>
  <c r="D1787" i="3"/>
  <c r="E1787" i="3" s="1"/>
  <c r="D1786" i="3"/>
  <c r="E1786" i="3" s="1"/>
  <c r="D1785" i="3"/>
  <c r="E1785" i="3" s="1"/>
  <c r="D1784" i="3"/>
  <c r="E1784" i="3" s="1"/>
  <c r="D1783" i="3"/>
  <c r="E1783" i="3" s="1"/>
  <c r="D1782" i="3"/>
  <c r="E1782" i="3" s="1"/>
  <c r="D1781" i="3"/>
  <c r="E1781" i="3" s="1"/>
  <c r="D1780" i="3"/>
  <c r="E1780" i="3" s="1"/>
  <c r="D1779" i="3"/>
  <c r="E1779" i="3" s="1"/>
  <c r="D1778" i="3"/>
  <c r="E1778" i="3" s="1"/>
  <c r="D1777" i="3"/>
  <c r="E1777" i="3" s="1"/>
  <c r="D1776" i="3"/>
  <c r="E1776" i="3" s="1"/>
  <c r="D1775" i="3"/>
  <c r="E1775" i="3" s="1"/>
  <c r="D1774" i="3"/>
  <c r="E1774" i="3" s="1"/>
  <c r="D1773" i="3"/>
  <c r="E1773" i="3" s="1"/>
  <c r="D1772" i="3"/>
  <c r="E1772" i="3" s="1"/>
  <c r="D1771" i="3"/>
  <c r="E1771" i="3" s="1"/>
  <c r="D1770" i="3"/>
  <c r="E1770" i="3" s="1"/>
  <c r="D1769" i="3"/>
  <c r="E1769" i="3" s="1"/>
  <c r="D1768" i="3"/>
  <c r="E1768" i="3" s="1"/>
  <c r="D1767" i="3"/>
  <c r="E1767" i="3" s="1"/>
  <c r="D1766" i="3"/>
  <c r="E1766" i="3" s="1"/>
  <c r="D1765" i="3"/>
  <c r="E1765" i="3" s="1"/>
  <c r="D1764" i="3"/>
  <c r="E1764" i="3" s="1"/>
  <c r="D1763" i="3"/>
  <c r="E1763" i="3" s="1"/>
  <c r="D1762" i="3"/>
  <c r="E1762" i="3" s="1"/>
  <c r="D1761" i="3"/>
  <c r="E1761" i="3" s="1"/>
  <c r="D1760" i="3"/>
  <c r="E1760" i="3" s="1"/>
  <c r="D1759" i="3"/>
  <c r="E1759" i="3" s="1"/>
  <c r="D1758" i="3"/>
  <c r="E1758" i="3" s="1"/>
  <c r="D1757" i="3"/>
  <c r="E1757" i="3" s="1"/>
  <c r="D1756" i="3"/>
  <c r="E1756" i="3" s="1"/>
  <c r="D1755" i="3"/>
  <c r="E1755" i="3" s="1"/>
  <c r="D1754" i="3"/>
  <c r="E1754" i="3" s="1"/>
  <c r="D1753" i="3"/>
  <c r="E1753" i="3" s="1"/>
  <c r="D1752" i="3"/>
  <c r="E1752" i="3" s="1"/>
  <c r="D1751" i="3"/>
  <c r="E1751" i="3" s="1"/>
  <c r="D1750" i="3"/>
  <c r="E1750" i="3" s="1"/>
  <c r="D1749" i="3"/>
  <c r="E1749" i="3" s="1"/>
  <c r="D1748" i="3"/>
  <c r="E1748" i="3" s="1"/>
  <c r="D1747" i="3"/>
  <c r="E1747" i="3" s="1"/>
  <c r="D1746" i="3"/>
  <c r="E1746" i="3" s="1"/>
  <c r="D1745" i="3"/>
  <c r="E1745" i="3" s="1"/>
  <c r="D1744" i="3"/>
  <c r="E1744" i="3" s="1"/>
  <c r="D1743" i="3"/>
  <c r="E1743" i="3" s="1"/>
  <c r="D1742" i="3"/>
  <c r="E1742" i="3" s="1"/>
  <c r="D1741" i="3"/>
  <c r="E1741" i="3" s="1"/>
  <c r="D1740" i="3"/>
  <c r="E1740" i="3" s="1"/>
  <c r="D1739" i="3"/>
  <c r="E1739" i="3" s="1"/>
  <c r="D1738" i="3"/>
  <c r="E1738" i="3" s="1"/>
  <c r="D1737" i="3"/>
  <c r="E1737" i="3" s="1"/>
  <c r="D1736" i="3"/>
  <c r="E1736" i="3" s="1"/>
  <c r="D1735" i="3"/>
  <c r="E1735" i="3" s="1"/>
  <c r="D1734" i="3"/>
  <c r="E1734" i="3" s="1"/>
  <c r="D1733" i="3"/>
  <c r="E1733" i="3" s="1"/>
  <c r="D1732" i="3"/>
  <c r="E1732" i="3" s="1"/>
  <c r="D1731" i="3"/>
  <c r="E1731" i="3" s="1"/>
  <c r="D1730" i="3"/>
  <c r="E1730" i="3" s="1"/>
  <c r="D1729" i="3"/>
  <c r="E1729" i="3" s="1"/>
  <c r="D1728" i="3"/>
  <c r="E1728" i="3" s="1"/>
  <c r="D1727" i="3"/>
  <c r="E1727" i="3" s="1"/>
  <c r="D1726" i="3"/>
  <c r="E1726" i="3" s="1"/>
  <c r="D1725" i="3"/>
  <c r="E1725" i="3" s="1"/>
  <c r="D1724" i="3"/>
  <c r="E1724" i="3" s="1"/>
  <c r="D1723" i="3"/>
  <c r="E1723" i="3" s="1"/>
  <c r="D1722" i="3"/>
  <c r="E1722" i="3" s="1"/>
  <c r="D1721" i="3"/>
  <c r="E1721" i="3" s="1"/>
  <c r="D1720" i="3"/>
  <c r="E1720" i="3" s="1"/>
  <c r="D1719" i="3"/>
  <c r="E1719" i="3" s="1"/>
  <c r="D1718" i="3"/>
  <c r="E1718" i="3" s="1"/>
  <c r="D1717" i="3"/>
  <c r="E1717" i="3" s="1"/>
  <c r="D1716" i="3"/>
  <c r="E1716" i="3" s="1"/>
  <c r="D1715" i="3"/>
  <c r="E1715" i="3" s="1"/>
  <c r="D1714" i="3"/>
  <c r="E1714" i="3" s="1"/>
  <c r="D1713" i="3"/>
  <c r="E1713" i="3" s="1"/>
  <c r="D1712" i="3"/>
  <c r="E1712" i="3" s="1"/>
  <c r="D1711" i="3"/>
  <c r="E1711" i="3" s="1"/>
  <c r="D1710" i="3"/>
  <c r="E1710" i="3" s="1"/>
  <c r="D1709" i="3"/>
  <c r="E1709" i="3" s="1"/>
  <c r="D1708" i="3"/>
  <c r="E1708" i="3" s="1"/>
  <c r="D1707" i="3"/>
  <c r="E1707" i="3" s="1"/>
  <c r="D1706" i="3"/>
  <c r="E1706" i="3" s="1"/>
  <c r="D1705" i="3"/>
  <c r="E1705" i="3" s="1"/>
  <c r="D1704" i="3"/>
  <c r="E1704" i="3" s="1"/>
  <c r="D1703" i="3"/>
  <c r="E1703" i="3" s="1"/>
  <c r="D1702" i="3"/>
  <c r="E1702" i="3" s="1"/>
  <c r="D1701" i="3"/>
  <c r="E1701" i="3" s="1"/>
  <c r="D1700" i="3"/>
  <c r="E1700" i="3" s="1"/>
  <c r="D1699" i="3"/>
  <c r="E1699" i="3" s="1"/>
  <c r="D1698" i="3"/>
  <c r="E1698" i="3" s="1"/>
  <c r="D1697" i="3"/>
  <c r="E1697" i="3" s="1"/>
  <c r="D1696" i="3"/>
  <c r="E1696" i="3" s="1"/>
  <c r="D1695" i="3"/>
  <c r="E1695" i="3" s="1"/>
  <c r="D1694" i="3"/>
  <c r="E1694" i="3" s="1"/>
  <c r="D1693" i="3"/>
  <c r="E1693" i="3" s="1"/>
  <c r="D1692" i="3"/>
  <c r="E1692" i="3" s="1"/>
  <c r="D1691" i="3"/>
  <c r="E1691" i="3" s="1"/>
  <c r="D1690" i="3"/>
  <c r="E1690" i="3" s="1"/>
  <c r="D1689" i="3"/>
  <c r="E1689" i="3" s="1"/>
  <c r="D1688" i="3"/>
  <c r="E1688" i="3" s="1"/>
  <c r="D1687" i="3"/>
  <c r="E1687" i="3" s="1"/>
  <c r="D1686" i="3"/>
  <c r="E1686" i="3" s="1"/>
  <c r="D1685" i="3"/>
  <c r="E1685" i="3" s="1"/>
  <c r="D1684" i="3"/>
  <c r="E1684" i="3" s="1"/>
  <c r="D1683" i="3"/>
  <c r="E1683" i="3" s="1"/>
  <c r="D1682" i="3"/>
  <c r="E1682" i="3" s="1"/>
  <c r="D1681" i="3"/>
  <c r="E1681" i="3" s="1"/>
  <c r="D1680" i="3"/>
  <c r="E1680" i="3" s="1"/>
  <c r="D1679" i="3"/>
  <c r="E1679" i="3" s="1"/>
  <c r="D1678" i="3"/>
  <c r="E1678" i="3" s="1"/>
  <c r="D1677" i="3"/>
  <c r="E1677" i="3" s="1"/>
  <c r="D1676" i="3"/>
  <c r="E1676" i="3" s="1"/>
  <c r="D1675" i="3"/>
  <c r="E1675" i="3" s="1"/>
  <c r="D1674" i="3"/>
  <c r="E1674" i="3" s="1"/>
  <c r="D1673" i="3"/>
  <c r="E1673" i="3" s="1"/>
  <c r="D1672" i="3"/>
  <c r="E1672" i="3" s="1"/>
  <c r="D1671" i="3"/>
  <c r="E1671" i="3" s="1"/>
  <c r="D1670" i="3"/>
  <c r="E1670" i="3" s="1"/>
  <c r="D1669" i="3"/>
  <c r="E1669" i="3" s="1"/>
  <c r="D1668" i="3"/>
  <c r="E1668" i="3" s="1"/>
  <c r="D1667" i="3"/>
  <c r="E1667" i="3" s="1"/>
  <c r="D1666" i="3"/>
  <c r="E1666" i="3" s="1"/>
  <c r="D1665" i="3"/>
  <c r="E1665" i="3" s="1"/>
  <c r="D1664" i="3"/>
  <c r="E1664" i="3" s="1"/>
  <c r="D1663" i="3"/>
  <c r="E1663" i="3" s="1"/>
  <c r="D1662" i="3"/>
  <c r="E1662" i="3" s="1"/>
  <c r="D1661" i="3"/>
  <c r="E1661" i="3" s="1"/>
  <c r="D1660" i="3"/>
  <c r="E1660" i="3" s="1"/>
  <c r="D1659" i="3"/>
  <c r="E1659" i="3" s="1"/>
  <c r="D1658" i="3"/>
  <c r="E1658" i="3" s="1"/>
  <c r="D1657" i="3"/>
  <c r="E1657" i="3" s="1"/>
  <c r="D1656" i="3"/>
  <c r="E1656" i="3" s="1"/>
  <c r="D1655" i="3"/>
  <c r="E1655" i="3" s="1"/>
  <c r="D1654" i="3"/>
  <c r="E1654" i="3" s="1"/>
  <c r="D1653" i="3"/>
  <c r="E1653" i="3" s="1"/>
  <c r="D1652" i="3"/>
  <c r="E1652" i="3" s="1"/>
  <c r="D1651" i="3"/>
  <c r="E1651" i="3" s="1"/>
  <c r="D1650" i="3"/>
  <c r="E1650" i="3" s="1"/>
  <c r="D1649" i="3"/>
  <c r="E1649" i="3" s="1"/>
  <c r="D1648" i="3"/>
  <c r="E1648" i="3" s="1"/>
  <c r="D1647" i="3"/>
  <c r="E1647" i="3" s="1"/>
  <c r="D1646" i="3"/>
  <c r="E1646" i="3" s="1"/>
  <c r="D1645" i="3"/>
  <c r="E1645" i="3" s="1"/>
  <c r="D1644" i="3"/>
  <c r="E1644" i="3" s="1"/>
  <c r="D1643" i="3"/>
  <c r="E1643" i="3" s="1"/>
  <c r="D1642" i="3"/>
  <c r="E1642" i="3" s="1"/>
  <c r="D1641" i="3"/>
  <c r="E1641" i="3" s="1"/>
  <c r="D1640" i="3"/>
  <c r="E1640" i="3" s="1"/>
  <c r="D1639" i="3"/>
  <c r="E1639" i="3" s="1"/>
  <c r="D1638" i="3"/>
  <c r="E1638" i="3" s="1"/>
  <c r="D1637" i="3"/>
  <c r="E1637" i="3" s="1"/>
  <c r="D1636" i="3"/>
  <c r="E1636" i="3" s="1"/>
  <c r="D1635" i="3"/>
  <c r="E1635" i="3" s="1"/>
  <c r="D1634" i="3"/>
  <c r="E1634" i="3" s="1"/>
  <c r="D1633" i="3"/>
  <c r="E1633" i="3" s="1"/>
  <c r="D1632" i="3"/>
  <c r="E1632" i="3" s="1"/>
  <c r="D1631" i="3"/>
  <c r="E1631" i="3" s="1"/>
  <c r="D1630" i="3"/>
  <c r="E1630" i="3" s="1"/>
  <c r="D1629" i="3"/>
  <c r="E1629" i="3" s="1"/>
  <c r="D1628" i="3"/>
  <c r="E1628" i="3" s="1"/>
  <c r="D1627" i="3"/>
  <c r="E1627" i="3" s="1"/>
  <c r="D1626" i="3"/>
  <c r="E1626" i="3" s="1"/>
  <c r="D1625" i="3"/>
  <c r="E1625" i="3" s="1"/>
  <c r="D1624" i="3"/>
  <c r="E1624" i="3" s="1"/>
  <c r="D1623" i="3"/>
  <c r="E1623" i="3" s="1"/>
  <c r="D1622" i="3"/>
  <c r="E1622" i="3" s="1"/>
  <c r="D1621" i="3"/>
  <c r="E1621" i="3" s="1"/>
  <c r="D1620" i="3"/>
  <c r="E1620" i="3" s="1"/>
  <c r="D1619" i="3"/>
  <c r="E1619" i="3" s="1"/>
  <c r="D1618" i="3"/>
  <c r="E1618" i="3" s="1"/>
  <c r="D1617" i="3"/>
  <c r="E1617" i="3" s="1"/>
  <c r="D1616" i="3"/>
  <c r="E1616" i="3" s="1"/>
  <c r="D1615" i="3"/>
  <c r="E1615" i="3" s="1"/>
  <c r="D1614" i="3"/>
  <c r="E1614" i="3" s="1"/>
  <c r="D1613" i="3"/>
  <c r="E1613" i="3" s="1"/>
  <c r="D1612" i="3"/>
  <c r="E1612" i="3" s="1"/>
  <c r="D1611" i="3"/>
  <c r="E1611" i="3" s="1"/>
  <c r="D1610" i="3"/>
  <c r="E1610" i="3" s="1"/>
  <c r="D1609" i="3"/>
  <c r="E1609" i="3" s="1"/>
  <c r="D1608" i="3"/>
  <c r="E1608" i="3" s="1"/>
  <c r="D1607" i="3"/>
  <c r="E1607" i="3" s="1"/>
  <c r="D1606" i="3"/>
  <c r="E1606" i="3" s="1"/>
  <c r="D1605" i="3"/>
  <c r="E1605" i="3" s="1"/>
  <c r="D1604" i="3"/>
  <c r="E1604" i="3" s="1"/>
  <c r="D1603" i="3"/>
  <c r="E1603" i="3" s="1"/>
  <c r="D1602" i="3"/>
  <c r="E1602" i="3" s="1"/>
  <c r="D1601" i="3"/>
  <c r="E1601" i="3" s="1"/>
  <c r="D1600" i="3"/>
  <c r="E1600" i="3" s="1"/>
  <c r="D1599" i="3"/>
  <c r="E1599" i="3" s="1"/>
  <c r="D1598" i="3"/>
  <c r="E1598" i="3" s="1"/>
  <c r="D1597" i="3"/>
  <c r="E1597" i="3" s="1"/>
  <c r="D1596" i="3"/>
  <c r="E1596" i="3" s="1"/>
  <c r="D1595" i="3"/>
  <c r="E1595" i="3" s="1"/>
  <c r="D1594" i="3"/>
  <c r="E1594" i="3" s="1"/>
  <c r="D1593" i="3"/>
  <c r="E1593" i="3" s="1"/>
  <c r="D1592" i="3"/>
  <c r="E1592" i="3" s="1"/>
  <c r="D1591" i="3"/>
  <c r="E1591" i="3" s="1"/>
  <c r="D1590" i="3"/>
  <c r="E1590" i="3" s="1"/>
  <c r="D1589" i="3"/>
  <c r="E1589" i="3" s="1"/>
  <c r="D1588" i="3"/>
  <c r="E1588" i="3" s="1"/>
  <c r="D1587" i="3"/>
  <c r="E1587" i="3" s="1"/>
  <c r="D1586" i="3"/>
  <c r="E1586" i="3" s="1"/>
  <c r="D1585" i="3"/>
  <c r="E1585" i="3" s="1"/>
  <c r="D1584" i="3"/>
  <c r="E1584" i="3" s="1"/>
  <c r="D1583" i="3"/>
  <c r="E1583" i="3" s="1"/>
  <c r="D1582" i="3"/>
  <c r="E1582" i="3" s="1"/>
  <c r="D1581" i="3"/>
  <c r="E1581" i="3" s="1"/>
  <c r="D1580" i="3"/>
  <c r="E1580" i="3" s="1"/>
  <c r="D1579" i="3"/>
  <c r="E1579" i="3" s="1"/>
  <c r="D1578" i="3"/>
  <c r="E1578" i="3" s="1"/>
  <c r="D1577" i="3"/>
  <c r="E1577" i="3" s="1"/>
  <c r="D1576" i="3"/>
  <c r="E1576" i="3" s="1"/>
  <c r="D1575" i="3"/>
  <c r="E1575" i="3" s="1"/>
  <c r="D1574" i="3"/>
  <c r="E1574" i="3" s="1"/>
  <c r="D1573" i="3"/>
  <c r="E1573" i="3" s="1"/>
  <c r="D1572" i="3"/>
  <c r="E1572" i="3" s="1"/>
  <c r="D1571" i="3"/>
  <c r="E1571" i="3" s="1"/>
  <c r="D1570" i="3"/>
  <c r="E1570" i="3" s="1"/>
  <c r="D1569" i="3"/>
  <c r="E1569" i="3" s="1"/>
  <c r="D1568" i="3"/>
  <c r="E1568" i="3" s="1"/>
  <c r="D1567" i="3"/>
  <c r="E1567" i="3" s="1"/>
  <c r="D1566" i="3"/>
  <c r="E1566" i="3" s="1"/>
  <c r="D1565" i="3"/>
  <c r="E1565" i="3" s="1"/>
  <c r="D1564" i="3"/>
  <c r="E1564" i="3" s="1"/>
  <c r="D1563" i="3"/>
  <c r="E1563" i="3" s="1"/>
  <c r="D1562" i="3"/>
  <c r="E1562" i="3" s="1"/>
  <c r="D1561" i="3"/>
  <c r="E1561" i="3" s="1"/>
  <c r="D1560" i="3"/>
  <c r="E1560" i="3" s="1"/>
  <c r="D1559" i="3"/>
  <c r="E1559" i="3" s="1"/>
  <c r="D1558" i="3"/>
  <c r="E1558" i="3" s="1"/>
  <c r="D1557" i="3"/>
  <c r="E1557" i="3" s="1"/>
  <c r="D1556" i="3"/>
  <c r="E1556" i="3" s="1"/>
  <c r="D1555" i="3"/>
  <c r="E1555" i="3" s="1"/>
  <c r="D1554" i="3"/>
  <c r="E1554" i="3" s="1"/>
  <c r="D1553" i="3"/>
  <c r="E1553" i="3" s="1"/>
  <c r="D1552" i="3"/>
  <c r="E1552" i="3" s="1"/>
  <c r="D1551" i="3"/>
  <c r="E1551" i="3" s="1"/>
  <c r="D1550" i="3"/>
  <c r="E1550" i="3" s="1"/>
  <c r="D1549" i="3"/>
  <c r="E1549" i="3" s="1"/>
  <c r="D1548" i="3"/>
  <c r="E1548" i="3" s="1"/>
  <c r="D1547" i="3"/>
  <c r="E1547" i="3" s="1"/>
  <c r="D1546" i="3"/>
  <c r="E1546" i="3" s="1"/>
  <c r="D1545" i="3"/>
  <c r="E1545" i="3" s="1"/>
  <c r="D1544" i="3"/>
  <c r="E1544" i="3" s="1"/>
  <c r="D1543" i="3"/>
  <c r="E1543" i="3" s="1"/>
  <c r="D1542" i="3"/>
  <c r="E1542" i="3" s="1"/>
  <c r="D1541" i="3"/>
  <c r="E1541" i="3" s="1"/>
  <c r="D1540" i="3"/>
  <c r="E1540" i="3" s="1"/>
  <c r="D1539" i="3"/>
  <c r="E1539" i="3" s="1"/>
  <c r="D1538" i="3"/>
  <c r="E1538" i="3" s="1"/>
  <c r="D1537" i="3"/>
  <c r="E1537" i="3" s="1"/>
  <c r="D1536" i="3"/>
  <c r="E1536" i="3" s="1"/>
  <c r="D1535" i="3"/>
  <c r="E1535" i="3" s="1"/>
  <c r="D1534" i="3"/>
  <c r="E1534" i="3" s="1"/>
  <c r="D1533" i="3"/>
  <c r="E1533" i="3" s="1"/>
  <c r="D1532" i="3"/>
  <c r="E1532" i="3" s="1"/>
  <c r="D1531" i="3"/>
  <c r="E1531" i="3" s="1"/>
  <c r="D1530" i="3"/>
  <c r="E1530" i="3" s="1"/>
  <c r="D1529" i="3"/>
  <c r="E1529" i="3" s="1"/>
  <c r="D1528" i="3"/>
  <c r="E1528" i="3" s="1"/>
  <c r="D1527" i="3"/>
  <c r="E1527" i="3" s="1"/>
  <c r="D1526" i="3"/>
  <c r="E1526" i="3" s="1"/>
  <c r="D1525" i="3"/>
  <c r="E1525" i="3" s="1"/>
  <c r="D1524" i="3"/>
  <c r="E1524" i="3" s="1"/>
  <c r="D1523" i="3"/>
  <c r="E1523" i="3" s="1"/>
  <c r="D1522" i="3"/>
  <c r="E1522" i="3" s="1"/>
  <c r="D1521" i="3"/>
  <c r="E1521" i="3" s="1"/>
  <c r="D1520" i="3"/>
  <c r="E1520" i="3" s="1"/>
  <c r="D1519" i="3"/>
  <c r="E1519" i="3" s="1"/>
  <c r="D1518" i="3"/>
  <c r="E1518" i="3" s="1"/>
  <c r="D1517" i="3"/>
  <c r="E1517" i="3" s="1"/>
  <c r="D1516" i="3"/>
  <c r="E1516" i="3" s="1"/>
  <c r="D1515" i="3"/>
  <c r="E1515" i="3" s="1"/>
  <c r="D1514" i="3"/>
  <c r="E1514" i="3" s="1"/>
  <c r="D1513" i="3"/>
  <c r="E1513" i="3" s="1"/>
  <c r="D1512" i="3"/>
  <c r="E1512" i="3" s="1"/>
  <c r="D1511" i="3"/>
  <c r="E1511" i="3" s="1"/>
  <c r="D1510" i="3"/>
  <c r="E1510" i="3" s="1"/>
  <c r="D1509" i="3"/>
  <c r="E1509" i="3" s="1"/>
  <c r="D1508" i="3"/>
  <c r="E1508" i="3" s="1"/>
  <c r="D1507" i="3"/>
  <c r="E1507" i="3" s="1"/>
  <c r="D1506" i="3"/>
  <c r="E1506" i="3" s="1"/>
  <c r="D1505" i="3"/>
  <c r="E1505" i="3" s="1"/>
  <c r="D1504" i="3"/>
  <c r="E1504" i="3" s="1"/>
  <c r="D1503" i="3"/>
  <c r="E1503" i="3" s="1"/>
  <c r="D1502" i="3"/>
  <c r="E1502" i="3" s="1"/>
  <c r="D1501" i="3"/>
  <c r="E1501" i="3" s="1"/>
  <c r="D1500" i="3"/>
  <c r="E1500" i="3" s="1"/>
  <c r="D1499" i="3"/>
  <c r="E1499" i="3" s="1"/>
  <c r="D1498" i="3"/>
  <c r="E1498" i="3" s="1"/>
  <c r="D1497" i="3"/>
  <c r="E1497" i="3" s="1"/>
  <c r="D1496" i="3"/>
  <c r="E1496" i="3" s="1"/>
  <c r="D1495" i="3"/>
  <c r="E1495" i="3" s="1"/>
  <c r="D1494" i="3"/>
  <c r="E1494" i="3" s="1"/>
  <c r="D1493" i="3"/>
  <c r="E1493" i="3" s="1"/>
  <c r="D1492" i="3"/>
  <c r="E1492" i="3" s="1"/>
  <c r="D1491" i="3"/>
  <c r="E1491" i="3" s="1"/>
  <c r="D1490" i="3"/>
  <c r="E1490" i="3" s="1"/>
  <c r="D1489" i="3"/>
  <c r="E1489" i="3" s="1"/>
  <c r="D1488" i="3"/>
  <c r="E1488" i="3" s="1"/>
  <c r="D1487" i="3"/>
  <c r="E1487" i="3" s="1"/>
  <c r="D1486" i="3"/>
  <c r="E1486" i="3" s="1"/>
  <c r="D1485" i="3"/>
  <c r="E1485" i="3" s="1"/>
  <c r="D1484" i="3"/>
  <c r="E1484" i="3" s="1"/>
  <c r="D1483" i="3"/>
  <c r="E1483" i="3" s="1"/>
  <c r="D1482" i="3"/>
  <c r="E1482" i="3" s="1"/>
  <c r="D1481" i="3"/>
  <c r="E1481" i="3" s="1"/>
  <c r="D1480" i="3"/>
  <c r="E1480" i="3" s="1"/>
  <c r="D1479" i="3"/>
  <c r="E1479" i="3" s="1"/>
  <c r="D1478" i="3"/>
  <c r="E1478" i="3" s="1"/>
  <c r="D1477" i="3"/>
  <c r="E1477" i="3" s="1"/>
  <c r="D1476" i="3"/>
  <c r="E1476" i="3" s="1"/>
  <c r="D1475" i="3"/>
  <c r="E1475" i="3" s="1"/>
  <c r="D1474" i="3"/>
  <c r="E1474" i="3" s="1"/>
  <c r="D1473" i="3"/>
  <c r="E1473" i="3" s="1"/>
  <c r="D1472" i="3"/>
  <c r="E1472" i="3" s="1"/>
  <c r="D1471" i="3"/>
  <c r="E1471" i="3" s="1"/>
  <c r="D1470" i="3"/>
  <c r="E1470" i="3" s="1"/>
  <c r="D1469" i="3"/>
  <c r="E1469" i="3" s="1"/>
  <c r="D1468" i="3"/>
  <c r="E1468" i="3" s="1"/>
  <c r="D1467" i="3"/>
  <c r="E1467" i="3" s="1"/>
  <c r="D1466" i="3"/>
  <c r="E1466" i="3" s="1"/>
  <c r="D1465" i="3"/>
  <c r="E1465" i="3" s="1"/>
  <c r="D1464" i="3"/>
  <c r="E1464" i="3" s="1"/>
  <c r="D1463" i="3"/>
  <c r="E1463" i="3" s="1"/>
  <c r="D1462" i="3"/>
  <c r="E1462" i="3" s="1"/>
  <c r="D1461" i="3"/>
  <c r="E1461" i="3" s="1"/>
  <c r="D1460" i="3"/>
  <c r="E1460" i="3" s="1"/>
  <c r="D1459" i="3"/>
  <c r="E1459" i="3" s="1"/>
  <c r="D1458" i="3"/>
  <c r="E1458" i="3" s="1"/>
  <c r="D1457" i="3"/>
  <c r="E1457" i="3" s="1"/>
  <c r="D1456" i="3"/>
  <c r="E1456" i="3" s="1"/>
  <c r="D1455" i="3"/>
  <c r="E1455" i="3" s="1"/>
  <c r="D1454" i="3"/>
  <c r="E1454" i="3" s="1"/>
  <c r="D1453" i="3"/>
  <c r="E1453" i="3" s="1"/>
  <c r="D1452" i="3"/>
  <c r="E1452" i="3" s="1"/>
  <c r="D1451" i="3"/>
  <c r="E1451" i="3" s="1"/>
  <c r="D1450" i="3"/>
  <c r="E1450" i="3" s="1"/>
  <c r="D1449" i="3"/>
  <c r="E1449" i="3" s="1"/>
  <c r="D1448" i="3"/>
  <c r="E1448" i="3" s="1"/>
  <c r="D1447" i="3"/>
  <c r="E1447" i="3" s="1"/>
  <c r="D1446" i="3"/>
  <c r="E1446" i="3" s="1"/>
  <c r="D1445" i="3"/>
  <c r="E1445" i="3" s="1"/>
  <c r="D1444" i="3"/>
  <c r="E1444" i="3" s="1"/>
  <c r="D1443" i="3"/>
  <c r="E1443" i="3" s="1"/>
  <c r="D1442" i="3"/>
  <c r="E1442" i="3" s="1"/>
  <c r="D1441" i="3"/>
  <c r="E1441" i="3" s="1"/>
  <c r="D1440" i="3"/>
  <c r="E1440" i="3" s="1"/>
  <c r="D1439" i="3"/>
  <c r="E1439" i="3" s="1"/>
  <c r="D1438" i="3"/>
  <c r="E1438" i="3" s="1"/>
  <c r="D1437" i="3"/>
  <c r="E1437" i="3" s="1"/>
  <c r="D1436" i="3"/>
  <c r="E1436" i="3" s="1"/>
  <c r="D1435" i="3"/>
  <c r="E1435" i="3" s="1"/>
  <c r="D1434" i="3"/>
  <c r="E1434" i="3" s="1"/>
  <c r="D1433" i="3"/>
  <c r="E1433" i="3" s="1"/>
  <c r="D1432" i="3"/>
  <c r="E1432" i="3" s="1"/>
  <c r="D1431" i="3"/>
  <c r="E1431" i="3" s="1"/>
  <c r="D1430" i="3"/>
  <c r="E1430" i="3" s="1"/>
  <c r="D1429" i="3"/>
  <c r="E1429" i="3" s="1"/>
  <c r="D1428" i="3"/>
  <c r="E1428" i="3" s="1"/>
  <c r="D1427" i="3"/>
  <c r="E1427" i="3" s="1"/>
  <c r="D1426" i="3"/>
  <c r="E1426" i="3" s="1"/>
  <c r="D1425" i="3"/>
  <c r="E1425" i="3" s="1"/>
  <c r="D1424" i="3"/>
  <c r="E1424" i="3" s="1"/>
  <c r="D1423" i="3"/>
  <c r="E1423" i="3" s="1"/>
  <c r="D1422" i="3"/>
  <c r="E1422" i="3" s="1"/>
  <c r="D1421" i="3"/>
  <c r="E1421" i="3" s="1"/>
  <c r="D1420" i="3"/>
  <c r="E1420" i="3" s="1"/>
  <c r="D1419" i="3"/>
  <c r="E1419" i="3" s="1"/>
  <c r="D1418" i="3"/>
  <c r="E1418" i="3" s="1"/>
  <c r="D1417" i="3"/>
  <c r="E1417" i="3" s="1"/>
  <c r="D1416" i="3"/>
  <c r="E1416" i="3" s="1"/>
  <c r="D1415" i="3"/>
  <c r="E1415" i="3" s="1"/>
  <c r="D1414" i="3"/>
  <c r="E1414" i="3" s="1"/>
  <c r="D1413" i="3"/>
  <c r="E1413" i="3" s="1"/>
  <c r="D1412" i="3"/>
  <c r="E1412" i="3" s="1"/>
  <c r="D1411" i="3"/>
  <c r="E1411" i="3" s="1"/>
  <c r="D1410" i="3"/>
  <c r="E1410" i="3" s="1"/>
  <c r="D1409" i="3"/>
  <c r="E1409" i="3" s="1"/>
  <c r="D1408" i="3"/>
  <c r="E1408" i="3" s="1"/>
  <c r="D1407" i="3"/>
  <c r="E1407" i="3" s="1"/>
  <c r="D1406" i="3"/>
  <c r="E1406" i="3" s="1"/>
  <c r="D1405" i="3"/>
  <c r="E1405" i="3" s="1"/>
  <c r="D1404" i="3"/>
  <c r="E1404" i="3" s="1"/>
  <c r="D1403" i="3"/>
  <c r="E1403" i="3" s="1"/>
  <c r="D1402" i="3"/>
  <c r="E1402" i="3" s="1"/>
  <c r="D1401" i="3"/>
  <c r="E1401" i="3" s="1"/>
  <c r="D1400" i="3"/>
  <c r="E1400" i="3" s="1"/>
  <c r="D1399" i="3"/>
  <c r="E1399" i="3" s="1"/>
  <c r="D1398" i="3"/>
  <c r="E1398" i="3" s="1"/>
  <c r="D1397" i="3"/>
  <c r="E1397" i="3" s="1"/>
  <c r="D1396" i="3"/>
  <c r="E1396" i="3" s="1"/>
  <c r="D1395" i="3"/>
  <c r="E1395" i="3" s="1"/>
  <c r="D1394" i="3"/>
  <c r="E1394" i="3" s="1"/>
  <c r="D1393" i="3"/>
  <c r="E1393" i="3" s="1"/>
  <c r="D1392" i="3"/>
  <c r="E1392" i="3" s="1"/>
  <c r="D1391" i="3"/>
  <c r="E1391" i="3" s="1"/>
  <c r="D1390" i="3"/>
  <c r="E1390" i="3" s="1"/>
  <c r="D1389" i="3"/>
  <c r="E1389" i="3" s="1"/>
  <c r="D1388" i="3"/>
  <c r="E1388" i="3" s="1"/>
  <c r="D1387" i="3"/>
  <c r="E1387" i="3" s="1"/>
  <c r="D1386" i="3"/>
  <c r="E1386" i="3" s="1"/>
  <c r="D1385" i="3"/>
  <c r="E1385" i="3" s="1"/>
  <c r="D1384" i="3"/>
  <c r="E1384" i="3" s="1"/>
  <c r="D1383" i="3"/>
  <c r="E1383" i="3" s="1"/>
  <c r="D1382" i="3"/>
  <c r="E1382" i="3" s="1"/>
  <c r="D1381" i="3"/>
  <c r="E1381" i="3" s="1"/>
  <c r="D1380" i="3"/>
  <c r="E1380" i="3" s="1"/>
  <c r="D1379" i="3"/>
  <c r="E1379" i="3" s="1"/>
  <c r="D1378" i="3"/>
  <c r="E1378" i="3" s="1"/>
  <c r="D1377" i="3"/>
  <c r="E1377" i="3" s="1"/>
  <c r="D1376" i="3"/>
  <c r="E1376" i="3" s="1"/>
  <c r="D1375" i="3"/>
  <c r="E1375" i="3" s="1"/>
  <c r="D1374" i="3"/>
  <c r="E1374" i="3" s="1"/>
  <c r="D1373" i="3"/>
  <c r="E1373" i="3" s="1"/>
  <c r="D1372" i="3"/>
  <c r="E1372" i="3" s="1"/>
  <c r="D1371" i="3"/>
  <c r="E1371" i="3" s="1"/>
  <c r="D1370" i="3"/>
  <c r="E1370" i="3" s="1"/>
  <c r="D1369" i="3"/>
  <c r="E1369" i="3" s="1"/>
  <c r="D1368" i="3"/>
  <c r="E1368" i="3" s="1"/>
  <c r="D1367" i="3"/>
  <c r="E1367" i="3" s="1"/>
  <c r="D1366" i="3"/>
  <c r="E1366" i="3" s="1"/>
  <c r="D1365" i="3"/>
  <c r="E1365" i="3" s="1"/>
  <c r="D1364" i="3"/>
  <c r="E1364" i="3" s="1"/>
  <c r="D1363" i="3"/>
  <c r="E1363" i="3" s="1"/>
  <c r="D1362" i="3"/>
  <c r="E1362" i="3" s="1"/>
  <c r="D1361" i="3"/>
  <c r="E1361" i="3" s="1"/>
  <c r="D1360" i="3"/>
  <c r="E1360" i="3" s="1"/>
  <c r="D1359" i="3"/>
  <c r="E1359" i="3" s="1"/>
  <c r="D1358" i="3"/>
  <c r="E1358" i="3" s="1"/>
  <c r="D1357" i="3"/>
  <c r="E1357" i="3" s="1"/>
  <c r="D1356" i="3"/>
  <c r="E1356" i="3" s="1"/>
  <c r="D1355" i="3"/>
  <c r="E1355" i="3" s="1"/>
  <c r="D1354" i="3"/>
  <c r="E1354" i="3" s="1"/>
  <c r="D1353" i="3"/>
  <c r="E1353" i="3" s="1"/>
  <c r="D1352" i="3"/>
  <c r="E1352" i="3" s="1"/>
  <c r="D1351" i="3"/>
  <c r="E1351" i="3" s="1"/>
  <c r="D1350" i="3"/>
  <c r="E1350" i="3" s="1"/>
  <c r="D1349" i="3"/>
  <c r="E1349" i="3" s="1"/>
  <c r="D1348" i="3"/>
  <c r="E1348" i="3" s="1"/>
  <c r="D1347" i="3"/>
  <c r="E1347" i="3" s="1"/>
  <c r="D1346" i="3"/>
  <c r="E1346" i="3" s="1"/>
  <c r="D1345" i="3"/>
  <c r="E1345" i="3" s="1"/>
  <c r="D1344" i="3"/>
  <c r="E1344" i="3" s="1"/>
  <c r="D1343" i="3"/>
  <c r="E1343" i="3" s="1"/>
  <c r="D1342" i="3"/>
  <c r="E1342" i="3" s="1"/>
  <c r="D1341" i="3"/>
  <c r="E1341" i="3" s="1"/>
  <c r="D1340" i="3"/>
  <c r="E1340" i="3" s="1"/>
  <c r="D1339" i="3"/>
  <c r="E1339" i="3" s="1"/>
  <c r="D1338" i="3"/>
  <c r="E1338" i="3" s="1"/>
  <c r="D1337" i="3"/>
  <c r="E1337" i="3" s="1"/>
  <c r="D1336" i="3"/>
  <c r="E1336" i="3" s="1"/>
  <c r="D1335" i="3"/>
  <c r="E1335" i="3" s="1"/>
  <c r="D1334" i="3"/>
  <c r="E1334" i="3" s="1"/>
  <c r="D1333" i="3"/>
  <c r="E1333" i="3" s="1"/>
  <c r="D1332" i="3"/>
  <c r="E1332" i="3" s="1"/>
  <c r="D1331" i="3"/>
  <c r="E1331" i="3" s="1"/>
  <c r="D1330" i="3"/>
  <c r="E1330" i="3" s="1"/>
  <c r="D1329" i="3"/>
  <c r="E1329" i="3" s="1"/>
  <c r="D1328" i="3"/>
  <c r="E1328" i="3" s="1"/>
  <c r="D1327" i="3"/>
  <c r="E1327" i="3" s="1"/>
  <c r="D1326" i="3"/>
  <c r="E1326" i="3" s="1"/>
  <c r="D1325" i="3"/>
  <c r="E1325" i="3" s="1"/>
  <c r="D1324" i="3"/>
  <c r="E1324" i="3" s="1"/>
  <c r="D1323" i="3"/>
  <c r="E1323" i="3" s="1"/>
  <c r="D1322" i="3"/>
  <c r="E1322" i="3" s="1"/>
  <c r="D1321" i="3"/>
  <c r="E1321" i="3" s="1"/>
  <c r="D1320" i="3"/>
  <c r="E1320" i="3" s="1"/>
  <c r="D1319" i="3"/>
  <c r="E1319" i="3" s="1"/>
  <c r="D1318" i="3"/>
  <c r="E1318" i="3" s="1"/>
  <c r="D1317" i="3"/>
  <c r="E1317" i="3" s="1"/>
  <c r="D1316" i="3"/>
  <c r="E1316" i="3" s="1"/>
  <c r="D1315" i="3"/>
  <c r="E1315" i="3" s="1"/>
  <c r="D1314" i="3"/>
  <c r="E1314" i="3" s="1"/>
  <c r="D1313" i="3"/>
  <c r="E1313" i="3" s="1"/>
  <c r="D1312" i="3"/>
  <c r="E1312" i="3" s="1"/>
  <c r="D1311" i="3"/>
  <c r="E1311" i="3" s="1"/>
  <c r="D1310" i="3"/>
  <c r="E1310" i="3" s="1"/>
  <c r="D1309" i="3"/>
  <c r="E1309" i="3" s="1"/>
  <c r="D1308" i="3"/>
  <c r="E1308" i="3" s="1"/>
  <c r="D1307" i="3"/>
  <c r="E1307" i="3" s="1"/>
  <c r="D1306" i="3"/>
  <c r="E1306" i="3" s="1"/>
  <c r="D1305" i="3"/>
  <c r="E1305" i="3" s="1"/>
  <c r="D1304" i="3"/>
  <c r="E1304" i="3" s="1"/>
  <c r="D1303" i="3"/>
  <c r="E1303" i="3" s="1"/>
  <c r="D1302" i="3"/>
  <c r="E1302" i="3" s="1"/>
  <c r="D1301" i="3"/>
  <c r="E1301" i="3" s="1"/>
  <c r="D1300" i="3"/>
  <c r="E1300" i="3" s="1"/>
  <c r="D1299" i="3"/>
  <c r="E1299" i="3" s="1"/>
  <c r="D1298" i="3"/>
  <c r="E1298" i="3" s="1"/>
  <c r="D1297" i="3"/>
  <c r="E1297" i="3" s="1"/>
  <c r="D1296" i="3"/>
  <c r="E1296" i="3" s="1"/>
  <c r="D1295" i="3"/>
  <c r="E1295" i="3" s="1"/>
  <c r="D1294" i="3"/>
  <c r="E1294" i="3" s="1"/>
  <c r="D1293" i="3"/>
  <c r="E1293" i="3" s="1"/>
  <c r="D1292" i="3"/>
  <c r="E1292" i="3" s="1"/>
  <c r="D1291" i="3"/>
  <c r="E1291" i="3" s="1"/>
  <c r="D1290" i="3"/>
  <c r="E1290" i="3" s="1"/>
  <c r="D1289" i="3"/>
  <c r="E1289" i="3" s="1"/>
  <c r="D1288" i="3"/>
  <c r="E1288" i="3" s="1"/>
  <c r="D1287" i="3"/>
  <c r="E1287" i="3" s="1"/>
  <c r="D1286" i="3"/>
  <c r="E1286" i="3" s="1"/>
  <c r="D1285" i="3"/>
  <c r="E1285" i="3" s="1"/>
  <c r="D1284" i="3"/>
  <c r="E1284" i="3" s="1"/>
  <c r="D1283" i="3"/>
  <c r="E1283" i="3" s="1"/>
  <c r="D1282" i="3"/>
  <c r="E1282" i="3" s="1"/>
  <c r="D1281" i="3"/>
  <c r="E1281" i="3" s="1"/>
  <c r="D1280" i="3"/>
  <c r="E1280" i="3" s="1"/>
  <c r="D1279" i="3"/>
  <c r="E1279" i="3" s="1"/>
  <c r="D1278" i="3"/>
  <c r="E1278" i="3" s="1"/>
  <c r="D1277" i="3"/>
  <c r="E1277" i="3" s="1"/>
  <c r="D1276" i="3"/>
  <c r="E1276" i="3" s="1"/>
  <c r="D1275" i="3"/>
  <c r="E1275" i="3" s="1"/>
  <c r="D1274" i="3"/>
  <c r="E1274" i="3" s="1"/>
  <c r="D1273" i="3"/>
  <c r="E1273" i="3" s="1"/>
  <c r="D1272" i="3"/>
  <c r="E1272" i="3" s="1"/>
  <c r="D1271" i="3"/>
  <c r="E1271" i="3" s="1"/>
  <c r="D1270" i="3"/>
  <c r="E1270" i="3" s="1"/>
  <c r="D1269" i="3"/>
  <c r="E1269" i="3" s="1"/>
  <c r="D1268" i="3"/>
  <c r="E1268" i="3" s="1"/>
  <c r="D1267" i="3"/>
  <c r="E1267" i="3" s="1"/>
  <c r="D1266" i="3"/>
  <c r="E1266" i="3" s="1"/>
  <c r="D1265" i="3"/>
  <c r="E1265" i="3" s="1"/>
  <c r="D1264" i="3"/>
  <c r="E1264" i="3" s="1"/>
  <c r="D1263" i="3"/>
  <c r="E1263" i="3" s="1"/>
  <c r="D1262" i="3"/>
  <c r="E1262" i="3" s="1"/>
  <c r="D1261" i="3"/>
  <c r="E1261" i="3" s="1"/>
  <c r="D1260" i="3"/>
  <c r="E1260" i="3" s="1"/>
  <c r="D1259" i="3"/>
  <c r="E1259" i="3" s="1"/>
  <c r="D1258" i="3"/>
  <c r="E1258" i="3" s="1"/>
  <c r="D1257" i="3"/>
  <c r="E1257" i="3" s="1"/>
  <c r="D1256" i="3"/>
  <c r="E1256" i="3" s="1"/>
  <c r="D1255" i="3"/>
  <c r="E1255" i="3" s="1"/>
  <c r="D1254" i="3"/>
  <c r="E1254" i="3" s="1"/>
  <c r="D1253" i="3"/>
  <c r="E1253" i="3" s="1"/>
  <c r="D1252" i="3"/>
  <c r="E1252" i="3" s="1"/>
  <c r="D1251" i="3"/>
  <c r="E1251" i="3" s="1"/>
  <c r="D1250" i="3"/>
  <c r="E1250" i="3" s="1"/>
  <c r="D1249" i="3"/>
  <c r="E1249" i="3" s="1"/>
  <c r="D1248" i="3"/>
  <c r="E1248" i="3" s="1"/>
  <c r="D1247" i="3"/>
  <c r="E1247" i="3" s="1"/>
  <c r="D1246" i="3"/>
  <c r="E1246" i="3" s="1"/>
  <c r="D1245" i="3"/>
  <c r="E1245" i="3" s="1"/>
  <c r="D1244" i="3"/>
  <c r="E1244" i="3" s="1"/>
  <c r="D1243" i="3"/>
  <c r="E1243" i="3" s="1"/>
  <c r="D1242" i="3"/>
  <c r="E1242" i="3" s="1"/>
  <c r="D1241" i="3"/>
  <c r="E1241" i="3" s="1"/>
  <c r="D1240" i="3"/>
  <c r="E1240" i="3" s="1"/>
  <c r="D1239" i="3"/>
  <c r="E1239" i="3" s="1"/>
  <c r="D1238" i="3"/>
  <c r="E1238" i="3" s="1"/>
  <c r="D1237" i="3"/>
  <c r="E1237" i="3" s="1"/>
  <c r="D1236" i="3"/>
  <c r="E1236" i="3" s="1"/>
  <c r="D1235" i="3"/>
  <c r="E1235" i="3" s="1"/>
  <c r="D1234" i="3"/>
  <c r="E1234" i="3" s="1"/>
  <c r="D1233" i="3"/>
  <c r="E1233" i="3" s="1"/>
  <c r="D1232" i="3"/>
  <c r="E1232" i="3" s="1"/>
  <c r="D1231" i="3"/>
  <c r="E1231" i="3" s="1"/>
  <c r="D1230" i="3"/>
  <c r="E1230" i="3" s="1"/>
  <c r="D1229" i="3"/>
  <c r="E1229" i="3" s="1"/>
  <c r="D1228" i="3"/>
  <c r="E1228" i="3" s="1"/>
  <c r="D1227" i="3"/>
  <c r="E1227" i="3" s="1"/>
  <c r="D1226" i="3"/>
  <c r="E1226" i="3" s="1"/>
  <c r="D1225" i="3"/>
  <c r="E1225" i="3" s="1"/>
  <c r="D1224" i="3"/>
  <c r="E1224" i="3" s="1"/>
  <c r="D1223" i="3"/>
  <c r="E1223" i="3" s="1"/>
  <c r="D1222" i="3"/>
  <c r="E1222" i="3" s="1"/>
  <c r="D1221" i="3"/>
  <c r="E1221" i="3" s="1"/>
  <c r="D1220" i="3"/>
  <c r="E1220" i="3" s="1"/>
  <c r="D1219" i="3"/>
  <c r="E1219" i="3" s="1"/>
  <c r="D1218" i="3"/>
  <c r="E1218" i="3" s="1"/>
  <c r="D1217" i="3"/>
  <c r="E1217" i="3" s="1"/>
  <c r="D1216" i="3"/>
  <c r="E1216" i="3" s="1"/>
  <c r="D1215" i="3"/>
  <c r="E1215" i="3" s="1"/>
  <c r="D1214" i="3"/>
  <c r="E1214" i="3" s="1"/>
  <c r="D1213" i="3"/>
  <c r="E1213" i="3" s="1"/>
  <c r="D1212" i="3"/>
  <c r="E1212" i="3" s="1"/>
  <c r="D1211" i="3"/>
  <c r="E1211" i="3" s="1"/>
  <c r="D1210" i="3"/>
  <c r="E1210" i="3" s="1"/>
  <c r="D1209" i="3"/>
  <c r="E1209" i="3" s="1"/>
  <c r="D1208" i="3"/>
  <c r="E1208" i="3" s="1"/>
  <c r="D1207" i="3"/>
  <c r="E1207" i="3" s="1"/>
  <c r="D1206" i="3"/>
  <c r="E1206" i="3" s="1"/>
  <c r="D1205" i="3"/>
  <c r="E1205" i="3" s="1"/>
  <c r="D1204" i="3"/>
  <c r="E1204" i="3" s="1"/>
  <c r="D1203" i="3"/>
  <c r="E1203" i="3" s="1"/>
  <c r="D1202" i="3"/>
  <c r="E1202" i="3" s="1"/>
  <c r="D1201" i="3"/>
  <c r="E1201" i="3" s="1"/>
  <c r="D1200" i="3"/>
  <c r="E1200" i="3" s="1"/>
  <c r="D1199" i="3"/>
  <c r="E1199" i="3" s="1"/>
  <c r="D1198" i="3"/>
  <c r="E1198" i="3" s="1"/>
  <c r="D1197" i="3"/>
  <c r="E1197" i="3" s="1"/>
  <c r="D1196" i="3"/>
  <c r="E1196" i="3" s="1"/>
  <c r="D1195" i="3"/>
  <c r="E1195" i="3" s="1"/>
  <c r="D1194" i="3"/>
  <c r="E1194" i="3" s="1"/>
  <c r="D1193" i="3"/>
  <c r="E1193" i="3" s="1"/>
  <c r="D1192" i="3"/>
  <c r="E1192" i="3" s="1"/>
  <c r="D1191" i="3"/>
  <c r="E1191" i="3" s="1"/>
  <c r="D1190" i="3"/>
  <c r="E1190" i="3" s="1"/>
  <c r="D1189" i="3"/>
  <c r="E1189" i="3" s="1"/>
  <c r="D1188" i="3"/>
  <c r="E1188" i="3" s="1"/>
  <c r="D1187" i="3"/>
  <c r="E1187" i="3" s="1"/>
  <c r="D1186" i="3"/>
  <c r="E1186" i="3" s="1"/>
  <c r="D1185" i="3"/>
  <c r="E1185" i="3" s="1"/>
  <c r="D1184" i="3"/>
  <c r="E1184" i="3" s="1"/>
  <c r="D1183" i="3"/>
  <c r="E1183" i="3" s="1"/>
  <c r="D1182" i="3"/>
  <c r="E1182" i="3" s="1"/>
  <c r="D1181" i="3"/>
  <c r="E1181" i="3" s="1"/>
  <c r="D1180" i="3"/>
  <c r="E1180" i="3" s="1"/>
  <c r="D1179" i="3"/>
  <c r="E1179" i="3" s="1"/>
  <c r="D1178" i="3"/>
  <c r="E1178" i="3" s="1"/>
  <c r="D1177" i="3"/>
  <c r="E1177" i="3" s="1"/>
  <c r="D1176" i="3"/>
  <c r="E1176" i="3" s="1"/>
  <c r="D1175" i="3"/>
  <c r="E1175" i="3" s="1"/>
  <c r="D1174" i="3"/>
  <c r="E1174" i="3" s="1"/>
  <c r="D1173" i="3"/>
  <c r="E1173" i="3" s="1"/>
  <c r="D1172" i="3"/>
  <c r="E1172" i="3" s="1"/>
  <c r="D1171" i="3"/>
  <c r="E1171" i="3" s="1"/>
  <c r="D1170" i="3"/>
  <c r="E1170" i="3" s="1"/>
  <c r="D1169" i="3"/>
  <c r="E1169" i="3" s="1"/>
  <c r="D1168" i="3"/>
  <c r="E1168" i="3" s="1"/>
  <c r="D1167" i="3"/>
  <c r="E1167" i="3" s="1"/>
  <c r="D1166" i="3"/>
  <c r="E1166" i="3" s="1"/>
  <c r="D1165" i="3"/>
  <c r="E1165" i="3" s="1"/>
  <c r="D1164" i="3"/>
  <c r="E1164" i="3" s="1"/>
  <c r="D1163" i="3"/>
  <c r="E1163" i="3" s="1"/>
  <c r="D1162" i="3"/>
  <c r="E1162" i="3" s="1"/>
  <c r="D1161" i="3"/>
  <c r="E1161" i="3" s="1"/>
  <c r="D1160" i="3"/>
  <c r="E1160" i="3" s="1"/>
  <c r="D1159" i="3"/>
  <c r="E1159" i="3" s="1"/>
  <c r="D1158" i="3"/>
  <c r="E1158" i="3" s="1"/>
  <c r="D1157" i="3"/>
  <c r="E1157" i="3" s="1"/>
  <c r="D1156" i="3"/>
  <c r="E1156" i="3" s="1"/>
  <c r="D1155" i="3"/>
  <c r="E1155" i="3" s="1"/>
  <c r="D1154" i="3"/>
  <c r="E1154" i="3" s="1"/>
  <c r="D1153" i="3"/>
  <c r="E1153" i="3" s="1"/>
  <c r="D1152" i="3"/>
  <c r="E1152" i="3" s="1"/>
  <c r="D1151" i="3"/>
  <c r="E1151" i="3" s="1"/>
  <c r="D1150" i="3"/>
  <c r="E1150" i="3" s="1"/>
  <c r="D1149" i="3"/>
  <c r="E1149" i="3" s="1"/>
  <c r="D1148" i="3"/>
  <c r="E1148" i="3" s="1"/>
  <c r="D1147" i="3"/>
  <c r="E1147" i="3" s="1"/>
  <c r="D1146" i="3"/>
  <c r="E1146" i="3" s="1"/>
  <c r="D1145" i="3"/>
  <c r="E1145" i="3" s="1"/>
  <c r="D1144" i="3"/>
  <c r="E1144" i="3" s="1"/>
  <c r="D1143" i="3"/>
  <c r="E1143" i="3" s="1"/>
  <c r="D1142" i="3"/>
  <c r="E1142" i="3" s="1"/>
  <c r="D1141" i="3"/>
  <c r="E1141" i="3" s="1"/>
  <c r="D1140" i="3"/>
  <c r="E1140" i="3" s="1"/>
  <c r="D1139" i="3"/>
  <c r="E1139" i="3" s="1"/>
  <c r="D1138" i="3"/>
  <c r="E1138" i="3" s="1"/>
  <c r="D1137" i="3"/>
  <c r="E1137" i="3" s="1"/>
  <c r="D1136" i="3"/>
  <c r="E1136" i="3" s="1"/>
  <c r="D1135" i="3"/>
  <c r="E1135" i="3" s="1"/>
  <c r="D1134" i="3"/>
  <c r="E1134" i="3" s="1"/>
  <c r="D1133" i="3"/>
  <c r="E1133" i="3" s="1"/>
  <c r="D1132" i="3"/>
  <c r="E1132" i="3" s="1"/>
  <c r="D1131" i="3"/>
  <c r="E1131" i="3" s="1"/>
  <c r="D1130" i="3"/>
  <c r="E1130" i="3" s="1"/>
  <c r="D1129" i="3"/>
  <c r="E1129" i="3" s="1"/>
  <c r="D1128" i="3"/>
  <c r="E1128" i="3" s="1"/>
  <c r="D1127" i="3"/>
  <c r="E1127" i="3" s="1"/>
  <c r="D1126" i="3"/>
  <c r="E1126" i="3" s="1"/>
  <c r="D1125" i="3"/>
  <c r="E1125" i="3" s="1"/>
  <c r="D1124" i="3"/>
  <c r="E1124" i="3" s="1"/>
  <c r="D1123" i="3"/>
  <c r="E1123" i="3" s="1"/>
  <c r="D1122" i="3"/>
  <c r="E1122" i="3" s="1"/>
  <c r="D1121" i="3"/>
  <c r="E1121" i="3" s="1"/>
  <c r="D1120" i="3"/>
  <c r="E1120" i="3" s="1"/>
  <c r="D1119" i="3"/>
  <c r="E1119" i="3" s="1"/>
  <c r="D1118" i="3"/>
  <c r="E1118" i="3" s="1"/>
  <c r="D1117" i="3"/>
  <c r="E1117" i="3" s="1"/>
  <c r="D1116" i="3"/>
  <c r="E1116" i="3" s="1"/>
  <c r="D1115" i="3"/>
  <c r="E1115" i="3" s="1"/>
  <c r="D1114" i="3"/>
  <c r="E1114" i="3" s="1"/>
  <c r="D1113" i="3"/>
  <c r="E1113" i="3" s="1"/>
  <c r="D1112" i="3"/>
  <c r="E1112" i="3" s="1"/>
  <c r="D1111" i="3"/>
  <c r="E1111" i="3" s="1"/>
  <c r="D1110" i="3"/>
  <c r="E1110" i="3" s="1"/>
  <c r="D1109" i="3"/>
  <c r="E1109" i="3" s="1"/>
  <c r="D1108" i="3"/>
  <c r="E1108" i="3" s="1"/>
  <c r="D1107" i="3"/>
  <c r="E1107" i="3" s="1"/>
  <c r="D1106" i="3"/>
  <c r="E1106" i="3" s="1"/>
  <c r="D1105" i="3"/>
  <c r="E1105" i="3" s="1"/>
  <c r="D1104" i="3"/>
  <c r="E1104" i="3" s="1"/>
  <c r="D1103" i="3"/>
  <c r="E1103" i="3" s="1"/>
  <c r="D1102" i="3"/>
  <c r="E1102" i="3" s="1"/>
  <c r="D1101" i="3"/>
  <c r="E1101" i="3" s="1"/>
  <c r="D1100" i="3"/>
  <c r="E1100" i="3" s="1"/>
  <c r="D1099" i="3"/>
  <c r="E1099" i="3" s="1"/>
  <c r="D1098" i="3"/>
  <c r="E1098" i="3" s="1"/>
  <c r="D1097" i="3"/>
  <c r="E1097" i="3" s="1"/>
  <c r="D1096" i="3"/>
  <c r="E1096" i="3" s="1"/>
  <c r="D1095" i="3"/>
  <c r="E1095" i="3" s="1"/>
  <c r="D1094" i="3"/>
  <c r="E1094" i="3" s="1"/>
  <c r="D1093" i="3"/>
  <c r="E1093" i="3" s="1"/>
  <c r="D1092" i="3"/>
  <c r="E1092" i="3" s="1"/>
  <c r="D1091" i="3"/>
  <c r="E1091" i="3" s="1"/>
  <c r="D1090" i="3"/>
  <c r="E1090" i="3" s="1"/>
  <c r="D1089" i="3"/>
  <c r="E1089" i="3" s="1"/>
  <c r="D1088" i="3"/>
  <c r="E1088" i="3" s="1"/>
  <c r="D1087" i="3"/>
  <c r="E1087" i="3" s="1"/>
  <c r="D1086" i="3"/>
  <c r="E1086" i="3" s="1"/>
  <c r="D1085" i="3"/>
  <c r="E1085" i="3" s="1"/>
  <c r="D1084" i="3"/>
  <c r="E1084" i="3" s="1"/>
  <c r="D1083" i="3"/>
  <c r="E1083" i="3" s="1"/>
  <c r="D1082" i="3"/>
  <c r="E1082" i="3" s="1"/>
  <c r="D1081" i="3"/>
  <c r="E1081" i="3" s="1"/>
  <c r="D1080" i="3"/>
  <c r="E1080" i="3" s="1"/>
  <c r="D1079" i="3"/>
  <c r="E1079" i="3" s="1"/>
  <c r="D1078" i="3"/>
  <c r="E1078" i="3" s="1"/>
  <c r="D1077" i="3"/>
  <c r="E1077" i="3" s="1"/>
  <c r="D1076" i="3"/>
  <c r="E1076" i="3" s="1"/>
  <c r="D1075" i="3"/>
  <c r="E1075" i="3" s="1"/>
  <c r="D1074" i="3"/>
  <c r="E1074" i="3" s="1"/>
  <c r="D1073" i="3"/>
  <c r="E1073" i="3" s="1"/>
  <c r="D1072" i="3"/>
  <c r="E1072" i="3" s="1"/>
  <c r="D1071" i="3"/>
  <c r="E1071" i="3" s="1"/>
  <c r="D1070" i="3"/>
  <c r="E1070" i="3" s="1"/>
  <c r="D1069" i="3"/>
  <c r="E1069" i="3" s="1"/>
  <c r="D1068" i="3"/>
  <c r="E1068" i="3" s="1"/>
  <c r="D1067" i="3"/>
  <c r="E1067" i="3" s="1"/>
  <c r="D1066" i="3"/>
  <c r="E1066" i="3" s="1"/>
  <c r="D1065" i="3"/>
  <c r="E1065" i="3" s="1"/>
  <c r="D1064" i="3"/>
  <c r="E1064" i="3" s="1"/>
  <c r="D1063" i="3"/>
  <c r="E1063" i="3" s="1"/>
  <c r="D1062" i="3"/>
  <c r="E1062" i="3" s="1"/>
  <c r="D1061" i="3"/>
  <c r="E1061" i="3" s="1"/>
  <c r="D1060" i="3"/>
  <c r="E1060" i="3" s="1"/>
  <c r="D1059" i="3"/>
  <c r="E1059" i="3" s="1"/>
  <c r="D1058" i="3"/>
  <c r="E1058" i="3" s="1"/>
  <c r="D1057" i="3"/>
  <c r="E1057" i="3" s="1"/>
  <c r="D1056" i="3"/>
  <c r="E1056" i="3" s="1"/>
  <c r="D1055" i="3"/>
  <c r="E1055" i="3" s="1"/>
  <c r="D1054" i="3"/>
  <c r="E1054" i="3" s="1"/>
  <c r="D1053" i="3"/>
  <c r="E1053" i="3" s="1"/>
  <c r="D1052" i="3"/>
  <c r="E1052" i="3" s="1"/>
  <c r="D1051" i="3"/>
  <c r="E1051" i="3" s="1"/>
  <c r="D1050" i="3"/>
  <c r="E1050" i="3" s="1"/>
  <c r="D1049" i="3"/>
  <c r="E1049" i="3" s="1"/>
  <c r="D1048" i="3"/>
  <c r="E1048" i="3" s="1"/>
  <c r="D1047" i="3"/>
  <c r="E1047" i="3" s="1"/>
  <c r="D1046" i="3"/>
  <c r="E1046" i="3" s="1"/>
  <c r="D1045" i="3"/>
  <c r="E1045" i="3" s="1"/>
  <c r="D1044" i="3"/>
  <c r="E1044" i="3" s="1"/>
  <c r="D1043" i="3"/>
  <c r="E1043" i="3" s="1"/>
  <c r="D1042" i="3"/>
  <c r="E1042" i="3" s="1"/>
  <c r="D1041" i="3"/>
  <c r="E1041" i="3" s="1"/>
  <c r="D1040" i="3"/>
  <c r="E1040" i="3" s="1"/>
  <c r="D1039" i="3"/>
  <c r="E1039" i="3" s="1"/>
  <c r="D1038" i="3"/>
  <c r="E1038" i="3" s="1"/>
  <c r="D1037" i="3"/>
  <c r="E1037" i="3" s="1"/>
  <c r="D1036" i="3"/>
  <c r="E1036" i="3" s="1"/>
  <c r="D1035" i="3"/>
  <c r="E1035" i="3" s="1"/>
  <c r="D1034" i="3"/>
  <c r="E1034" i="3" s="1"/>
  <c r="D1033" i="3"/>
  <c r="E1033" i="3" s="1"/>
  <c r="D1032" i="3"/>
  <c r="E1032" i="3" s="1"/>
  <c r="D1031" i="3"/>
  <c r="E1031" i="3" s="1"/>
  <c r="D1030" i="3"/>
  <c r="E1030" i="3" s="1"/>
  <c r="D1029" i="3"/>
  <c r="E1029" i="3" s="1"/>
  <c r="D1028" i="3"/>
  <c r="E1028" i="3" s="1"/>
  <c r="D1027" i="3"/>
  <c r="E1027" i="3" s="1"/>
  <c r="D1026" i="3"/>
  <c r="E1026" i="3" s="1"/>
  <c r="D1025" i="3"/>
  <c r="E1025" i="3" s="1"/>
  <c r="D1024" i="3"/>
  <c r="E1024" i="3" s="1"/>
  <c r="D1023" i="3"/>
  <c r="E1023" i="3" s="1"/>
  <c r="D1022" i="3"/>
  <c r="E1022" i="3" s="1"/>
  <c r="D1021" i="3"/>
  <c r="E1021" i="3" s="1"/>
  <c r="D1020" i="3"/>
  <c r="E1020" i="3" s="1"/>
  <c r="D1019" i="3"/>
  <c r="E1019" i="3" s="1"/>
  <c r="D1018" i="3"/>
  <c r="E1018" i="3" s="1"/>
  <c r="D1017" i="3"/>
  <c r="E1017" i="3" s="1"/>
  <c r="D1016" i="3"/>
  <c r="E1016" i="3" s="1"/>
  <c r="D1015" i="3"/>
  <c r="E1015" i="3" s="1"/>
  <c r="D1014" i="3"/>
  <c r="E1014" i="3" s="1"/>
  <c r="D1013" i="3"/>
  <c r="E1013" i="3" s="1"/>
  <c r="D1012" i="3"/>
  <c r="E1012" i="3" s="1"/>
  <c r="D1011" i="3"/>
  <c r="E1011" i="3" s="1"/>
  <c r="D1010" i="3"/>
  <c r="E1010" i="3" s="1"/>
  <c r="D1009" i="3"/>
  <c r="E1009" i="3" s="1"/>
  <c r="D1008" i="3"/>
  <c r="E1008" i="3" s="1"/>
  <c r="D1007" i="3"/>
  <c r="E1007" i="3" s="1"/>
  <c r="D1006" i="3"/>
  <c r="E1006" i="3" s="1"/>
  <c r="D1005" i="3"/>
  <c r="E1005" i="3" s="1"/>
  <c r="D1004" i="3"/>
  <c r="E1004" i="3" s="1"/>
  <c r="D1003" i="3"/>
  <c r="E1003" i="3" s="1"/>
  <c r="D1002" i="3"/>
  <c r="E1002" i="3" s="1"/>
  <c r="D1001" i="3"/>
  <c r="E1001" i="3" s="1"/>
  <c r="D1000" i="3"/>
  <c r="E1000" i="3" s="1"/>
  <c r="D999" i="3"/>
  <c r="E999" i="3" s="1"/>
  <c r="D998" i="3"/>
  <c r="E998" i="3" s="1"/>
  <c r="D997" i="3"/>
  <c r="E997" i="3" s="1"/>
  <c r="D996" i="3"/>
  <c r="E996" i="3" s="1"/>
  <c r="D995" i="3"/>
  <c r="E995" i="3" s="1"/>
  <c r="D994" i="3"/>
  <c r="E994" i="3" s="1"/>
  <c r="D993" i="3"/>
  <c r="E993" i="3" s="1"/>
  <c r="D992" i="3"/>
  <c r="E992" i="3" s="1"/>
  <c r="D991" i="3"/>
  <c r="E991" i="3" s="1"/>
  <c r="D990" i="3"/>
  <c r="E990" i="3" s="1"/>
  <c r="D989" i="3"/>
  <c r="E989" i="3" s="1"/>
  <c r="D988" i="3"/>
  <c r="E988" i="3" s="1"/>
  <c r="D987" i="3"/>
  <c r="E987" i="3" s="1"/>
  <c r="D986" i="3"/>
  <c r="E986" i="3" s="1"/>
  <c r="D985" i="3"/>
  <c r="E985" i="3" s="1"/>
  <c r="D984" i="3"/>
  <c r="E984" i="3" s="1"/>
  <c r="D983" i="3"/>
  <c r="E983" i="3" s="1"/>
  <c r="D982" i="3"/>
  <c r="E982" i="3" s="1"/>
  <c r="D981" i="3"/>
  <c r="E981" i="3" s="1"/>
  <c r="D980" i="3"/>
  <c r="E980" i="3" s="1"/>
  <c r="D979" i="3"/>
  <c r="E979" i="3" s="1"/>
  <c r="D978" i="3"/>
  <c r="E978" i="3" s="1"/>
  <c r="D977" i="3"/>
  <c r="E977" i="3" s="1"/>
  <c r="D976" i="3"/>
  <c r="E976" i="3" s="1"/>
  <c r="D975" i="3"/>
  <c r="E975" i="3" s="1"/>
  <c r="D974" i="3"/>
  <c r="E974" i="3" s="1"/>
  <c r="D973" i="3"/>
  <c r="E973" i="3" s="1"/>
  <c r="D972" i="3"/>
  <c r="E972" i="3" s="1"/>
  <c r="D971" i="3"/>
  <c r="E971" i="3" s="1"/>
  <c r="D970" i="3"/>
  <c r="E970" i="3" s="1"/>
  <c r="D969" i="3"/>
  <c r="E969" i="3" s="1"/>
  <c r="D968" i="3"/>
  <c r="E968" i="3" s="1"/>
  <c r="D967" i="3"/>
  <c r="E967" i="3" s="1"/>
  <c r="D966" i="3"/>
  <c r="E966" i="3" s="1"/>
  <c r="D965" i="3"/>
  <c r="E965" i="3" s="1"/>
  <c r="D964" i="3"/>
  <c r="E964" i="3" s="1"/>
  <c r="D963" i="3"/>
  <c r="E963" i="3" s="1"/>
  <c r="D962" i="3"/>
  <c r="E962" i="3" s="1"/>
  <c r="D961" i="3"/>
  <c r="E961" i="3" s="1"/>
  <c r="D960" i="3"/>
  <c r="E960" i="3" s="1"/>
  <c r="D959" i="3"/>
  <c r="E959" i="3" s="1"/>
  <c r="D958" i="3"/>
  <c r="E958" i="3" s="1"/>
  <c r="D957" i="3"/>
  <c r="E957" i="3" s="1"/>
  <c r="D956" i="3"/>
  <c r="E956" i="3" s="1"/>
  <c r="D955" i="3"/>
  <c r="E955" i="3" s="1"/>
  <c r="D954" i="3"/>
  <c r="E954" i="3" s="1"/>
  <c r="D953" i="3"/>
  <c r="E953" i="3" s="1"/>
  <c r="D952" i="3"/>
  <c r="E952" i="3" s="1"/>
  <c r="D951" i="3"/>
  <c r="E951" i="3" s="1"/>
  <c r="D950" i="3"/>
  <c r="E950" i="3" s="1"/>
  <c r="D949" i="3"/>
  <c r="E949" i="3" s="1"/>
  <c r="D948" i="3"/>
  <c r="E948" i="3" s="1"/>
  <c r="D947" i="3"/>
  <c r="E947" i="3" s="1"/>
  <c r="D946" i="3"/>
  <c r="E946" i="3" s="1"/>
  <c r="D945" i="3"/>
  <c r="E945" i="3" s="1"/>
  <c r="D944" i="3"/>
  <c r="E944" i="3" s="1"/>
  <c r="D943" i="3"/>
  <c r="E943" i="3" s="1"/>
  <c r="D942" i="3"/>
  <c r="E942" i="3" s="1"/>
  <c r="D941" i="3"/>
  <c r="E941" i="3" s="1"/>
  <c r="D940" i="3"/>
  <c r="E940" i="3" s="1"/>
  <c r="D939" i="3"/>
  <c r="E939" i="3" s="1"/>
  <c r="D938" i="3"/>
  <c r="E938" i="3" s="1"/>
  <c r="D937" i="3"/>
  <c r="E937" i="3" s="1"/>
  <c r="D936" i="3"/>
  <c r="E936" i="3" s="1"/>
  <c r="D935" i="3"/>
  <c r="E935" i="3" s="1"/>
  <c r="D934" i="3"/>
  <c r="E934" i="3" s="1"/>
  <c r="D933" i="3"/>
  <c r="E933" i="3" s="1"/>
  <c r="D932" i="3"/>
  <c r="E932" i="3" s="1"/>
  <c r="D931" i="3"/>
  <c r="E931" i="3" s="1"/>
  <c r="D930" i="3"/>
  <c r="E930" i="3" s="1"/>
  <c r="D929" i="3"/>
  <c r="E929" i="3" s="1"/>
  <c r="D928" i="3"/>
  <c r="E928" i="3" s="1"/>
  <c r="D927" i="3"/>
  <c r="E927" i="3" s="1"/>
  <c r="D926" i="3"/>
  <c r="E926" i="3" s="1"/>
  <c r="D925" i="3"/>
  <c r="E925" i="3" s="1"/>
  <c r="D924" i="3"/>
  <c r="E924" i="3" s="1"/>
  <c r="D923" i="3"/>
  <c r="E923" i="3" s="1"/>
  <c r="D922" i="3"/>
  <c r="E922" i="3" s="1"/>
  <c r="D921" i="3"/>
  <c r="E921" i="3" s="1"/>
  <c r="D920" i="3"/>
  <c r="E920" i="3" s="1"/>
  <c r="D919" i="3"/>
  <c r="E919" i="3" s="1"/>
  <c r="D918" i="3"/>
  <c r="E918" i="3" s="1"/>
  <c r="D917" i="3"/>
  <c r="E917" i="3" s="1"/>
  <c r="D916" i="3"/>
  <c r="E916" i="3" s="1"/>
  <c r="D915" i="3"/>
  <c r="E915" i="3" s="1"/>
  <c r="D914" i="3"/>
  <c r="E914" i="3" s="1"/>
  <c r="D913" i="3"/>
  <c r="E913" i="3" s="1"/>
  <c r="D912" i="3"/>
  <c r="E912" i="3" s="1"/>
  <c r="D911" i="3"/>
  <c r="E911" i="3" s="1"/>
  <c r="D910" i="3"/>
  <c r="E910" i="3" s="1"/>
  <c r="D909" i="3"/>
  <c r="E909" i="3" s="1"/>
  <c r="D908" i="3"/>
  <c r="E908" i="3" s="1"/>
  <c r="D907" i="3"/>
  <c r="E907" i="3" s="1"/>
  <c r="D906" i="3"/>
  <c r="E906" i="3" s="1"/>
  <c r="D905" i="3"/>
  <c r="E905" i="3" s="1"/>
  <c r="D904" i="3"/>
  <c r="E904" i="3" s="1"/>
  <c r="D903" i="3"/>
  <c r="E903" i="3" s="1"/>
  <c r="D902" i="3"/>
  <c r="E902" i="3" s="1"/>
  <c r="D901" i="3"/>
  <c r="E901" i="3" s="1"/>
  <c r="D900" i="3"/>
  <c r="E900" i="3" s="1"/>
  <c r="D899" i="3"/>
  <c r="E899" i="3" s="1"/>
  <c r="D898" i="3"/>
  <c r="E898" i="3" s="1"/>
  <c r="D897" i="3"/>
  <c r="E897" i="3" s="1"/>
  <c r="D896" i="3"/>
  <c r="E896" i="3" s="1"/>
  <c r="D895" i="3"/>
  <c r="E895" i="3" s="1"/>
  <c r="D894" i="3"/>
  <c r="E894" i="3" s="1"/>
  <c r="D893" i="3"/>
  <c r="E893" i="3" s="1"/>
  <c r="D892" i="3"/>
  <c r="E892" i="3" s="1"/>
  <c r="D891" i="3"/>
  <c r="E891" i="3" s="1"/>
  <c r="D890" i="3"/>
  <c r="E890" i="3" s="1"/>
  <c r="D889" i="3"/>
  <c r="E889" i="3" s="1"/>
  <c r="D888" i="3"/>
  <c r="E888" i="3" s="1"/>
  <c r="D887" i="3"/>
  <c r="E887" i="3" s="1"/>
  <c r="D886" i="3"/>
  <c r="E886" i="3" s="1"/>
  <c r="D885" i="3"/>
  <c r="E885" i="3" s="1"/>
  <c r="D884" i="3"/>
  <c r="E884" i="3" s="1"/>
  <c r="D883" i="3"/>
  <c r="E883" i="3" s="1"/>
  <c r="D882" i="3"/>
  <c r="E882" i="3" s="1"/>
  <c r="D881" i="3"/>
  <c r="E881" i="3" s="1"/>
  <c r="D880" i="3"/>
  <c r="E880" i="3" s="1"/>
  <c r="D879" i="3"/>
  <c r="E879" i="3" s="1"/>
  <c r="D878" i="3"/>
  <c r="E878" i="3" s="1"/>
  <c r="D877" i="3"/>
  <c r="E877" i="3" s="1"/>
  <c r="D876" i="3"/>
  <c r="E876" i="3" s="1"/>
  <c r="D875" i="3"/>
  <c r="E875" i="3" s="1"/>
  <c r="D874" i="3"/>
  <c r="E874" i="3" s="1"/>
  <c r="D873" i="3"/>
  <c r="E873" i="3" s="1"/>
  <c r="D872" i="3"/>
  <c r="E872" i="3" s="1"/>
  <c r="D871" i="3"/>
  <c r="E871" i="3" s="1"/>
  <c r="D870" i="3"/>
  <c r="E870" i="3" s="1"/>
  <c r="D869" i="3"/>
  <c r="E869" i="3" s="1"/>
  <c r="D868" i="3"/>
  <c r="E868" i="3" s="1"/>
  <c r="D867" i="3"/>
  <c r="E867" i="3" s="1"/>
  <c r="D866" i="3"/>
  <c r="E866" i="3" s="1"/>
  <c r="D865" i="3"/>
  <c r="E865" i="3" s="1"/>
  <c r="D864" i="3"/>
  <c r="E864" i="3" s="1"/>
  <c r="D863" i="3"/>
  <c r="E863" i="3" s="1"/>
  <c r="D862" i="3"/>
  <c r="E862" i="3" s="1"/>
  <c r="D861" i="3"/>
  <c r="E861" i="3" s="1"/>
  <c r="D860" i="3"/>
  <c r="E860" i="3" s="1"/>
  <c r="D859" i="3"/>
  <c r="E859" i="3" s="1"/>
  <c r="D858" i="3"/>
  <c r="E858" i="3" s="1"/>
  <c r="D857" i="3"/>
  <c r="E857" i="3" s="1"/>
  <c r="D856" i="3"/>
  <c r="E856" i="3" s="1"/>
  <c r="D855" i="3"/>
  <c r="E855" i="3" s="1"/>
  <c r="D854" i="3"/>
  <c r="E854" i="3" s="1"/>
  <c r="D853" i="3"/>
  <c r="E853" i="3" s="1"/>
  <c r="D852" i="3"/>
  <c r="E852" i="3" s="1"/>
  <c r="D851" i="3"/>
  <c r="E851" i="3" s="1"/>
  <c r="D850" i="3"/>
  <c r="E850" i="3" s="1"/>
  <c r="D849" i="3"/>
  <c r="E849" i="3" s="1"/>
  <c r="D848" i="3"/>
  <c r="E848" i="3" s="1"/>
  <c r="D847" i="3"/>
  <c r="E847" i="3" s="1"/>
  <c r="D846" i="3"/>
  <c r="E846" i="3" s="1"/>
  <c r="D845" i="3"/>
  <c r="E845" i="3" s="1"/>
  <c r="D844" i="3"/>
  <c r="E844" i="3" s="1"/>
  <c r="D843" i="3"/>
  <c r="E843" i="3" s="1"/>
  <c r="D842" i="3"/>
  <c r="E842" i="3" s="1"/>
  <c r="D841" i="3"/>
  <c r="E841" i="3" s="1"/>
  <c r="D840" i="3"/>
  <c r="E840" i="3" s="1"/>
  <c r="D839" i="3"/>
  <c r="E839" i="3" s="1"/>
  <c r="D838" i="3"/>
  <c r="E838" i="3" s="1"/>
  <c r="D837" i="3"/>
  <c r="E837" i="3" s="1"/>
  <c r="D836" i="3"/>
  <c r="E836" i="3" s="1"/>
  <c r="D835" i="3"/>
  <c r="E835" i="3" s="1"/>
  <c r="D834" i="3"/>
  <c r="E834" i="3" s="1"/>
  <c r="D833" i="3"/>
  <c r="E833" i="3" s="1"/>
  <c r="D832" i="3"/>
  <c r="E832" i="3" s="1"/>
  <c r="D831" i="3"/>
  <c r="E831" i="3" s="1"/>
  <c r="D830" i="3"/>
  <c r="E830" i="3" s="1"/>
  <c r="D829" i="3"/>
  <c r="E829" i="3" s="1"/>
  <c r="D828" i="3"/>
  <c r="E828" i="3" s="1"/>
  <c r="D827" i="3"/>
  <c r="E827" i="3" s="1"/>
  <c r="D826" i="3"/>
  <c r="E826" i="3" s="1"/>
  <c r="D825" i="3"/>
  <c r="E825" i="3" s="1"/>
  <c r="D824" i="3"/>
  <c r="E824" i="3" s="1"/>
  <c r="D823" i="3"/>
  <c r="E823" i="3" s="1"/>
  <c r="D822" i="3"/>
  <c r="E822" i="3" s="1"/>
  <c r="D821" i="3"/>
  <c r="E821" i="3" s="1"/>
  <c r="D820" i="3"/>
  <c r="E820" i="3" s="1"/>
  <c r="D819" i="3"/>
  <c r="E819" i="3" s="1"/>
  <c r="D818" i="3"/>
  <c r="E818" i="3" s="1"/>
  <c r="D817" i="3"/>
  <c r="E817" i="3" s="1"/>
  <c r="D816" i="3"/>
  <c r="E816" i="3" s="1"/>
  <c r="D815" i="3"/>
  <c r="E815" i="3" s="1"/>
  <c r="D814" i="3"/>
  <c r="E814" i="3" s="1"/>
  <c r="D813" i="3"/>
  <c r="E813" i="3" s="1"/>
  <c r="D812" i="3"/>
  <c r="E812" i="3" s="1"/>
  <c r="D811" i="3"/>
  <c r="E811" i="3" s="1"/>
  <c r="D810" i="3"/>
  <c r="E810" i="3" s="1"/>
  <c r="D809" i="3"/>
  <c r="E809" i="3" s="1"/>
  <c r="D808" i="3"/>
  <c r="E808" i="3" s="1"/>
  <c r="D807" i="3"/>
  <c r="E807" i="3" s="1"/>
  <c r="D806" i="3"/>
  <c r="E806" i="3" s="1"/>
  <c r="D805" i="3"/>
  <c r="E805" i="3" s="1"/>
  <c r="D804" i="3"/>
  <c r="E804" i="3" s="1"/>
  <c r="D803" i="3"/>
  <c r="E803" i="3" s="1"/>
  <c r="D802" i="3"/>
  <c r="E802" i="3" s="1"/>
  <c r="D801" i="3"/>
  <c r="E801" i="3" s="1"/>
  <c r="D800" i="3"/>
  <c r="E800" i="3" s="1"/>
  <c r="D799" i="3"/>
  <c r="E799" i="3" s="1"/>
  <c r="D798" i="3"/>
  <c r="E798" i="3" s="1"/>
  <c r="D797" i="3"/>
  <c r="E797" i="3" s="1"/>
  <c r="D796" i="3"/>
  <c r="E796" i="3" s="1"/>
  <c r="D795" i="3"/>
  <c r="E795" i="3" s="1"/>
  <c r="D794" i="3"/>
  <c r="E794" i="3" s="1"/>
  <c r="D793" i="3"/>
  <c r="E793" i="3" s="1"/>
  <c r="D792" i="3"/>
  <c r="E792" i="3" s="1"/>
  <c r="D791" i="3"/>
  <c r="E791" i="3" s="1"/>
  <c r="D790" i="3"/>
  <c r="E790" i="3" s="1"/>
  <c r="D789" i="3"/>
  <c r="E789" i="3" s="1"/>
  <c r="D788" i="3"/>
  <c r="E788" i="3" s="1"/>
  <c r="D787" i="3"/>
  <c r="E787" i="3" s="1"/>
  <c r="D786" i="3"/>
  <c r="E786" i="3" s="1"/>
  <c r="D785" i="3"/>
  <c r="E785" i="3" s="1"/>
  <c r="D784" i="3"/>
  <c r="E784" i="3" s="1"/>
  <c r="D783" i="3"/>
  <c r="E783" i="3" s="1"/>
  <c r="D782" i="3"/>
  <c r="E782" i="3" s="1"/>
  <c r="D781" i="3"/>
  <c r="E781" i="3" s="1"/>
  <c r="D780" i="3"/>
  <c r="E780" i="3" s="1"/>
  <c r="D779" i="3"/>
  <c r="E779" i="3" s="1"/>
  <c r="D778" i="3"/>
  <c r="E778" i="3" s="1"/>
  <c r="D777" i="3"/>
  <c r="E777" i="3" s="1"/>
  <c r="D776" i="3"/>
  <c r="E776" i="3" s="1"/>
  <c r="D775" i="3"/>
  <c r="E775" i="3" s="1"/>
  <c r="D774" i="3"/>
  <c r="E774" i="3" s="1"/>
  <c r="D773" i="3"/>
  <c r="E773" i="3" s="1"/>
  <c r="D772" i="3"/>
  <c r="E772" i="3" s="1"/>
  <c r="D771" i="3"/>
  <c r="E771" i="3" s="1"/>
  <c r="D770" i="3"/>
  <c r="E770" i="3" s="1"/>
  <c r="D769" i="3"/>
  <c r="E769" i="3" s="1"/>
  <c r="D768" i="3"/>
  <c r="E768" i="3" s="1"/>
  <c r="D767" i="3"/>
  <c r="E767" i="3" s="1"/>
  <c r="D766" i="3"/>
  <c r="E766" i="3" s="1"/>
  <c r="D765" i="3"/>
  <c r="E765" i="3" s="1"/>
  <c r="D764" i="3"/>
  <c r="E764" i="3" s="1"/>
  <c r="D763" i="3"/>
  <c r="E763" i="3" s="1"/>
  <c r="D762" i="3"/>
  <c r="E762" i="3" s="1"/>
  <c r="D761" i="3"/>
  <c r="E761" i="3" s="1"/>
  <c r="D760" i="3"/>
  <c r="E760" i="3" s="1"/>
  <c r="D759" i="3"/>
  <c r="E759" i="3" s="1"/>
  <c r="D758" i="3"/>
  <c r="E758" i="3" s="1"/>
  <c r="D757" i="3"/>
  <c r="E757" i="3" s="1"/>
  <c r="D756" i="3"/>
  <c r="E756" i="3" s="1"/>
  <c r="D755" i="3"/>
  <c r="E755" i="3" s="1"/>
  <c r="D754" i="3"/>
  <c r="E754" i="3" s="1"/>
  <c r="D753" i="3"/>
  <c r="E753" i="3" s="1"/>
  <c r="D752" i="3"/>
  <c r="E752" i="3" s="1"/>
  <c r="D751" i="3"/>
  <c r="E751" i="3" s="1"/>
  <c r="D750" i="3"/>
  <c r="E750" i="3" s="1"/>
  <c r="D749" i="3"/>
  <c r="E749" i="3" s="1"/>
  <c r="D748" i="3"/>
  <c r="E748" i="3" s="1"/>
  <c r="D747" i="3"/>
  <c r="E747" i="3" s="1"/>
  <c r="D746" i="3"/>
  <c r="E746" i="3" s="1"/>
  <c r="D745" i="3"/>
  <c r="E745" i="3" s="1"/>
  <c r="D744" i="3"/>
  <c r="E744" i="3" s="1"/>
  <c r="D743" i="3"/>
  <c r="E743" i="3" s="1"/>
  <c r="D742" i="3"/>
  <c r="E742" i="3" s="1"/>
  <c r="D741" i="3"/>
  <c r="E741" i="3" s="1"/>
  <c r="D740" i="3"/>
  <c r="E740" i="3" s="1"/>
  <c r="D739" i="3"/>
  <c r="E739" i="3" s="1"/>
  <c r="D738" i="3"/>
  <c r="E738" i="3" s="1"/>
  <c r="D737" i="3"/>
  <c r="E737" i="3" s="1"/>
  <c r="D736" i="3"/>
  <c r="E736" i="3" s="1"/>
  <c r="D735" i="3"/>
  <c r="E735" i="3" s="1"/>
  <c r="D734" i="3"/>
  <c r="E734" i="3" s="1"/>
  <c r="D733" i="3"/>
  <c r="E733" i="3" s="1"/>
  <c r="D732" i="3"/>
  <c r="E732" i="3" s="1"/>
  <c r="D731" i="3"/>
  <c r="E731" i="3" s="1"/>
  <c r="D730" i="3"/>
  <c r="E730" i="3" s="1"/>
  <c r="D729" i="3"/>
  <c r="E729" i="3" s="1"/>
  <c r="D728" i="3"/>
  <c r="E728" i="3" s="1"/>
  <c r="D727" i="3"/>
  <c r="E727" i="3" s="1"/>
  <c r="D726" i="3"/>
  <c r="E726" i="3" s="1"/>
  <c r="D725" i="3"/>
  <c r="E725" i="3" s="1"/>
  <c r="D724" i="3"/>
  <c r="E724" i="3" s="1"/>
  <c r="D723" i="3"/>
  <c r="E723" i="3" s="1"/>
  <c r="D722" i="3"/>
  <c r="E722" i="3" s="1"/>
  <c r="D721" i="3"/>
  <c r="E721" i="3" s="1"/>
  <c r="D720" i="3"/>
  <c r="E720" i="3" s="1"/>
  <c r="D719" i="3"/>
  <c r="E719" i="3" s="1"/>
  <c r="D718" i="3"/>
  <c r="E718" i="3" s="1"/>
  <c r="D717" i="3"/>
  <c r="E717" i="3" s="1"/>
  <c r="D716" i="3"/>
  <c r="E716" i="3" s="1"/>
  <c r="D715" i="3"/>
  <c r="E715" i="3" s="1"/>
  <c r="D714" i="3"/>
  <c r="E714" i="3" s="1"/>
  <c r="D713" i="3"/>
  <c r="E713" i="3" s="1"/>
  <c r="D712" i="3"/>
  <c r="E712" i="3" s="1"/>
  <c r="D711" i="3"/>
  <c r="E711" i="3" s="1"/>
  <c r="D710" i="3"/>
  <c r="E710" i="3" s="1"/>
  <c r="D709" i="3"/>
  <c r="E709" i="3" s="1"/>
  <c r="D708" i="3"/>
  <c r="E708" i="3" s="1"/>
  <c r="D707" i="3"/>
  <c r="E707" i="3" s="1"/>
  <c r="D706" i="3"/>
  <c r="E706" i="3" s="1"/>
  <c r="D705" i="3"/>
  <c r="E705" i="3" s="1"/>
  <c r="D704" i="3"/>
  <c r="E704" i="3" s="1"/>
  <c r="D703" i="3"/>
  <c r="E703" i="3" s="1"/>
  <c r="D702" i="3"/>
  <c r="E702" i="3" s="1"/>
  <c r="D701" i="3"/>
  <c r="E701" i="3" s="1"/>
  <c r="D700" i="3"/>
  <c r="E700" i="3" s="1"/>
  <c r="D699" i="3"/>
  <c r="E699" i="3" s="1"/>
  <c r="D698" i="3"/>
  <c r="E698" i="3" s="1"/>
  <c r="D697" i="3"/>
  <c r="E697" i="3" s="1"/>
  <c r="D696" i="3"/>
  <c r="E696" i="3" s="1"/>
  <c r="D695" i="3"/>
  <c r="E695" i="3" s="1"/>
  <c r="D694" i="3"/>
  <c r="E694" i="3" s="1"/>
  <c r="D693" i="3"/>
  <c r="E693" i="3" s="1"/>
  <c r="D692" i="3"/>
  <c r="E692" i="3" s="1"/>
  <c r="D691" i="3"/>
  <c r="E691" i="3" s="1"/>
  <c r="D690" i="3"/>
  <c r="E690" i="3" s="1"/>
  <c r="D689" i="3"/>
  <c r="E689" i="3" s="1"/>
  <c r="D688" i="3"/>
  <c r="E688" i="3" s="1"/>
  <c r="D687" i="3"/>
  <c r="E687" i="3" s="1"/>
  <c r="D686" i="3"/>
  <c r="E686" i="3" s="1"/>
  <c r="D685" i="3"/>
  <c r="E685" i="3" s="1"/>
  <c r="D684" i="3"/>
  <c r="E684" i="3" s="1"/>
  <c r="D683" i="3"/>
  <c r="E683" i="3" s="1"/>
  <c r="D682" i="3"/>
  <c r="E682" i="3" s="1"/>
  <c r="D681" i="3"/>
  <c r="E681" i="3" s="1"/>
  <c r="D680" i="3"/>
  <c r="E680" i="3" s="1"/>
  <c r="D679" i="3"/>
  <c r="E679" i="3" s="1"/>
  <c r="D678" i="3"/>
  <c r="E678" i="3" s="1"/>
  <c r="D677" i="3"/>
  <c r="E677" i="3" s="1"/>
  <c r="D676" i="3"/>
  <c r="E676" i="3" s="1"/>
  <c r="D675" i="3"/>
  <c r="E675" i="3" s="1"/>
  <c r="D674" i="3"/>
  <c r="E674" i="3" s="1"/>
  <c r="D673" i="3"/>
  <c r="E673" i="3" s="1"/>
  <c r="D672" i="3"/>
  <c r="E672" i="3" s="1"/>
  <c r="D671" i="3"/>
  <c r="E671" i="3" s="1"/>
  <c r="D670" i="3"/>
  <c r="E670" i="3" s="1"/>
  <c r="D669" i="3"/>
  <c r="E669" i="3" s="1"/>
  <c r="D668" i="3"/>
  <c r="E668" i="3" s="1"/>
  <c r="D667" i="3"/>
  <c r="E667" i="3" s="1"/>
  <c r="D666" i="3"/>
  <c r="E666" i="3" s="1"/>
  <c r="D665" i="3"/>
  <c r="E665" i="3" s="1"/>
  <c r="D664" i="3"/>
  <c r="E664" i="3" s="1"/>
  <c r="D663" i="3"/>
  <c r="E663" i="3" s="1"/>
  <c r="D662" i="3"/>
  <c r="E662" i="3" s="1"/>
  <c r="D661" i="3"/>
  <c r="E661" i="3" s="1"/>
  <c r="D660" i="3"/>
  <c r="E660" i="3" s="1"/>
  <c r="D659" i="3"/>
  <c r="E659" i="3" s="1"/>
  <c r="D658" i="3"/>
  <c r="E658" i="3" s="1"/>
  <c r="D657" i="3"/>
  <c r="E657" i="3" s="1"/>
  <c r="D656" i="3"/>
  <c r="E656" i="3" s="1"/>
  <c r="D655" i="3"/>
  <c r="E655" i="3" s="1"/>
  <c r="D654" i="3"/>
  <c r="E654" i="3" s="1"/>
  <c r="D653" i="3"/>
  <c r="E653" i="3" s="1"/>
  <c r="D652" i="3"/>
  <c r="E652" i="3" s="1"/>
  <c r="D651" i="3"/>
  <c r="E651" i="3" s="1"/>
  <c r="D650" i="3"/>
  <c r="E650" i="3" s="1"/>
  <c r="D649" i="3"/>
  <c r="E649" i="3" s="1"/>
  <c r="D648" i="3"/>
  <c r="E648" i="3" s="1"/>
  <c r="D647" i="3"/>
  <c r="E647" i="3" s="1"/>
  <c r="D646" i="3"/>
  <c r="E646" i="3" s="1"/>
  <c r="D645" i="3"/>
  <c r="E645" i="3" s="1"/>
  <c r="D644" i="3"/>
  <c r="E644" i="3" s="1"/>
  <c r="D643" i="3"/>
  <c r="E643" i="3" s="1"/>
  <c r="D642" i="3"/>
  <c r="E642" i="3" s="1"/>
  <c r="D641" i="3"/>
  <c r="E641" i="3" s="1"/>
  <c r="D640" i="3"/>
  <c r="E640" i="3" s="1"/>
  <c r="D639" i="3"/>
  <c r="E639" i="3" s="1"/>
  <c r="D638" i="3"/>
  <c r="E638" i="3" s="1"/>
  <c r="D637" i="3"/>
  <c r="E637" i="3" s="1"/>
  <c r="D636" i="3"/>
  <c r="E636" i="3" s="1"/>
  <c r="D635" i="3"/>
  <c r="E635" i="3" s="1"/>
  <c r="D634" i="3"/>
  <c r="E634" i="3" s="1"/>
  <c r="D633" i="3"/>
  <c r="E633" i="3" s="1"/>
  <c r="D632" i="3"/>
  <c r="E632" i="3" s="1"/>
  <c r="D631" i="3"/>
  <c r="E631" i="3" s="1"/>
  <c r="D630" i="3"/>
  <c r="E630" i="3" s="1"/>
  <c r="D629" i="3"/>
  <c r="E629" i="3" s="1"/>
  <c r="D628" i="3"/>
  <c r="E628" i="3" s="1"/>
  <c r="D627" i="3"/>
  <c r="E627" i="3" s="1"/>
  <c r="D626" i="3"/>
  <c r="E626" i="3" s="1"/>
  <c r="D625" i="3"/>
  <c r="E625" i="3" s="1"/>
  <c r="D624" i="3"/>
  <c r="E624" i="3" s="1"/>
  <c r="D623" i="3"/>
  <c r="E623" i="3" s="1"/>
  <c r="D622" i="3"/>
  <c r="E622" i="3" s="1"/>
  <c r="D621" i="3"/>
  <c r="E621" i="3" s="1"/>
  <c r="D620" i="3"/>
  <c r="E620" i="3" s="1"/>
  <c r="D619" i="3"/>
  <c r="E619" i="3" s="1"/>
  <c r="D618" i="3"/>
  <c r="E618" i="3" s="1"/>
  <c r="D617" i="3"/>
  <c r="E617" i="3" s="1"/>
  <c r="D616" i="3"/>
  <c r="E616" i="3" s="1"/>
  <c r="D615" i="3"/>
  <c r="E615" i="3" s="1"/>
  <c r="D614" i="3"/>
  <c r="E614" i="3" s="1"/>
  <c r="D613" i="3"/>
  <c r="E613" i="3" s="1"/>
  <c r="D612" i="3"/>
  <c r="E612" i="3" s="1"/>
  <c r="D611" i="3"/>
  <c r="E611" i="3" s="1"/>
  <c r="D610" i="3"/>
  <c r="E610" i="3" s="1"/>
  <c r="D609" i="3"/>
  <c r="E609" i="3" s="1"/>
  <c r="D608" i="3"/>
  <c r="E608" i="3" s="1"/>
  <c r="D607" i="3"/>
  <c r="E607" i="3" s="1"/>
  <c r="D606" i="3"/>
  <c r="E606" i="3" s="1"/>
  <c r="D605" i="3"/>
  <c r="E605" i="3" s="1"/>
  <c r="D604" i="3"/>
  <c r="E604" i="3" s="1"/>
  <c r="D603" i="3"/>
  <c r="E603" i="3" s="1"/>
  <c r="D602" i="3"/>
  <c r="E602" i="3" s="1"/>
  <c r="D601" i="3"/>
  <c r="E601" i="3" s="1"/>
  <c r="D600" i="3"/>
  <c r="E600" i="3" s="1"/>
  <c r="D599" i="3"/>
  <c r="E599" i="3" s="1"/>
  <c r="D598" i="3"/>
  <c r="E598" i="3" s="1"/>
  <c r="D597" i="3"/>
  <c r="E597" i="3" s="1"/>
  <c r="D596" i="3"/>
  <c r="E596" i="3" s="1"/>
  <c r="D595" i="3"/>
  <c r="E595" i="3" s="1"/>
  <c r="D594" i="3"/>
  <c r="E594" i="3" s="1"/>
  <c r="D593" i="3"/>
  <c r="E593" i="3" s="1"/>
  <c r="D592" i="3"/>
  <c r="E592" i="3" s="1"/>
  <c r="D591" i="3"/>
  <c r="E591" i="3" s="1"/>
  <c r="D590" i="3"/>
  <c r="E590" i="3" s="1"/>
  <c r="D589" i="3"/>
  <c r="E589" i="3" s="1"/>
  <c r="D588" i="3"/>
  <c r="E588" i="3" s="1"/>
  <c r="D587" i="3"/>
  <c r="E587" i="3" s="1"/>
  <c r="D586" i="3"/>
  <c r="E586" i="3" s="1"/>
  <c r="D585" i="3"/>
  <c r="E585" i="3" s="1"/>
  <c r="D584" i="3"/>
  <c r="E584" i="3" s="1"/>
  <c r="D583" i="3"/>
  <c r="E583" i="3" s="1"/>
  <c r="D582" i="3"/>
  <c r="E582" i="3" s="1"/>
  <c r="D581" i="3"/>
  <c r="E581" i="3" s="1"/>
  <c r="D580" i="3"/>
  <c r="E580" i="3" s="1"/>
  <c r="D579" i="3"/>
  <c r="E579" i="3" s="1"/>
  <c r="D578" i="3"/>
  <c r="E578" i="3" s="1"/>
  <c r="D577" i="3"/>
  <c r="E577" i="3" s="1"/>
  <c r="D576" i="3"/>
  <c r="E576" i="3" s="1"/>
  <c r="D575" i="3"/>
  <c r="E575" i="3" s="1"/>
  <c r="D574" i="3"/>
  <c r="E574" i="3" s="1"/>
  <c r="D573" i="3"/>
  <c r="E573" i="3" s="1"/>
  <c r="D572" i="3"/>
  <c r="E572" i="3" s="1"/>
  <c r="D571" i="3"/>
  <c r="E571" i="3" s="1"/>
  <c r="D570" i="3"/>
  <c r="E570" i="3" s="1"/>
  <c r="D569" i="3"/>
  <c r="E569" i="3" s="1"/>
  <c r="D568" i="3"/>
  <c r="E568" i="3" s="1"/>
  <c r="D567" i="3"/>
  <c r="E567" i="3" s="1"/>
  <c r="D566" i="3"/>
  <c r="E566" i="3" s="1"/>
  <c r="D565" i="3"/>
  <c r="E565" i="3" s="1"/>
  <c r="D564" i="3"/>
  <c r="E564" i="3" s="1"/>
  <c r="D563" i="3"/>
  <c r="E563" i="3" s="1"/>
  <c r="D562" i="3"/>
  <c r="E562" i="3" s="1"/>
  <c r="D561" i="3"/>
  <c r="E561" i="3" s="1"/>
  <c r="D560" i="3"/>
  <c r="E560" i="3" s="1"/>
  <c r="D559" i="3"/>
  <c r="E559" i="3" s="1"/>
  <c r="D558" i="3"/>
  <c r="E558" i="3" s="1"/>
  <c r="D557" i="3"/>
  <c r="E557" i="3" s="1"/>
  <c r="D556" i="3"/>
  <c r="E556" i="3" s="1"/>
  <c r="D555" i="3"/>
  <c r="E555" i="3" s="1"/>
  <c r="D554" i="3"/>
  <c r="E554" i="3" s="1"/>
  <c r="D553" i="3"/>
  <c r="E553" i="3" s="1"/>
  <c r="D552" i="3"/>
  <c r="E552" i="3" s="1"/>
  <c r="D551" i="3"/>
  <c r="E551" i="3" s="1"/>
  <c r="D550" i="3"/>
  <c r="E550" i="3" s="1"/>
  <c r="D549" i="3"/>
  <c r="E549" i="3" s="1"/>
  <c r="D548" i="3"/>
  <c r="E548" i="3" s="1"/>
  <c r="D547" i="3"/>
  <c r="E547" i="3" s="1"/>
  <c r="D546" i="3"/>
  <c r="E546" i="3" s="1"/>
  <c r="D545" i="3"/>
  <c r="E545" i="3" s="1"/>
  <c r="D544" i="3"/>
  <c r="E544" i="3" s="1"/>
  <c r="D543" i="3"/>
  <c r="E543" i="3" s="1"/>
  <c r="D542" i="3"/>
  <c r="E542" i="3" s="1"/>
  <c r="D541" i="3"/>
  <c r="E541" i="3" s="1"/>
  <c r="D540" i="3"/>
  <c r="E540" i="3" s="1"/>
  <c r="D539" i="3"/>
  <c r="E539" i="3" s="1"/>
  <c r="D538" i="3"/>
  <c r="E538" i="3" s="1"/>
  <c r="D537" i="3"/>
  <c r="E537" i="3" s="1"/>
  <c r="D536" i="3"/>
  <c r="E536" i="3" s="1"/>
  <c r="D535" i="3"/>
  <c r="E535" i="3" s="1"/>
  <c r="D534" i="3"/>
  <c r="E534" i="3" s="1"/>
  <c r="D533" i="3"/>
  <c r="E533" i="3" s="1"/>
  <c r="D532" i="3"/>
  <c r="E532" i="3" s="1"/>
  <c r="D531" i="3"/>
  <c r="E531" i="3" s="1"/>
  <c r="D530" i="3"/>
  <c r="E530" i="3" s="1"/>
  <c r="D529" i="3"/>
  <c r="E529" i="3" s="1"/>
  <c r="D528" i="3"/>
  <c r="E528" i="3" s="1"/>
  <c r="D527" i="3"/>
  <c r="E527" i="3" s="1"/>
  <c r="D526" i="3"/>
  <c r="E526" i="3" s="1"/>
  <c r="D525" i="3"/>
  <c r="E525" i="3" s="1"/>
  <c r="D524" i="3"/>
  <c r="E524" i="3" s="1"/>
  <c r="D523" i="3"/>
  <c r="E523" i="3" s="1"/>
  <c r="D522" i="3"/>
  <c r="E522" i="3" s="1"/>
  <c r="D521" i="3"/>
  <c r="E521" i="3" s="1"/>
  <c r="D520" i="3"/>
  <c r="E520" i="3" s="1"/>
  <c r="D519" i="3"/>
  <c r="E519" i="3" s="1"/>
  <c r="D518" i="3"/>
  <c r="E518" i="3" s="1"/>
  <c r="D517" i="3"/>
  <c r="E517" i="3" s="1"/>
  <c r="D516" i="3"/>
  <c r="E516" i="3" s="1"/>
  <c r="D515" i="3"/>
  <c r="E515" i="3" s="1"/>
  <c r="D514" i="3"/>
  <c r="E514" i="3" s="1"/>
  <c r="D513" i="3"/>
  <c r="E513" i="3" s="1"/>
  <c r="D512" i="3"/>
  <c r="E512" i="3" s="1"/>
  <c r="D511" i="3"/>
  <c r="E511" i="3" s="1"/>
  <c r="D510" i="3"/>
  <c r="E510" i="3" s="1"/>
  <c r="D509" i="3"/>
  <c r="E509" i="3" s="1"/>
  <c r="D508" i="3"/>
  <c r="E508" i="3" s="1"/>
  <c r="D507" i="3"/>
  <c r="E507" i="3" s="1"/>
  <c r="D506" i="3"/>
  <c r="E506" i="3" s="1"/>
  <c r="D505" i="3"/>
  <c r="E505" i="3" s="1"/>
  <c r="D504" i="3"/>
  <c r="E504" i="3" s="1"/>
  <c r="D503" i="3"/>
  <c r="E503" i="3" s="1"/>
  <c r="D502" i="3"/>
  <c r="E502" i="3" s="1"/>
  <c r="D501" i="3"/>
  <c r="E501" i="3" s="1"/>
  <c r="D500" i="3"/>
  <c r="E500" i="3" s="1"/>
  <c r="D499" i="3"/>
  <c r="E499" i="3" s="1"/>
  <c r="D498" i="3"/>
  <c r="E498" i="3" s="1"/>
  <c r="D497" i="3"/>
  <c r="E497" i="3" s="1"/>
  <c r="D496" i="3"/>
  <c r="E496" i="3" s="1"/>
  <c r="D495" i="3"/>
  <c r="E495" i="3" s="1"/>
  <c r="D494" i="3"/>
  <c r="E494" i="3" s="1"/>
  <c r="D493" i="3"/>
  <c r="E493" i="3" s="1"/>
  <c r="D492" i="3"/>
  <c r="E492" i="3" s="1"/>
  <c r="D491" i="3"/>
  <c r="E491" i="3" s="1"/>
  <c r="D490" i="3"/>
  <c r="E490" i="3" s="1"/>
  <c r="D489" i="3"/>
  <c r="E489" i="3" s="1"/>
  <c r="D488" i="3"/>
  <c r="E488" i="3" s="1"/>
  <c r="D487" i="3"/>
  <c r="E487" i="3" s="1"/>
  <c r="D486" i="3"/>
  <c r="E486" i="3" s="1"/>
  <c r="D485" i="3"/>
  <c r="E485" i="3" s="1"/>
  <c r="D484" i="3"/>
  <c r="E484" i="3" s="1"/>
  <c r="D483" i="3"/>
  <c r="E483" i="3" s="1"/>
  <c r="D482" i="3"/>
  <c r="E482" i="3" s="1"/>
  <c r="D481" i="3"/>
  <c r="E481" i="3" s="1"/>
  <c r="D480" i="3"/>
  <c r="E480" i="3" s="1"/>
  <c r="D479" i="3"/>
  <c r="E479" i="3" s="1"/>
  <c r="D478" i="3"/>
  <c r="E478" i="3" s="1"/>
  <c r="D477" i="3"/>
  <c r="E477" i="3" s="1"/>
  <c r="D476" i="3"/>
  <c r="E476" i="3" s="1"/>
  <c r="D475" i="3"/>
  <c r="E475" i="3" s="1"/>
  <c r="D474" i="3"/>
  <c r="E474" i="3" s="1"/>
  <c r="D473" i="3"/>
  <c r="E473" i="3" s="1"/>
  <c r="D472" i="3"/>
  <c r="E472" i="3" s="1"/>
  <c r="D471" i="3"/>
  <c r="E471" i="3" s="1"/>
  <c r="D470" i="3"/>
  <c r="E470" i="3" s="1"/>
  <c r="D469" i="3"/>
  <c r="E469" i="3" s="1"/>
  <c r="D468" i="3"/>
  <c r="E468" i="3" s="1"/>
  <c r="D467" i="3"/>
  <c r="E467" i="3" s="1"/>
  <c r="D466" i="3"/>
  <c r="E466" i="3" s="1"/>
  <c r="D465" i="3"/>
  <c r="E465" i="3" s="1"/>
  <c r="D464" i="3"/>
  <c r="E464" i="3" s="1"/>
  <c r="D463" i="3"/>
  <c r="E463" i="3" s="1"/>
  <c r="D462" i="3"/>
  <c r="E462" i="3" s="1"/>
  <c r="D461" i="3"/>
  <c r="E461" i="3" s="1"/>
  <c r="D460" i="3"/>
  <c r="E460" i="3" s="1"/>
  <c r="D459" i="3"/>
  <c r="E459" i="3" s="1"/>
  <c r="D458" i="3"/>
  <c r="E458" i="3" s="1"/>
  <c r="D457" i="3"/>
  <c r="E457" i="3" s="1"/>
  <c r="D456" i="3"/>
  <c r="E456" i="3" s="1"/>
  <c r="D455" i="3"/>
  <c r="E455" i="3" s="1"/>
  <c r="D454" i="3"/>
  <c r="E454" i="3" s="1"/>
  <c r="D453" i="3"/>
  <c r="E453" i="3" s="1"/>
  <c r="D452" i="3"/>
  <c r="E452" i="3" s="1"/>
  <c r="D451" i="3"/>
  <c r="E451" i="3" s="1"/>
  <c r="D450" i="3"/>
  <c r="E450" i="3" s="1"/>
  <c r="D449" i="3"/>
  <c r="E449" i="3" s="1"/>
  <c r="D448" i="3"/>
  <c r="E448" i="3" s="1"/>
  <c r="D447" i="3"/>
  <c r="E447" i="3" s="1"/>
  <c r="D446" i="3"/>
  <c r="E446" i="3" s="1"/>
  <c r="D445" i="3"/>
  <c r="E445" i="3" s="1"/>
  <c r="D444" i="3"/>
  <c r="E444" i="3" s="1"/>
  <c r="D443" i="3"/>
  <c r="E443" i="3" s="1"/>
  <c r="D442" i="3"/>
  <c r="E442" i="3" s="1"/>
  <c r="D441" i="3"/>
  <c r="E441" i="3" s="1"/>
  <c r="D440" i="3"/>
  <c r="E440" i="3" s="1"/>
  <c r="D439" i="3"/>
  <c r="E439" i="3" s="1"/>
  <c r="D438" i="3"/>
  <c r="E438" i="3" s="1"/>
  <c r="D437" i="3"/>
  <c r="E437" i="3" s="1"/>
  <c r="D436" i="3"/>
  <c r="E436" i="3" s="1"/>
  <c r="D435" i="3"/>
  <c r="E435" i="3" s="1"/>
  <c r="D434" i="3"/>
  <c r="E434" i="3" s="1"/>
  <c r="D433" i="3"/>
  <c r="E433" i="3" s="1"/>
  <c r="D432" i="3"/>
  <c r="E432" i="3" s="1"/>
  <c r="D431" i="3"/>
  <c r="E431" i="3" s="1"/>
  <c r="D430" i="3"/>
  <c r="E430" i="3" s="1"/>
  <c r="D429" i="3"/>
  <c r="E429" i="3" s="1"/>
  <c r="D428" i="3"/>
  <c r="E428" i="3" s="1"/>
  <c r="D427" i="3"/>
  <c r="E427" i="3" s="1"/>
  <c r="D426" i="3"/>
  <c r="E426" i="3" s="1"/>
  <c r="D425" i="3"/>
  <c r="E425" i="3" s="1"/>
  <c r="D424" i="3"/>
  <c r="E424" i="3" s="1"/>
  <c r="D423" i="3"/>
  <c r="E423" i="3" s="1"/>
  <c r="D422" i="3"/>
  <c r="E422" i="3" s="1"/>
  <c r="D421" i="3"/>
  <c r="E421" i="3" s="1"/>
  <c r="D420" i="3"/>
  <c r="E420" i="3" s="1"/>
  <c r="D419" i="3"/>
  <c r="E419" i="3" s="1"/>
  <c r="D418" i="3"/>
  <c r="E418" i="3" s="1"/>
  <c r="D417" i="3"/>
  <c r="E417" i="3" s="1"/>
  <c r="D416" i="3"/>
  <c r="E416" i="3" s="1"/>
  <c r="D415" i="3"/>
  <c r="E415" i="3" s="1"/>
  <c r="D414" i="3"/>
  <c r="E414" i="3" s="1"/>
  <c r="D413" i="3"/>
  <c r="E413" i="3" s="1"/>
  <c r="D412" i="3"/>
  <c r="E412" i="3" s="1"/>
  <c r="D411" i="3"/>
  <c r="E411" i="3" s="1"/>
  <c r="D410" i="3"/>
  <c r="E410" i="3" s="1"/>
  <c r="D409" i="3"/>
  <c r="E409" i="3" s="1"/>
  <c r="D408" i="3"/>
  <c r="E408" i="3" s="1"/>
  <c r="D407" i="3"/>
  <c r="E407" i="3" s="1"/>
  <c r="D406" i="3"/>
  <c r="E406" i="3" s="1"/>
  <c r="D405" i="3"/>
  <c r="E405" i="3" s="1"/>
  <c r="D404" i="3"/>
  <c r="E404" i="3" s="1"/>
  <c r="D403" i="3"/>
  <c r="E403" i="3" s="1"/>
  <c r="D402" i="3"/>
  <c r="E402" i="3" s="1"/>
  <c r="D401" i="3"/>
  <c r="E401" i="3" s="1"/>
  <c r="D400" i="3"/>
  <c r="E400" i="3" s="1"/>
  <c r="D399" i="3"/>
  <c r="E399" i="3" s="1"/>
  <c r="D398" i="3"/>
  <c r="E398" i="3" s="1"/>
  <c r="D397" i="3"/>
  <c r="E397" i="3" s="1"/>
  <c r="D396" i="3"/>
  <c r="E396" i="3" s="1"/>
  <c r="D395" i="3"/>
  <c r="E395" i="3" s="1"/>
  <c r="D394" i="3"/>
  <c r="E394" i="3" s="1"/>
  <c r="D393" i="3"/>
  <c r="E393" i="3" s="1"/>
  <c r="D392" i="3"/>
  <c r="E392" i="3" s="1"/>
  <c r="D391" i="3"/>
  <c r="E391" i="3" s="1"/>
  <c r="D390" i="3"/>
  <c r="E390" i="3" s="1"/>
  <c r="D389" i="3"/>
  <c r="E389" i="3" s="1"/>
  <c r="D388" i="3"/>
  <c r="E388" i="3" s="1"/>
  <c r="D387" i="3"/>
  <c r="E387" i="3" s="1"/>
  <c r="D386" i="3"/>
  <c r="E386" i="3" s="1"/>
  <c r="D385" i="3"/>
  <c r="E385" i="3" s="1"/>
  <c r="D384" i="3"/>
  <c r="E384" i="3" s="1"/>
  <c r="D383" i="3"/>
  <c r="E383" i="3" s="1"/>
  <c r="D382" i="3"/>
  <c r="E382" i="3" s="1"/>
  <c r="D381" i="3"/>
  <c r="E381" i="3" s="1"/>
  <c r="D380" i="3"/>
  <c r="E380" i="3" s="1"/>
  <c r="D379" i="3"/>
  <c r="E379" i="3" s="1"/>
  <c r="D378" i="3"/>
  <c r="E378" i="3" s="1"/>
  <c r="D377" i="3"/>
  <c r="E377" i="3" s="1"/>
  <c r="D376" i="3"/>
  <c r="E376" i="3" s="1"/>
  <c r="D375" i="3"/>
  <c r="E375" i="3" s="1"/>
  <c r="D374" i="3"/>
  <c r="E374" i="3" s="1"/>
  <c r="D373" i="3"/>
  <c r="E373" i="3" s="1"/>
  <c r="D372" i="3"/>
  <c r="E372" i="3" s="1"/>
  <c r="D371" i="3"/>
  <c r="E371" i="3" s="1"/>
  <c r="D370" i="3"/>
  <c r="E370" i="3" s="1"/>
  <c r="D369" i="3"/>
  <c r="E369" i="3" s="1"/>
  <c r="D368" i="3"/>
  <c r="E368" i="3" s="1"/>
  <c r="D367" i="3"/>
  <c r="E367" i="3" s="1"/>
  <c r="D366" i="3"/>
  <c r="E366" i="3" s="1"/>
  <c r="D365" i="3"/>
  <c r="E365" i="3" s="1"/>
  <c r="D364" i="3"/>
  <c r="E364" i="3" s="1"/>
  <c r="D363" i="3"/>
  <c r="E363" i="3" s="1"/>
  <c r="D362" i="3"/>
  <c r="E362" i="3" s="1"/>
  <c r="D361" i="3"/>
  <c r="E361" i="3" s="1"/>
  <c r="D360" i="3"/>
  <c r="E360" i="3" s="1"/>
  <c r="D359" i="3"/>
  <c r="E359" i="3" s="1"/>
  <c r="D358" i="3"/>
  <c r="E358" i="3" s="1"/>
  <c r="D357" i="3"/>
  <c r="E357" i="3" s="1"/>
  <c r="D356" i="3"/>
  <c r="E356" i="3" s="1"/>
  <c r="D355" i="3"/>
  <c r="E355" i="3" s="1"/>
  <c r="D354" i="3"/>
  <c r="E354" i="3" s="1"/>
  <c r="D353" i="3"/>
  <c r="E353" i="3" s="1"/>
  <c r="D352" i="3"/>
  <c r="E352" i="3" s="1"/>
  <c r="D351" i="3"/>
  <c r="E351" i="3" s="1"/>
  <c r="D350" i="3"/>
  <c r="E350" i="3" s="1"/>
  <c r="D349" i="3"/>
  <c r="E349" i="3" s="1"/>
  <c r="D348" i="3"/>
  <c r="E348" i="3" s="1"/>
  <c r="D347" i="3"/>
  <c r="E347" i="3" s="1"/>
  <c r="D346" i="3"/>
  <c r="E346" i="3" s="1"/>
  <c r="D345" i="3"/>
  <c r="E345" i="3" s="1"/>
  <c r="D344" i="3"/>
  <c r="E344" i="3" s="1"/>
  <c r="D343" i="3"/>
  <c r="E343" i="3" s="1"/>
  <c r="D342" i="3"/>
  <c r="E342" i="3" s="1"/>
  <c r="D341" i="3"/>
  <c r="E341" i="3" s="1"/>
  <c r="D340" i="3"/>
  <c r="E340" i="3" s="1"/>
  <c r="D339" i="3"/>
  <c r="E339" i="3" s="1"/>
  <c r="D338" i="3"/>
  <c r="E338" i="3" s="1"/>
  <c r="D337" i="3"/>
  <c r="E337" i="3" s="1"/>
  <c r="D336" i="3"/>
  <c r="E336" i="3" s="1"/>
  <c r="D335" i="3"/>
  <c r="E335" i="3" s="1"/>
  <c r="D334" i="3"/>
  <c r="E334" i="3" s="1"/>
  <c r="D333" i="3"/>
  <c r="E333" i="3" s="1"/>
  <c r="D332" i="3"/>
  <c r="E332" i="3" s="1"/>
  <c r="D331" i="3"/>
  <c r="E331" i="3" s="1"/>
  <c r="D330" i="3"/>
  <c r="E330" i="3" s="1"/>
  <c r="D329" i="3"/>
  <c r="E329" i="3" s="1"/>
  <c r="D328" i="3"/>
  <c r="E328" i="3" s="1"/>
  <c r="D327" i="3"/>
  <c r="E327" i="3" s="1"/>
  <c r="D326" i="3"/>
  <c r="E326" i="3" s="1"/>
  <c r="D325" i="3"/>
  <c r="E325" i="3" s="1"/>
  <c r="D324" i="3"/>
  <c r="E324" i="3" s="1"/>
  <c r="D323" i="3"/>
  <c r="E323" i="3" s="1"/>
  <c r="D322" i="3"/>
  <c r="E322" i="3" s="1"/>
  <c r="D321" i="3"/>
  <c r="E321" i="3" s="1"/>
  <c r="D320" i="3"/>
  <c r="E320" i="3" s="1"/>
  <c r="D319" i="3"/>
  <c r="E319" i="3" s="1"/>
  <c r="D318" i="3"/>
  <c r="E318" i="3" s="1"/>
  <c r="D317" i="3"/>
  <c r="E317" i="3" s="1"/>
  <c r="D316" i="3"/>
  <c r="E316" i="3" s="1"/>
  <c r="D315" i="3"/>
  <c r="E315" i="3" s="1"/>
  <c r="D314" i="3"/>
  <c r="E314" i="3" s="1"/>
  <c r="D313" i="3"/>
  <c r="E313" i="3" s="1"/>
  <c r="D312" i="3"/>
  <c r="E312" i="3" s="1"/>
  <c r="D311" i="3"/>
  <c r="E311" i="3" s="1"/>
  <c r="D310" i="3"/>
  <c r="E310" i="3" s="1"/>
  <c r="D309" i="3"/>
  <c r="E309" i="3" s="1"/>
  <c r="D308" i="3"/>
  <c r="E308" i="3" s="1"/>
  <c r="D307" i="3"/>
  <c r="E307" i="3" s="1"/>
  <c r="D306" i="3"/>
  <c r="E306" i="3" s="1"/>
  <c r="D305" i="3"/>
  <c r="E305" i="3" s="1"/>
  <c r="D304" i="3"/>
  <c r="E304" i="3" s="1"/>
  <c r="D303" i="3"/>
  <c r="E303" i="3" s="1"/>
  <c r="D302" i="3"/>
  <c r="E302" i="3" s="1"/>
  <c r="D301" i="3"/>
  <c r="E301" i="3" s="1"/>
  <c r="D300" i="3"/>
  <c r="E300" i="3" s="1"/>
  <c r="D299" i="3"/>
  <c r="E299" i="3" s="1"/>
  <c r="D298" i="3"/>
  <c r="E298" i="3" s="1"/>
  <c r="D297" i="3"/>
  <c r="E297" i="3" s="1"/>
  <c r="D296" i="3"/>
  <c r="E296" i="3" s="1"/>
  <c r="D295" i="3"/>
  <c r="E295" i="3" s="1"/>
  <c r="D294" i="3"/>
  <c r="E294" i="3" s="1"/>
  <c r="D293" i="3"/>
  <c r="E293" i="3" s="1"/>
  <c r="D292" i="3"/>
  <c r="E292" i="3" s="1"/>
  <c r="D291" i="3"/>
  <c r="E291" i="3" s="1"/>
  <c r="D290" i="3"/>
  <c r="E290" i="3" s="1"/>
  <c r="D289" i="3"/>
  <c r="E289" i="3" s="1"/>
  <c r="D288" i="3"/>
  <c r="E288" i="3" s="1"/>
  <c r="D287" i="3"/>
  <c r="E287" i="3" s="1"/>
  <c r="D286" i="3"/>
  <c r="E286" i="3" s="1"/>
  <c r="D285" i="3"/>
  <c r="E285" i="3" s="1"/>
  <c r="D284" i="3"/>
  <c r="E284" i="3" s="1"/>
  <c r="D283" i="3"/>
  <c r="E283" i="3" s="1"/>
  <c r="D282" i="3"/>
  <c r="E282" i="3" s="1"/>
  <c r="D281" i="3"/>
  <c r="E281" i="3" s="1"/>
  <c r="D280" i="3"/>
  <c r="E280" i="3" s="1"/>
  <c r="D279" i="3"/>
  <c r="E279" i="3" s="1"/>
  <c r="D278" i="3"/>
  <c r="E278" i="3" s="1"/>
  <c r="D277" i="3"/>
  <c r="E277" i="3" s="1"/>
  <c r="D276" i="3"/>
  <c r="E276" i="3" s="1"/>
  <c r="D275" i="3"/>
  <c r="E275" i="3" s="1"/>
  <c r="D274" i="3"/>
  <c r="E274" i="3" s="1"/>
  <c r="D273" i="3"/>
  <c r="E273" i="3" s="1"/>
  <c r="D272" i="3"/>
  <c r="E272" i="3" s="1"/>
  <c r="D271" i="3"/>
  <c r="E271" i="3" s="1"/>
  <c r="D270" i="3"/>
  <c r="E270" i="3" s="1"/>
  <c r="D269" i="3"/>
  <c r="E269" i="3" s="1"/>
  <c r="D268" i="3"/>
  <c r="E268" i="3" s="1"/>
  <c r="D267" i="3"/>
  <c r="E267" i="3" s="1"/>
  <c r="D266" i="3"/>
  <c r="E266" i="3" s="1"/>
  <c r="D265" i="3"/>
  <c r="E265" i="3" s="1"/>
  <c r="D264" i="3"/>
  <c r="E264" i="3" s="1"/>
  <c r="D263" i="3"/>
  <c r="E263" i="3" s="1"/>
  <c r="D262" i="3"/>
  <c r="E262" i="3" s="1"/>
  <c r="D261" i="3"/>
  <c r="E261" i="3" s="1"/>
  <c r="D260" i="3"/>
  <c r="E260" i="3" s="1"/>
  <c r="D259" i="3"/>
  <c r="E259" i="3" s="1"/>
  <c r="D258" i="3"/>
  <c r="E258" i="3" s="1"/>
  <c r="D257" i="3"/>
  <c r="E257" i="3" s="1"/>
  <c r="D256" i="3"/>
  <c r="E256" i="3" s="1"/>
  <c r="D255" i="3"/>
  <c r="E255" i="3" s="1"/>
  <c r="D254" i="3"/>
  <c r="E254" i="3" s="1"/>
  <c r="D253" i="3"/>
  <c r="E253" i="3" s="1"/>
  <c r="D252" i="3"/>
  <c r="E252" i="3" s="1"/>
  <c r="D251" i="3"/>
  <c r="E251" i="3" s="1"/>
  <c r="D250" i="3"/>
  <c r="E250" i="3" s="1"/>
  <c r="D249" i="3"/>
  <c r="E249" i="3" s="1"/>
  <c r="D248" i="3"/>
  <c r="E248" i="3" s="1"/>
  <c r="D247" i="3"/>
  <c r="E247" i="3" s="1"/>
  <c r="D246" i="3"/>
  <c r="E246" i="3" s="1"/>
  <c r="D245" i="3"/>
  <c r="E245" i="3" s="1"/>
  <c r="D244" i="3"/>
  <c r="E244" i="3" s="1"/>
  <c r="D243" i="3"/>
  <c r="E243" i="3" s="1"/>
  <c r="D242" i="3"/>
  <c r="E242" i="3" s="1"/>
  <c r="D241" i="3"/>
  <c r="E241" i="3" s="1"/>
  <c r="D240" i="3"/>
  <c r="E240" i="3" s="1"/>
  <c r="D239" i="3"/>
  <c r="E239" i="3" s="1"/>
  <c r="D238" i="3"/>
  <c r="E238" i="3" s="1"/>
  <c r="D237" i="3"/>
  <c r="E237" i="3" s="1"/>
  <c r="D236" i="3"/>
  <c r="E236" i="3" s="1"/>
  <c r="D235" i="3"/>
  <c r="E235" i="3" s="1"/>
  <c r="D234" i="3"/>
  <c r="E234" i="3" s="1"/>
  <c r="D233" i="3"/>
  <c r="E233" i="3" s="1"/>
  <c r="D232" i="3"/>
  <c r="E232" i="3" s="1"/>
  <c r="D231" i="3"/>
  <c r="E231" i="3" s="1"/>
  <c r="D230" i="3"/>
  <c r="E230" i="3" s="1"/>
  <c r="D229" i="3"/>
  <c r="E229" i="3" s="1"/>
  <c r="D228" i="3"/>
  <c r="E228" i="3" s="1"/>
  <c r="D227" i="3"/>
  <c r="E227" i="3" s="1"/>
  <c r="D226" i="3"/>
  <c r="E226" i="3" s="1"/>
  <c r="D225" i="3"/>
  <c r="E225" i="3" s="1"/>
  <c r="D224" i="3"/>
  <c r="E224" i="3" s="1"/>
  <c r="D223" i="3"/>
  <c r="E223" i="3" s="1"/>
  <c r="D222" i="3"/>
  <c r="E222" i="3" s="1"/>
  <c r="D221" i="3"/>
  <c r="E221" i="3" s="1"/>
  <c r="D220" i="3"/>
  <c r="E220" i="3" s="1"/>
  <c r="D219" i="3"/>
  <c r="E219" i="3" s="1"/>
  <c r="D218" i="3"/>
  <c r="E218" i="3" s="1"/>
  <c r="D217" i="3"/>
  <c r="E217" i="3" s="1"/>
  <c r="D216" i="3"/>
  <c r="E216" i="3" s="1"/>
  <c r="D215" i="3"/>
  <c r="E215" i="3" s="1"/>
  <c r="D214" i="3"/>
  <c r="E214" i="3" s="1"/>
  <c r="D213" i="3"/>
  <c r="E213" i="3" s="1"/>
  <c r="D212" i="3"/>
  <c r="E212" i="3" s="1"/>
  <c r="D211" i="3"/>
  <c r="E211" i="3" s="1"/>
  <c r="D210" i="3"/>
  <c r="E210" i="3" s="1"/>
  <c r="D209" i="3"/>
  <c r="E209" i="3" s="1"/>
  <c r="D208" i="3"/>
  <c r="E208" i="3" s="1"/>
  <c r="D207" i="3"/>
  <c r="E207" i="3" s="1"/>
  <c r="D206" i="3"/>
  <c r="E206" i="3" s="1"/>
  <c r="D205" i="3"/>
  <c r="E205" i="3" s="1"/>
  <c r="D204" i="3"/>
  <c r="E204" i="3" s="1"/>
  <c r="D203" i="3"/>
  <c r="E203" i="3" s="1"/>
  <c r="D202" i="3"/>
  <c r="E202" i="3" s="1"/>
  <c r="D201" i="3"/>
  <c r="E201" i="3" s="1"/>
  <c r="D200" i="3"/>
  <c r="E200" i="3" s="1"/>
  <c r="D199" i="3"/>
  <c r="E199" i="3" s="1"/>
  <c r="D198" i="3"/>
  <c r="E198" i="3" s="1"/>
  <c r="D197" i="3"/>
  <c r="E197" i="3" s="1"/>
  <c r="D196" i="3"/>
  <c r="E196" i="3" s="1"/>
  <c r="D195" i="3"/>
  <c r="E195" i="3" s="1"/>
  <c r="D194" i="3"/>
  <c r="E194" i="3" s="1"/>
  <c r="D193" i="3"/>
  <c r="E193" i="3" s="1"/>
  <c r="D192" i="3"/>
  <c r="E192" i="3" s="1"/>
  <c r="D191" i="3"/>
  <c r="E191" i="3" s="1"/>
  <c r="D190" i="3"/>
  <c r="E190" i="3" s="1"/>
  <c r="D189" i="3"/>
  <c r="E189" i="3" s="1"/>
  <c r="D188" i="3"/>
  <c r="E188" i="3" s="1"/>
  <c r="D187" i="3"/>
  <c r="E187" i="3" s="1"/>
  <c r="D186" i="3"/>
  <c r="E186" i="3" s="1"/>
  <c r="D185" i="3"/>
  <c r="E185" i="3" s="1"/>
  <c r="D184" i="3"/>
  <c r="E184" i="3" s="1"/>
  <c r="D183" i="3"/>
  <c r="E183" i="3" s="1"/>
  <c r="D182" i="3"/>
  <c r="E182" i="3" s="1"/>
  <c r="D181" i="3"/>
  <c r="E181" i="3" s="1"/>
  <c r="D180" i="3"/>
  <c r="E180" i="3" s="1"/>
  <c r="D179" i="3"/>
  <c r="E179" i="3" s="1"/>
  <c r="D178" i="3"/>
  <c r="E178" i="3" s="1"/>
  <c r="D177" i="3"/>
  <c r="E177" i="3" s="1"/>
  <c r="D176" i="3"/>
  <c r="E176" i="3" s="1"/>
  <c r="D175" i="3"/>
  <c r="E175" i="3" s="1"/>
  <c r="D174" i="3"/>
  <c r="E174" i="3" s="1"/>
  <c r="D173" i="3"/>
  <c r="E173" i="3" s="1"/>
  <c r="D172" i="3"/>
  <c r="E172" i="3" s="1"/>
  <c r="D171" i="3"/>
  <c r="E171" i="3" s="1"/>
  <c r="D170" i="3"/>
  <c r="E170" i="3" s="1"/>
  <c r="D169" i="3"/>
  <c r="E169" i="3" s="1"/>
  <c r="D168" i="3"/>
  <c r="E168" i="3" s="1"/>
  <c r="D167" i="3"/>
  <c r="E167" i="3" s="1"/>
  <c r="D166" i="3"/>
  <c r="E166" i="3" s="1"/>
  <c r="D165" i="3"/>
  <c r="E165" i="3" s="1"/>
  <c r="D164" i="3"/>
  <c r="E164" i="3" s="1"/>
  <c r="D163" i="3"/>
  <c r="E163" i="3" s="1"/>
  <c r="D162" i="3"/>
  <c r="E162" i="3" s="1"/>
  <c r="D161" i="3"/>
  <c r="E161" i="3" s="1"/>
  <c r="D160" i="3"/>
  <c r="E160" i="3" s="1"/>
  <c r="D159" i="3"/>
  <c r="E159" i="3" s="1"/>
  <c r="D158" i="3"/>
  <c r="E158" i="3" s="1"/>
  <c r="D157" i="3"/>
  <c r="E157" i="3" s="1"/>
  <c r="D156" i="3"/>
  <c r="E156" i="3" s="1"/>
  <c r="D155" i="3"/>
  <c r="E155" i="3" s="1"/>
  <c r="D154" i="3"/>
  <c r="E154" i="3" s="1"/>
  <c r="D153" i="3"/>
  <c r="E153" i="3" s="1"/>
  <c r="D152" i="3"/>
  <c r="E152" i="3" s="1"/>
  <c r="D151" i="3"/>
  <c r="E151" i="3" s="1"/>
  <c r="D150" i="3"/>
  <c r="E150" i="3" s="1"/>
  <c r="D149" i="3"/>
  <c r="E149" i="3" s="1"/>
  <c r="D148" i="3"/>
  <c r="E148" i="3" s="1"/>
  <c r="D147" i="3"/>
  <c r="E147" i="3" s="1"/>
  <c r="D146" i="3"/>
  <c r="E146" i="3" s="1"/>
  <c r="D145" i="3"/>
  <c r="E145" i="3" s="1"/>
  <c r="D144" i="3"/>
  <c r="E144" i="3" s="1"/>
  <c r="D143" i="3"/>
  <c r="E143" i="3" s="1"/>
  <c r="D142" i="3"/>
  <c r="E142" i="3" s="1"/>
  <c r="D141" i="3"/>
  <c r="E141" i="3" s="1"/>
  <c r="D140" i="3"/>
  <c r="E140" i="3" s="1"/>
  <c r="D139" i="3"/>
  <c r="E139" i="3" s="1"/>
  <c r="D138" i="3"/>
  <c r="E138" i="3" s="1"/>
  <c r="D137" i="3"/>
  <c r="E137" i="3" s="1"/>
  <c r="D136" i="3"/>
  <c r="E136" i="3" s="1"/>
  <c r="D135" i="3"/>
  <c r="E135" i="3" s="1"/>
  <c r="D134" i="3"/>
  <c r="E134" i="3" s="1"/>
  <c r="D133" i="3"/>
  <c r="E133" i="3" s="1"/>
  <c r="D132" i="3"/>
  <c r="E132" i="3" s="1"/>
  <c r="D131" i="3"/>
  <c r="E131" i="3" s="1"/>
  <c r="D130" i="3"/>
  <c r="E130" i="3" s="1"/>
  <c r="D129" i="3"/>
  <c r="E129" i="3" s="1"/>
  <c r="D128" i="3"/>
  <c r="E128" i="3" s="1"/>
  <c r="D127" i="3"/>
  <c r="E127" i="3" s="1"/>
  <c r="D126" i="3"/>
  <c r="E126" i="3" s="1"/>
  <c r="D125" i="3"/>
  <c r="E125" i="3" s="1"/>
  <c r="D124" i="3"/>
  <c r="E124" i="3" s="1"/>
  <c r="D123" i="3"/>
  <c r="E123" i="3" s="1"/>
  <c r="D122" i="3"/>
  <c r="E122" i="3" s="1"/>
  <c r="D121" i="3"/>
  <c r="E121" i="3" s="1"/>
  <c r="D120" i="3"/>
  <c r="E120" i="3" s="1"/>
  <c r="D119" i="3"/>
  <c r="E119" i="3" s="1"/>
  <c r="D118" i="3"/>
  <c r="E118" i="3" s="1"/>
  <c r="D117" i="3"/>
  <c r="E117" i="3" s="1"/>
  <c r="D116" i="3"/>
  <c r="E116" i="3" s="1"/>
  <c r="D115" i="3"/>
  <c r="E115" i="3" s="1"/>
  <c r="D114" i="3"/>
  <c r="E114" i="3" s="1"/>
  <c r="D113" i="3"/>
  <c r="E113" i="3" s="1"/>
  <c r="D112" i="3"/>
  <c r="E112" i="3" s="1"/>
  <c r="D111" i="3"/>
  <c r="E111" i="3" s="1"/>
  <c r="D110" i="3"/>
  <c r="E110" i="3" s="1"/>
  <c r="D109" i="3"/>
  <c r="E109" i="3" s="1"/>
  <c r="D108" i="3"/>
  <c r="E108" i="3" s="1"/>
  <c r="D107" i="3"/>
  <c r="E107" i="3" s="1"/>
  <c r="D106" i="3"/>
  <c r="E106" i="3" s="1"/>
  <c r="D105" i="3"/>
  <c r="E105" i="3" s="1"/>
  <c r="D104" i="3"/>
  <c r="E104" i="3" s="1"/>
  <c r="D103" i="3"/>
  <c r="E103" i="3" s="1"/>
  <c r="D102" i="3"/>
  <c r="E102" i="3" s="1"/>
  <c r="D101" i="3"/>
  <c r="E101" i="3" s="1"/>
  <c r="D100" i="3"/>
  <c r="E100" i="3" s="1"/>
  <c r="D99" i="3"/>
  <c r="E99" i="3" s="1"/>
  <c r="D98" i="3"/>
  <c r="E98" i="3" s="1"/>
  <c r="D97" i="3"/>
  <c r="E97" i="3" s="1"/>
  <c r="D96" i="3"/>
  <c r="E96" i="3" s="1"/>
  <c r="D95" i="3"/>
  <c r="E95" i="3" s="1"/>
  <c r="D94" i="3"/>
  <c r="E94" i="3" s="1"/>
  <c r="D93" i="3"/>
  <c r="E93" i="3" s="1"/>
  <c r="D92" i="3"/>
  <c r="E92" i="3" s="1"/>
  <c r="D91" i="3"/>
  <c r="E91" i="3" s="1"/>
  <c r="D90" i="3"/>
  <c r="E90" i="3" s="1"/>
  <c r="D89" i="3"/>
  <c r="E89" i="3" s="1"/>
  <c r="D88" i="3"/>
  <c r="E88" i="3" s="1"/>
  <c r="D87" i="3"/>
  <c r="E87" i="3" s="1"/>
  <c r="D86" i="3"/>
  <c r="E86" i="3" s="1"/>
  <c r="D85" i="3"/>
  <c r="E85" i="3" s="1"/>
  <c r="D84" i="3"/>
  <c r="E84" i="3" s="1"/>
  <c r="D83" i="3"/>
  <c r="E83" i="3" s="1"/>
  <c r="D82" i="3"/>
  <c r="E82" i="3" s="1"/>
  <c r="D81" i="3"/>
  <c r="E81" i="3" s="1"/>
  <c r="D80" i="3"/>
  <c r="E80" i="3" s="1"/>
  <c r="D79" i="3"/>
  <c r="E79" i="3" s="1"/>
  <c r="D78" i="3"/>
  <c r="E78" i="3" s="1"/>
  <c r="D77" i="3"/>
  <c r="E77" i="3" s="1"/>
  <c r="D76" i="3"/>
  <c r="E76" i="3" s="1"/>
  <c r="D75" i="3"/>
  <c r="E75" i="3" s="1"/>
  <c r="D74" i="3"/>
  <c r="E74" i="3" s="1"/>
  <c r="D73" i="3"/>
  <c r="E73" i="3" s="1"/>
  <c r="D72" i="3"/>
  <c r="E72" i="3" s="1"/>
  <c r="D71" i="3"/>
  <c r="E71" i="3" s="1"/>
  <c r="D70" i="3"/>
  <c r="E70" i="3" s="1"/>
  <c r="D69" i="3"/>
  <c r="E69" i="3" s="1"/>
  <c r="D68" i="3"/>
  <c r="E68" i="3" s="1"/>
  <c r="D67" i="3"/>
  <c r="E67" i="3" s="1"/>
  <c r="D66" i="3"/>
  <c r="E66" i="3" s="1"/>
  <c r="D65" i="3"/>
  <c r="E65" i="3" s="1"/>
  <c r="D64" i="3"/>
  <c r="E64" i="3" s="1"/>
  <c r="D63" i="3"/>
  <c r="E63" i="3" s="1"/>
  <c r="D62" i="3"/>
  <c r="E62" i="3" s="1"/>
  <c r="D61" i="3"/>
  <c r="E61" i="3" s="1"/>
  <c r="D60" i="3"/>
  <c r="E60" i="3" s="1"/>
  <c r="D59" i="3"/>
  <c r="E59" i="3" s="1"/>
  <c r="D58" i="3"/>
  <c r="E58" i="3" s="1"/>
  <c r="D57" i="3"/>
  <c r="E57" i="3" s="1"/>
  <c r="D56" i="3"/>
  <c r="E56" i="3" s="1"/>
  <c r="D55" i="3"/>
  <c r="E55" i="3" s="1"/>
  <c r="D54" i="3"/>
  <c r="E54" i="3" s="1"/>
  <c r="D53" i="3"/>
  <c r="E53" i="3" s="1"/>
  <c r="D52" i="3"/>
  <c r="E52" i="3" s="1"/>
  <c r="D51" i="3"/>
  <c r="E51" i="3" s="1"/>
  <c r="D50" i="3"/>
  <c r="E50" i="3" s="1"/>
  <c r="D49" i="3"/>
  <c r="E49" i="3" s="1"/>
  <c r="D48" i="3"/>
  <c r="E48" i="3" s="1"/>
  <c r="D47" i="3"/>
  <c r="E47" i="3" s="1"/>
  <c r="D46" i="3"/>
  <c r="E46" i="3" s="1"/>
  <c r="D45" i="3"/>
  <c r="E45" i="3" s="1"/>
  <c r="D44" i="3"/>
  <c r="E44" i="3" s="1"/>
  <c r="D43" i="3"/>
  <c r="E43" i="3" s="1"/>
  <c r="D42" i="3"/>
  <c r="E42" i="3" s="1"/>
  <c r="D41" i="3"/>
  <c r="E41" i="3" s="1"/>
  <c r="D40" i="3"/>
  <c r="E40" i="3" s="1"/>
  <c r="D39" i="3"/>
  <c r="E39" i="3" s="1"/>
  <c r="D38" i="3"/>
  <c r="E38" i="3" s="1"/>
  <c r="D37" i="3"/>
  <c r="E37" i="3" s="1"/>
  <c r="D36" i="3"/>
  <c r="E36" i="3" s="1"/>
  <c r="D35" i="3"/>
  <c r="E35" i="3" s="1"/>
  <c r="D34" i="3"/>
  <c r="E34" i="3" s="1"/>
  <c r="D33" i="3"/>
  <c r="E33" i="3" s="1"/>
  <c r="D32" i="3"/>
  <c r="E32" i="3" s="1"/>
  <c r="D31" i="3"/>
  <c r="E31" i="3" s="1"/>
  <c r="D30" i="3"/>
  <c r="E30" i="3" s="1"/>
  <c r="D29" i="3"/>
  <c r="E29" i="3" s="1"/>
  <c r="D28" i="3"/>
  <c r="E28" i="3" s="1"/>
  <c r="D27" i="3"/>
  <c r="E27" i="3" s="1"/>
  <c r="D26" i="3"/>
  <c r="E26" i="3" s="1"/>
  <c r="D25" i="3"/>
  <c r="E25" i="3" s="1"/>
  <c r="D24" i="3"/>
  <c r="E24" i="3" s="1"/>
  <c r="D23" i="3"/>
  <c r="E23" i="3" s="1"/>
  <c r="D22" i="3"/>
  <c r="E22" i="3" s="1"/>
  <c r="D21" i="3"/>
  <c r="E21" i="3" s="1"/>
  <c r="D20" i="3"/>
  <c r="E20" i="3" s="1"/>
  <c r="D19" i="3"/>
  <c r="E19" i="3" s="1"/>
  <c r="D18" i="3"/>
  <c r="E18" i="3" s="1"/>
  <c r="D17" i="3"/>
  <c r="E17" i="3" s="1"/>
  <c r="D16" i="3"/>
  <c r="E16" i="3" s="1"/>
  <c r="D15" i="3"/>
  <c r="E15" i="3" s="1"/>
  <c r="D14" i="3"/>
  <c r="E14" i="3" s="1"/>
  <c r="D13" i="3"/>
  <c r="E13" i="3" s="1"/>
  <c r="D12" i="3"/>
  <c r="E12" i="3" s="1"/>
  <c r="D11" i="3"/>
  <c r="E11" i="3" s="1"/>
  <c r="D10" i="3"/>
  <c r="E10" i="3" s="1"/>
  <c r="D9" i="3"/>
  <c r="E9" i="3" s="1"/>
  <c r="D8" i="3"/>
  <c r="E8" i="3" s="1"/>
  <c r="D7" i="3"/>
  <c r="E7" i="3" s="1"/>
  <c r="D6" i="3"/>
  <c r="E6" i="3" s="1"/>
  <c r="D5" i="3"/>
  <c r="E5" i="3" s="1"/>
  <c r="D4" i="3"/>
  <c r="E4" i="3" s="1"/>
  <c r="D3" i="3"/>
  <c r="E3" i="3" s="1"/>
  <c r="D2" i="3"/>
  <c r="E2" i="3" s="1"/>
  <c r="H4" i="5"/>
  <c r="H3" i="5"/>
  <c r="H2" i="5"/>
  <c r="H1" i="5"/>
  <c r="B7" i="5" l="1"/>
  <c r="B7" i="4"/>
  <c r="B9" i="4"/>
  <c r="B3" i="4"/>
  <c r="B8" i="4"/>
  <c r="B10" i="4"/>
  <c r="H16" i="5"/>
  <c r="B3" i="5"/>
  <c r="C2" i="5"/>
  <c r="B1" i="4" s="1"/>
  <c r="A9" i="5"/>
  <c r="A8" i="5"/>
  <c r="B8" i="5" s="1"/>
  <c r="A10" i="5" l="1"/>
  <c r="B9" i="5"/>
  <c r="A11" i="5" l="1"/>
  <c r="B10" i="5"/>
  <c r="A12" i="5" l="1"/>
  <c r="B11" i="5"/>
  <c r="A13" i="5" l="1"/>
  <c r="B12" i="5"/>
  <c r="A14" i="5" l="1"/>
  <c r="B13" i="5"/>
  <c r="A15" i="5" l="1"/>
  <c r="B14" i="5"/>
  <c r="A16" i="5" l="1"/>
  <c r="B15" i="5"/>
  <c r="A17" i="5" l="1"/>
  <c r="B16" i="5"/>
  <c r="A18" i="5" l="1"/>
  <c r="B17" i="5"/>
  <c r="A19" i="5" l="1"/>
  <c r="B18" i="5"/>
  <c r="A20" i="5" l="1"/>
  <c r="B19" i="5"/>
  <c r="A21" i="5" l="1"/>
  <c r="B20" i="5"/>
  <c r="A22" i="5" l="1"/>
  <c r="B21" i="5"/>
  <c r="A23" i="5" l="1"/>
  <c r="B22" i="5"/>
  <c r="A24" i="5" l="1"/>
  <c r="B23" i="5"/>
  <c r="A25" i="5" l="1"/>
  <c r="B24" i="5"/>
  <c r="A26" i="5" l="1"/>
  <c r="B25" i="5"/>
  <c r="A27" i="5" l="1"/>
  <c r="B26" i="5"/>
  <c r="A28" i="5" l="1"/>
  <c r="B27" i="5"/>
  <c r="A29" i="5" l="1"/>
  <c r="B28" i="5"/>
  <c r="A30" i="5" l="1"/>
  <c r="B29" i="5"/>
  <c r="A31" i="5" l="1"/>
  <c r="B30" i="5"/>
  <c r="A32" i="5" l="1"/>
  <c r="B31" i="5"/>
  <c r="A33" i="5" l="1"/>
  <c r="B32" i="5"/>
  <c r="A34" i="5" l="1"/>
  <c r="B33" i="5"/>
  <c r="A35" i="5" l="1"/>
  <c r="B34" i="5"/>
  <c r="A36" i="5" l="1"/>
  <c r="B35" i="5"/>
  <c r="A37" i="5" l="1"/>
  <c r="B36" i="5"/>
  <c r="A38" i="5" l="1"/>
  <c r="B37" i="5"/>
  <c r="A39" i="5" l="1"/>
  <c r="B38" i="5"/>
  <c r="A40" i="5" l="1"/>
  <c r="B39" i="5"/>
  <c r="A41" i="5" l="1"/>
  <c r="B40" i="5"/>
  <c r="A42" i="5" l="1"/>
  <c r="B41" i="5"/>
  <c r="A43" i="5" l="1"/>
  <c r="B42" i="5"/>
  <c r="A44" i="5" l="1"/>
  <c r="B43" i="5"/>
  <c r="A45" i="5" l="1"/>
  <c r="B44" i="5"/>
  <c r="A46" i="5" l="1"/>
  <c r="B45" i="5"/>
  <c r="A47" i="5" l="1"/>
  <c r="B46" i="5"/>
  <c r="A48" i="5" l="1"/>
  <c r="B47" i="5"/>
  <c r="A49" i="5" l="1"/>
  <c r="B48" i="5"/>
  <c r="A50" i="5" l="1"/>
  <c r="B49" i="5"/>
  <c r="A51" i="5" l="1"/>
  <c r="B50" i="5"/>
  <c r="A52" i="5" l="1"/>
  <c r="B51" i="5"/>
  <c r="A53" i="5" l="1"/>
  <c r="B52" i="5"/>
  <c r="A54" i="5" l="1"/>
  <c r="B53" i="5"/>
  <c r="A55" i="5" l="1"/>
  <c r="B54" i="5"/>
  <c r="A56" i="5" l="1"/>
  <c r="B55" i="5"/>
  <c r="A57" i="5" l="1"/>
  <c r="B56" i="5"/>
  <c r="A58" i="5" l="1"/>
  <c r="B57" i="5"/>
  <c r="A59" i="5" l="1"/>
  <c r="B58" i="5"/>
  <c r="A60" i="5" l="1"/>
  <c r="B59" i="5"/>
  <c r="A61" i="5" l="1"/>
  <c r="B60" i="5"/>
  <c r="A62" i="5" l="1"/>
  <c r="B61" i="5"/>
  <c r="B62" i="5" l="1"/>
  <c r="A63" i="5"/>
  <c r="B63" i="5" l="1"/>
  <c r="A64" i="5"/>
  <c r="B64" i="5" l="1"/>
  <c r="A65" i="5"/>
  <c r="B65" i="5" l="1"/>
  <c r="A66" i="5"/>
  <c r="B66" i="5" l="1"/>
  <c r="A67" i="5"/>
  <c r="B67" i="5" l="1"/>
  <c r="A68" i="5"/>
  <c r="B68" i="5" l="1"/>
  <c r="A69" i="5"/>
  <c r="B69" i="5" l="1"/>
  <c r="A70" i="5"/>
  <c r="B70" i="5" l="1"/>
  <c r="A71" i="5"/>
  <c r="B71" i="5" l="1"/>
  <c r="A72" i="5"/>
  <c r="B72" i="5" l="1"/>
  <c r="A73" i="5"/>
  <c r="B73" i="5" l="1"/>
  <c r="A74" i="5"/>
  <c r="B74" i="5" l="1"/>
  <c r="A75" i="5"/>
  <c r="B75" i="5" l="1"/>
  <c r="A76" i="5"/>
  <c r="B76" i="5" l="1"/>
  <c r="A77" i="5"/>
  <c r="B77" i="5" l="1"/>
  <c r="A78" i="5"/>
  <c r="B78" i="5" l="1"/>
  <c r="A79" i="5"/>
  <c r="B79" i="5" l="1"/>
  <c r="A80" i="5"/>
  <c r="B80" i="5" l="1"/>
  <c r="A81" i="5"/>
  <c r="B81" i="5" l="1"/>
  <c r="A82" i="5"/>
  <c r="B82" i="5" l="1"/>
  <c r="A83" i="5"/>
  <c r="B83" i="5" l="1"/>
  <c r="A84" i="5"/>
  <c r="B84" i="5" l="1"/>
  <c r="A85" i="5"/>
  <c r="B85" i="5" l="1"/>
  <c r="A86" i="5"/>
  <c r="B86" i="5" l="1"/>
  <c r="A87" i="5"/>
  <c r="B87" i="5" l="1"/>
  <c r="A88" i="5"/>
  <c r="B88" i="5" l="1"/>
  <c r="A89" i="5"/>
  <c r="B89" i="5" l="1"/>
  <c r="A90" i="5"/>
  <c r="B90" i="5" l="1"/>
  <c r="A91" i="5"/>
  <c r="B91" i="5" l="1"/>
  <c r="A92" i="5"/>
  <c r="B92" i="5" l="1"/>
  <c r="A93" i="5"/>
  <c r="B93" i="5" l="1"/>
  <c r="A94" i="5"/>
  <c r="B94" i="5" l="1"/>
  <c r="A95" i="5"/>
  <c r="B95" i="5" l="1"/>
  <c r="A96" i="5"/>
  <c r="B96" i="5" l="1"/>
  <c r="A97" i="5"/>
  <c r="B97" i="5" l="1"/>
  <c r="A98" i="5"/>
  <c r="B98" i="5" l="1"/>
  <c r="A99" i="5"/>
  <c r="B99" i="5" l="1"/>
  <c r="A100" i="5"/>
  <c r="B100" i="5" l="1"/>
  <c r="A101" i="5"/>
  <c r="B101" i="5" l="1"/>
  <c r="A102" i="5"/>
  <c r="B102" i="5" l="1"/>
  <c r="A103" i="5"/>
  <c r="B103" i="5" l="1"/>
  <c r="A104" i="5"/>
  <c r="B104" i="5" l="1"/>
  <c r="A105" i="5"/>
  <c r="B105" i="5" l="1"/>
  <c r="A106" i="5"/>
  <c r="B106" i="5" l="1"/>
  <c r="A107" i="5"/>
  <c r="B107" i="5" l="1"/>
  <c r="A108" i="5"/>
  <c r="B108" i="5" l="1"/>
  <c r="A109" i="5"/>
  <c r="B109" i="5" l="1"/>
  <c r="A110" i="5"/>
  <c r="B110" i="5" l="1"/>
  <c r="A111" i="5"/>
  <c r="B111" i="5" l="1"/>
  <c r="A112" i="5"/>
  <c r="B112" i="5" l="1"/>
  <c r="A113" i="5"/>
  <c r="B113" i="5" l="1"/>
  <c r="A114" i="5"/>
  <c r="B114" i="5" l="1"/>
  <c r="A115" i="5"/>
  <c r="B115" i="5" l="1"/>
  <c r="A116" i="5"/>
  <c r="B116" i="5" l="1"/>
  <c r="A117" i="5"/>
  <c r="B117" i="5" l="1"/>
  <c r="A118" i="5"/>
  <c r="B118" i="5" l="1"/>
  <c r="A119" i="5"/>
  <c r="B119" i="5" l="1"/>
  <c r="A120" i="5"/>
  <c r="B120" i="5" l="1"/>
  <c r="A121" i="5"/>
  <c r="B121" i="5" l="1"/>
  <c r="A122" i="5"/>
  <c r="B122" i="5" l="1"/>
  <c r="A123" i="5"/>
  <c r="B123" i="5" l="1"/>
  <c r="A124" i="5"/>
  <c r="B124" i="5" l="1"/>
  <c r="A125" i="5"/>
  <c r="B125" i="5" l="1"/>
  <c r="A126" i="5"/>
  <c r="B126" i="5" l="1"/>
  <c r="A127" i="5"/>
  <c r="B127" i="5" l="1"/>
  <c r="A128" i="5"/>
  <c r="B128" i="5" l="1"/>
  <c r="A129" i="5"/>
  <c r="B129" i="5" l="1"/>
  <c r="A130" i="5"/>
  <c r="B130" i="5" l="1"/>
  <c r="A131" i="5"/>
  <c r="B131" i="5" l="1"/>
  <c r="A132" i="5"/>
  <c r="B132" i="5" l="1"/>
  <c r="A133" i="5"/>
  <c r="B133" i="5" l="1"/>
  <c r="A134" i="5"/>
  <c r="B134" i="5" l="1"/>
  <c r="A135" i="5"/>
  <c r="B135" i="5" l="1"/>
  <c r="A136" i="5"/>
  <c r="B136" i="5" l="1"/>
  <c r="A137" i="5"/>
  <c r="B137" i="5" l="1"/>
  <c r="A138" i="5"/>
  <c r="B138" i="5" l="1"/>
  <c r="A139" i="5"/>
  <c r="B139" i="5" l="1"/>
  <c r="A140" i="5"/>
  <c r="B140" i="5" l="1"/>
  <c r="A141" i="5"/>
  <c r="B141" i="5" l="1"/>
  <c r="A142" i="5"/>
  <c r="B142" i="5" l="1"/>
  <c r="A143" i="5"/>
  <c r="B143" i="5" l="1"/>
  <c r="A144" i="5"/>
  <c r="B144" i="5" l="1"/>
  <c r="A145" i="5"/>
  <c r="B145" i="5" l="1"/>
  <c r="A146" i="5"/>
  <c r="B146" i="5" l="1"/>
  <c r="A147" i="5"/>
  <c r="B147" i="5" l="1"/>
  <c r="A148" i="5"/>
  <c r="B148" i="5" l="1"/>
  <c r="A149" i="5"/>
  <c r="B149" i="5" l="1"/>
  <c r="A150" i="5"/>
  <c r="B150" i="5" l="1"/>
  <c r="A151" i="5"/>
  <c r="B151" i="5" l="1"/>
  <c r="A152" i="5"/>
  <c r="B152" i="5" l="1"/>
  <c r="A153" i="5"/>
  <c r="B153" i="5" l="1"/>
  <c r="A154" i="5"/>
  <c r="B154" i="5" l="1"/>
  <c r="A155" i="5"/>
  <c r="B155" i="5" l="1"/>
  <c r="A156" i="5"/>
  <c r="B156" i="5" l="1"/>
  <c r="A157" i="5"/>
  <c r="B157" i="5" l="1"/>
  <c r="A158" i="5"/>
  <c r="B158" i="5" l="1"/>
  <c r="A159" i="5"/>
  <c r="B159" i="5" l="1"/>
  <c r="A160" i="5"/>
  <c r="B160" i="5" l="1"/>
  <c r="A161" i="5"/>
  <c r="B161" i="5" l="1"/>
  <c r="A162" i="5"/>
  <c r="B162" i="5" l="1"/>
  <c r="A163" i="5"/>
  <c r="B163" i="5" l="1"/>
  <c r="A164" i="5"/>
  <c r="B164" i="5" l="1"/>
  <c r="A165" i="5"/>
  <c r="B165" i="5" l="1"/>
  <c r="A166" i="5"/>
  <c r="B166" i="5" l="1"/>
  <c r="A167" i="5"/>
  <c r="B167" i="5" l="1"/>
  <c r="A168" i="5"/>
  <c r="B168" i="5" l="1"/>
  <c r="A169" i="5"/>
  <c r="B169" i="5" l="1"/>
  <c r="A170" i="5"/>
  <c r="B170" i="5" l="1"/>
  <c r="A171" i="5"/>
  <c r="B171" i="5" l="1"/>
  <c r="A172" i="5"/>
  <c r="B172" i="5" l="1"/>
  <c r="A173" i="5"/>
  <c r="B173" i="5" l="1"/>
  <c r="A174" i="5"/>
  <c r="B174" i="5" l="1"/>
  <c r="A175" i="5"/>
  <c r="B175" i="5" l="1"/>
  <c r="A176" i="5"/>
  <c r="B176" i="5" l="1"/>
  <c r="A177" i="5"/>
  <c r="B177" i="5" l="1"/>
  <c r="A178" i="5"/>
  <c r="B178" i="5" l="1"/>
  <c r="A179" i="5"/>
  <c r="B179" i="5" l="1"/>
  <c r="A180" i="5"/>
  <c r="B180" i="5" l="1"/>
  <c r="A181" i="5"/>
  <c r="B181" i="5" l="1"/>
  <c r="A182" i="5"/>
  <c r="B182" i="5" l="1"/>
  <c r="A183" i="5"/>
  <c r="B183" i="5" l="1"/>
  <c r="A184" i="5"/>
  <c r="B184" i="5" l="1"/>
  <c r="A185" i="5"/>
  <c r="B185" i="5" l="1"/>
  <c r="A186" i="5"/>
  <c r="B186" i="5" l="1"/>
  <c r="A187" i="5"/>
  <c r="B187" i="5" l="1"/>
  <c r="A188" i="5"/>
  <c r="B188" i="5" l="1"/>
  <c r="A189" i="5"/>
  <c r="B189" i="5" l="1"/>
  <c r="A190" i="5"/>
  <c r="B190" i="5" l="1"/>
  <c r="A191" i="5"/>
  <c r="B191" i="5" l="1"/>
  <c r="A192" i="5"/>
  <c r="B192" i="5" l="1"/>
  <c r="A193" i="5"/>
  <c r="B193" i="5" l="1"/>
  <c r="A194" i="5"/>
  <c r="B194" i="5" l="1"/>
  <c r="A195" i="5"/>
  <c r="B195" i="5" l="1"/>
  <c r="A196" i="5"/>
  <c r="B196" i="5" l="1"/>
  <c r="A197" i="5"/>
  <c r="B197" i="5" l="1"/>
  <c r="A198" i="5"/>
  <c r="B198" i="5" l="1"/>
  <c r="A199" i="5"/>
  <c r="B199" i="5" l="1"/>
  <c r="A200" i="5"/>
  <c r="B200" i="5" l="1"/>
  <c r="A201" i="5"/>
  <c r="B201" i="5" l="1"/>
  <c r="A202" i="5"/>
  <c r="B202" i="5" l="1"/>
  <c r="A203" i="5"/>
  <c r="B203" i="5" l="1"/>
  <c r="A204" i="5"/>
  <c r="B204" i="5" l="1"/>
  <c r="A205" i="5"/>
  <c r="B205" i="5" l="1"/>
  <c r="A206" i="5"/>
  <c r="B206" i="5" l="1"/>
  <c r="A207" i="5"/>
  <c r="B207" i="5" l="1"/>
  <c r="A208" i="5"/>
  <c r="B208" i="5" l="1"/>
  <c r="A209" i="5"/>
  <c r="B209" i="5" l="1"/>
  <c r="A210" i="5"/>
  <c r="B210" i="5" l="1"/>
  <c r="A211" i="5"/>
  <c r="B211" i="5" l="1"/>
  <c r="A212" i="5"/>
  <c r="B212" i="5" l="1"/>
  <c r="A213" i="5"/>
  <c r="B213" i="5" l="1"/>
  <c r="A214" i="5"/>
  <c r="B214" i="5" l="1"/>
  <c r="A215" i="5"/>
  <c r="B215" i="5" l="1"/>
  <c r="A216" i="5"/>
  <c r="B216" i="5" l="1"/>
  <c r="A217" i="5"/>
  <c r="B217" i="5" l="1"/>
  <c r="A218" i="5"/>
  <c r="B218" i="5" l="1"/>
  <c r="A219" i="5"/>
  <c r="B219" i="5" l="1"/>
  <c r="A220" i="5"/>
  <c r="B220" i="5" l="1"/>
  <c r="A221" i="5"/>
  <c r="B221" i="5" l="1"/>
  <c r="A222" i="5"/>
  <c r="B222" i="5" l="1"/>
  <c r="A223" i="5"/>
  <c r="B223" i="5" l="1"/>
  <c r="A224" i="5"/>
  <c r="B224" i="5" l="1"/>
  <c r="A225" i="5"/>
  <c r="B225" i="5" l="1"/>
  <c r="A226" i="5"/>
  <c r="B226" i="5" l="1"/>
  <c r="A227" i="5"/>
  <c r="B227" i="5" l="1"/>
  <c r="A228" i="5"/>
  <c r="B228" i="5" l="1"/>
  <c r="A229" i="5"/>
  <c r="B229" i="5" l="1"/>
  <c r="A230" i="5"/>
  <c r="B230" i="5" l="1"/>
  <c r="A231" i="5"/>
  <c r="B231" i="5" l="1"/>
  <c r="A232" i="5"/>
  <c r="B232" i="5" l="1"/>
  <c r="A233" i="5"/>
  <c r="B233" i="5" l="1"/>
  <c r="A234" i="5"/>
  <c r="B234" i="5" l="1"/>
  <c r="A235" i="5"/>
  <c r="B235" i="5" l="1"/>
  <c r="A236" i="5"/>
  <c r="B236" i="5" l="1"/>
  <c r="A237" i="5"/>
  <c r="B237" i="5" l="1"/>
  <c r="A238" i="5"/>
  <c r="B238" i="5" l="1"/>
  <c r="A239" i="5"/>
  <c r="B239" i="5" l="1"/>
  <c r="A240" i="5"/>
  <c r="B240" i="5" l="1"/>
  <c r="A241" i="5"/>
  <c r="B241" i="5" l="1"/>
  <c r="A242" i="5"/>
  <c r="B242" i="5" l="1"/>
  <c r="A243" i="5"/>
  <c r="B243" i="5" l="1"/>
  <c r="A244" i="5"/>
  <c r="B244" i="5" l="1"/>
  <c r="A245" i="5"/>
  <c r="B245" i="5" l="1"/>
  <c r="A246" i="5"/>
  <c r="B246" i="5" l="1"/>
  <c r="A247" i="5"/>
  <c r="B247" i="5" l="1"/>
  <c r="A248" i="5"/>
  <c r="B248" i="5" l="1"/>
  <c r="A249" i="5"/>
  <c r="B249" i="5" l="1"/>
  <c r="A250" i="5"/>
  <c r="B250" i="5" l="1"/>
  <c r="A251" i="5"/>
  <c r="B251" i="5" l="1"/>
  <c r="A252" i="5"/>
  <c r="B252" i="5" l="1"/>
  <c r="A253" i="5"/>
  <c r="B253" i="5" l="1"/>
  <c r="A254" i="5"/>
  <c r="B254" i="5" l="1"/>
  <c r="A255" i="5"/>
  <c r="B255" i="5" l="1"/>
  <c r="A256" i="5"/>
  <c r="B256" i="5" l="1"/>
  <c r="A257" i="5"/>
  <c r="B257" i="5" l="1"/>
  <c r="A258" i="5"/>
  <c r="B258" i="5" l="1"/>
  <c r="A259" i="5"/>
  <c r="B259" i="5" l="1"/>
  <c r="A260" i="5"/>
  <c r="B260" i="5" l="1"/>
  <c r="A261" i="5"/>
  <c r="B261" i="5" l="1"/>
  <c r="A262" i="5"/>
  <c r="B262" i="5" l="1"/>
  <c r="A263" i="5"/>
  <c r="B263" i="5" l="1"/>
  <c r="A264" i="5"/>
  <c r="B264" i="5" l="1"/>
  <c r="A265" i="5"/>
  <c r="B265" i="5" l="1"/>
  <c r="A266" i="5"/>
  <c r="B266" i="5" l="1"/>
  <c r="A267" i="5"/>
  <c r="B267" i="5" l="1"/>
  <c r="A268" i="5"/>
  <c r="B268" i="5" l="1"/>
  <c r="A269" i="5"/>
  <c r="B269" i="5" l="1"/>
  <c r="A270" i="5"/>
  <c r="B270" i="5" l="1"/>
  <c r="A271" i="5"/>
  <c r="B271" i="5" l="1"/>
  <c r="A272" i="5"/>
  <c r="B272" i="5" l="1"/>
  <c r="A273" i="5"/>
  <c r="B273" i="5" l="1"/>
  <c r="A274" i="5"/>
  <c r="B274" i="5" l="1"/>
  <c r="A275" i="5"/>
  <c r="B275" i="5" l="1"/>
  <c r="A276" i="5"/>
  <c r="B276" i="5" l="1"/>
  <c r="A277" i="5"/>
  <c r="B277" i="5" l="1"/>
  <c r="A278" i="5"/>
  <c r="B278" i="5" l="1"/>
  <c r="A279" i="5"/>
  <c r="B279" i="5" l="1"/>
  <c r="A280" i="5"/>
  <c r="B280" i="5" l="1"/>
  <c r="A281" i="5"/>
  <c r="B281" i="5" l="1"/>
  <c r="A282" i="5"/>
  <c r="B282" i="5" l="1"/>
  <c r="A283" i="5"/>
  <c r="B283" i="5" l="1"/>
  <c r="A284" i="5"/>
  <c r="B284" i="5" l="1"/>
  <c r="A285" i="5"/>
  <c r="B285" i="5" l="1"/>
  <c r="A286" i="5"/>
  <c r="B286" i="5" l="1"/>
  <c r="A287" i="5"/>
  <c r="B287" i="5" l="1"/>
  <c r="A288" i="5"/>
  <c r="B288" i="5" l="1"/>
  <c r="A289" i="5"/>
  <c r="B289" i="5" l="1"/>
  <c r="A290" i="5"/>
  <c r="B290" i="5" l="1"/>
  <c r="A291" i="5"/>
  <c r="B291" i="5" l="1"/>
  <c r="A292" i="5"/>
  <c r="B292" i="5" l="1"/>
  <c r="A293" i="5"/>
  <c r="B293" i="5" l="1"/>
  <c r="A294" i="5"/>
  <c r="B294" i="5" l="1"/>
  <c r="A295" i="5"/>
  <c r="B295" i="5" l="1"/>
  <c r="A296" i="5"/>
  <c r="B296" i="5" l="1"/>
  <c r="A297" i="5"/>
  <c r="B297" i="5" l="1"/>
  <c r="A298" i="5"/>
  <c r="B298" i="5" l="1"/>
  <c r="A299" i="5"/>
  <c r="B299" i="5" l="1"/>
  <c r="A300" i="5"/>
  <c r="B300" i="5" l="1"/>
  <c r="A301" i="5"/>
  <c r="B301" i="5" l="1"/>
  <c r="A302" i="5"/>
  <c r="B302" i="5" l="1"/>
  <c r="A303" i="5"/>
  <c r="B303" i="5" l="1"/>
  <c r="A304" i="5"/>
  <c r="B304" i="5" l="1"/>
  <c r="A305" i="5"/>
  <c r="B305" i="5" l="1"/>
  <c r="A306" i="5"/>
  <c r="B306" i="5" l="1"/>
  <c r="A307" i="5"/>
  <c r="B307" i="5" l="1"/>
  <c r="A308" i="5"/>
  <c r="B308" i="5" l="1"/>
  <c r="A309" i="5"/>
  <c r="B309" i="5" l="1"/>
  <c r="A310" i="5"/>
  <c r="B310" i="5" l="1"/>
  <c r="A311" i="5"/>
  <c r="B311" i="5" l="1"/>
  <c r="A312" i="5"/>
  <c r="B312" i="5" l="1"/>
  <c r="A313" i="5"/>
  <c r="B313" i="5" l="1"/>
  <c r="A314" i="5"/>
  <c r="B314" i="5" l="1"/>
  <c r="A315" i="5"/>
  <c r="B315" i="5" l="1"/>
  <c r="A316" i="5"/>
  <c r="B316" i="5" l="1"/>
  <c r="A317" i="5"/>
  <c r="B317" i="5" l="1"/>
  <c r="A318" i="5"/>
  <c r="B318" i="5" l="1"/>
  <c r="A319" i="5"/>
  <c r="B319" i="5" l="1"/>
  <c r="A320" i="5"/>
  <c r="B320" i="5" l="1"/>
  <c r="A321" i="5"/>
  <c r="B321" i="5" l="1"/>
  <c r="A322" i="5"/>
  <c r="B322" i="5" l="1"/>
  <c r="A323" i="5"/>
  <c r="B323" i="5" l="1"/>
  <c r="A324" i="5"/>
  <c r="B324" i="5" l="1"/>
  <c r="A325" i="5"/>
  <c r="B325" i="5" l="1"/>
  <c r="A326" i="5"/>
  <c r="B326" i="5" l="1"/>
  <c r="A327" i="5"/>
  <c r="B327" i="5" l="1"/>
  <c r="A328" i="5"/>
  <c r="B328" i="5" l="1"/>
  <c r="A329" i="5"/>
  <c r="B329" i="5" l="1"/>
  <c r="A330" i="5"/>
  <c r="B330" i="5" l="1"/>
  <c r="A331" i="5"/>
  <c r="B331" i="5" l="1"/>
  <c r="A332" i="5"/>
  <c r="B332" i="5" l="1"/>
  <c r="A333" i="5"/>
  <c r="B333" i="5" l="1"/>
  <c r="A334" i="5"/>
  <c r="B334" i="5" l="1"/>
  <c r="A335" i="5"/>
  <c r="B335" i="5" l="1"/>
  <c r="A336" i="5"/>
  <c r="B336" i="5" l="1"/>
  <c r="A337" i="5"/>
  <c r="B337" i="5" l="1"/>
  <c r="A338" i="5"/>
  <c r="B338" i="5" l="1"/>
  <c r="A339" i="5"/>
  <c r="B339" i="5" l="1"/>
  <c r="A340" i="5"/>
  <c r="B340" i="5" l="1"/>
  <c r="A341" i="5"/>
  <c r="B341" i="5" l="1"/>
  <c r="A342" i="5"/>
  <c r="B342" i="5" l="1"/>
  <c r="A343" i="5"/>
  <c r="B343" i="5" l="1"/>
  <c r="A344" i="5"/>
  <c r="B344" i="5" l="1"/>
  <c r="A345" i="5"/>
  <c r="B345" i="5" l="1"/>
  <c r="A346" i="5"/>
  <c r="B346" i="5" l="1"/>
  <c r="A347" i="5"/>
  <c r="B347" i="5" l="1"/>
  <c r="A348" i="5"/>
  <c r="B348" i="5" l="1"/>
  <c r="A349" i="5"/>
  <c r="B349" i="5" l="1"/>
  <c r="A350" i="5"/>
  <c r="B350" i="5" l="1"/>
  <c r="A351" i="5"/>
  <c r="B351" i="5" l="1"/>
  <c r="A352" i="5"/>
  <c r="B352" i="5" l="1"/>
  <c r="A353" i="5"/>
  <c r="B353" i="5" l="1"/>
  <c r="A354" i="5"/>
  <c r="B354" i="5" l="1"/>
  <c r="A355" i="5"/>
  <c r="B355" i="5" l="1"/>
  <c r="A356" i="5"/>
  <c r="B356" i="5" l="1"/>
  <c r="A357" i="5"/>
  <c r="B357" i="5" l="1"/>
  <c r="A358" i="5"/>
  <c r="B358" i="5" l="1"/>
  <c r="A359" i="5"/>
  <c r="B359" i="5" l="1"/>
  <c r="A360" i="5"/>
  <c r="B360" i="5" l="1"/>
  <c r="A361" i="5"/>
  <c r="B361" i="5" l="1"/>
  <c r="A362" i="5"/>
  <c r="B362" i="5" l="1"/>
  <c r="A363" i="5"/>
  <c r="B363" i="5" l="1"/>
  <c r="A364" i="5"/>
  <c r="B364" i="5" l="1"/>
  <c r="A365" i="5"/>
  <c r="B365" i="5" l="1"/>
  <c r="A366" i="5"/>
  <c r="B366" i="5" l="1"/>
  <c r="A367" i="5"/>
  <c r="B367" i="5" l="1"/>
  <c r="A368" i="5"/>
  <c r="B368" i="5" l="1"/>
  <c r="A369" i="5"/>
  <c r="B369" i="5" l="1"/>
  <c r="A370" i="5"/>
  <c r="B370" i="5" l="1"/>
  <c r="A371" i="5"/>
  <c r="B371" i="5" l="1"/>
  <c r="A372" i="5"/>
  <c r="B372" i="5" l="1"/>
  <c r="A373" i="5"/>
  <c r="B373" i="5" l="1"/>
  <c r="A374" i="5"/>
  <c r="B374" i="5" l="1"/>
  <c r="A375" i="5"/>
  <c r="B375" i="5" l="1"/>
  <c r="A376" i="5"/>
  <c r="B376" i="5" l="1"/>
  <c r="A377" i="5"/>
  <c r="B377" i="5" l="1"/>
  <c r="A378" i="5"/>
  <c r="B378" i="5" l="1"/>
  <c r="A379" i="5"/>
  <c r="B379" i="5" l="1"/>
  <c r="A380" i="5"/>
  <c r="B380" i="5" l="1"/>
  <c r="A381" i="5"/>
  <c r="B381" i="5" l="1"/>
  <c r="A382" i="5"/>
  <c r="B382" i="5" l="1"/>
  <c r="A383" i="5"/>
  <c r="B383" i="5" l="1"/>
  <c r="A384" i="5"/>
  <c r="B384" i="5" l="1"/>
  <c r="A385" i="5"/>
  <c r="B385" i="5" l="1"/>
  <c r="A386" i="5"/>
  <c r="B386" i="5" l="1"/>
  <c r="A387" i="5"/>
  <c r="B387" i="5" l="1"/>
  <c r="A388" i="5"/>
  <c r="B388" i="5" l="1"/>
  <c r="A389" i="5"/>
  <c r="B389" i="5" l="1"/>
  <c r="A390" i="5"/>
  <c r="B390" i="5" l="1"/>
  <c r="A391" i="5"/>
  <c r="B391" i="5" l="1"/>
  <c r="A392" i="5"/>
  <c r="B392" i="5" l="1"/>
  <c r="A393" i="5"/>
  <c r="B393" i="5" l="1"/>
  <c r="A394" i="5"/>
  <c r="B394" i="5" l="1"/>
  <c r="A395" i="5"/>
  <c r="B395" i="5" l="1"/>
  <c r="A396" i="5"/>
  <c r="B396" i="5" l="1"/>
  <c r="A397" i="5"/>
  <c r="B397" i="5" l="1"/>
  <c r="A398" i="5"/>
  <c r="B398" i="5" l="1"/>
  <c r="A399" i="5"/>
  <c r="B399" i="5" l="1"/>
  <c r="A400" i="5"/>
  <c r="B400" i="5" l="1"/>
  <c r="A401" i="5"/>
  <c r="B401" i="5" l="1"/>
  <c r="A402" i="5"/>
  <c r="B402" i="5" l="1"/>
  <c r="A403" i="5"/>
  <c r="B403" i="5" l="1"/>
  <c r="A404" i="5"/>
  <c r="B404" i="5" l="1"/>
  <c r="A405" i="5"/>
  <c r="B405" i="5" l="1"/>
  <c r="A406" i="5"/>
  <c r="B406" i="5" l="1"/>
  <c r="A407" i="5"/>
  <c r="B407" i="5" l="1"/>
  <c r="A408" i="5"/>
  <c r="B408" i="5" l="1"/>
  <c r="A409" i="5"/>
  <c r="B409" i="5" l="1"/>
  <c r="A410" i="5"/>
  <c r="B410" i="5" l="1"/>
  <c r="A411" i="5"/>
  <c r="B411" i="5" l="1"/>
  <c r="A412" i="5"/>
  <c r="B412" i="5" l="1"/>
  <c r="A413" i="5"/>
  <c r="B413" i="5" l="1"/>
  <c r="A414" i="5"/>
  <c r="B414" i="5" l="1"/>
  <c r="A415" i="5"/>
  <c r="B415" i="5" l="1"/>
  <c r="A416" i="5"/>
  <c r="B416" i="5" l="1"/>
  <c r="A417" i="5"/>
  <c r="B417" i="5" l="1"/>
  <c r="A418" i="5"/>
  <c r="B418" i="5" l="1"/>
  <c r="A419" i="5"/>
  <c r="B419" i="5" l="1"/>
  <c r="A420" i="5"/>
  <c r="B420" i="5" l="1"/>
  <c r="A421" i="5"/>
  <c r="B421" i="5" l="1"/>
  <c r="A422" i="5"/>
  <c r="B422" i="5" l="1"/>
  <c r="A423" i="5"/>
  <c r="B423" i="5" l="1"/>
  <c r="A424" i="5"/>
  <c r="B424" i="5" l="1"/>
  <c r="A425" i="5"/>
  <c r="B425" i="5" l="1"/>
  <c r="A426" i="5"/>
  <c r="B426" i="5" l="1"/>
  <c r="A427" i="5"/>
  <c r="B427" i="5" l="1"/>
  <c r="A428" i="5"/>
  <c r="B428" i="5" l="1"/>
  <c r="A429" i="5"/>
  <c r="B429" i="5" l="1"/>
  <c r="A430" i="5"/>
  <c r="B430" i="5" l="1"/>
  <c r="A431" i="5"/>
  <c r="B431" i="5" l="1"/>
  <c r="A432" i="5"/>
  <c r="B432" i="5" l="1"/>
  <c r="A433" i="5"/>
  <c r="B433" i="5" l="1"/>
  <c r="A434" i="5"/>
  <c r="B434" i="5" l="1"/>
  <c r="A435" i="5"/>
  <c r="B435" i="5" l="1"/>
  <c r="A436" i="5"/>
  <c r="B436" i="5" l="1"/>
  <c r="A437" i="5"/>
  <c r="B437" i="5" l="1"/>
  <c r="A438" i="5"/>
  <c r="B438" i="5" l="1"/>
  <c r="A439" i="5"/>
  <c r="B439" i="5" l="1"/>
  <c r="A440" i="5"/>
  <c r="B440" i="5" l="1"/>
  <c r="A441" i="5"/>
  <c r="B441" i="5" l="1"/>
  <c r="A442" i="5"/>
  <c r="B442" i="5" l="1"/>
  <c r="A443" i="5"/>
  <c r="B443" i="5" l="1"/>
  <c r="A444" i="5"/>
  <c r="B444" i="5" l="1"/>
  <c r="A445" i="5"/>
  <c r="B445" i="5" l="1"/>
  <c r="A446" i="5"/>
  <c r="B446" i="5" l="1"/>
  <c r="A447" i="5"/>
  <c r="B447" i="5" l="1"/>
  <c r="A448" i="5"/>
  <c r="B448" i="5" l="1"/>
  <c r="A449" i="5"/>
  <c r="B449" i="5" l="1"/>
  <c r="A450" i="5"/>
  <c r="B450" i="5" l="1"/>
  <c r="A451" i="5"/>
  <c r="B451" i="5" l="1"/>
  <c r="A452" i="5"/>
  <c r="B452" i="5" l="1"/>
  <c r="A453" i="5"/>
  <c r="B453" i="5" l="1"/>
  <c r="A454" i="5"/>
  <c r="B454" i="5" l="1"/>
  <c r="A455" i="5"/>
  <c r="B455" i="5" l="1"/>
  <c r="A456" i="5"/>
  <c r="B456" i="5" l="1"/>
  <c r="A457" i="5"/>
  <c r="B457" i="5" l="1"/>
  <c r="A458" i="5"/>
  <c r="B458" i="5" l="1"/>
  <c r="A459" i="5"/>
  <c r="B459" i="5" l="1"/>
  <c r="A460" i="5"/>
  <c r="B460" i="5" l="1"/>
  <c r="A461" i="5"/>
  <c r="B461" i="5" l="1"/>
  <c r="A462" i="5"/>
  <c r="B462" i="5" l="1"/>
  <c r="A463" i="5"/>
  <c r="B463" i="5" l="1"/>
  <c r="A464" i="5"/>
  <c r="B464" i="5" l="1"/>
  <c r="A465" i="5"/>
  <c r="B465" i="5" l="1"/>
  <c r="A466" i="5"/>
  <c r="B466" i="5" l="1"/>
  <c r="A467" i="5"/>
  <c r="B467" i="5" l="1"/>
  <c r="A468" i="5"/>
  <c r="B468" i="5" l="1"/>
  <c r="A469" i="5"/>
  <c r="B469" i="5" l="1"/>
  <c r="A470" i="5"/>
  <c r="B470" i="5" l="1"/>
  <c r="A471" i="5"/>
  <c r="B471" i="5" l="1"/>
  <c r="A472" i="5"/>
  <c r="B472" i="5" l="1"/>
  <c r="A473" i="5"/>
  <c r="B473" i="5" l="1"/>
  <c r="A474" i="5"/>
  <c r="B474" i="5" l="1"/>
  <c r="A475" i="5"/>
  <c r="B475" i="5" l="1"/>
  <c r="A476" i="5"/>
  <c r="B476" i="5" l="1"/>
  <c r="A477" i="5"/>
  <c r="B477" i="5" l="1"/>
  <c r="A478" i="5"/>
  <c r="B478" i="5" l="1"/>
  <c r="A479" i="5"/>
  <c r="B479" i="5" l="1"/>
  <c r="A480" i="5"/>
  <c r="B480" i="5" l="1"/>
  <c r="A481" i="5"/>
  <c r="B481" i="5" l="1"/>
  <c r="A482" i="5"/>
  <c r="B482" i="5" l="1"/>
  <c r="A483" i="5"/>
  <c r="B483" i="5" l="1"/>
  <c r="A484" i="5"/>
  <c r="B484" i="5" l="1"/>
  <c r="A485" i="5"/>
  <c r="B485" i="5" l="1"/>
  <c r="A486" i="5"/>
  <c r="B486" i="5" l="1"/>
  <c r="A487" i="5"/>
  <c r="B487" i="5" l="1"/>
  <c r="A488" i="5"/>
  <c r="B488" i="5" l="1"/>
  <c r="A489" i="5"/>
  <c r="B489" i="5" l="1"/>
  <c r="A490" i="5"/>
  <c r="B490" i="5" l="1"/>
  <c r="A491" i="5"/>
  <c r="B491" i="5" l="1"/>
  <c r="A492" i="5"/>
  <c r="B492" i="5" l="1"/>
  <c r="A493" i="5"/>
  <c r="B493" i="5" l="1"/>
  <c r="A494" i="5"/>
  <c r="B494" i="5" l="1"/>
  <c r="A495" i="5"/>
  <c r="B495" i="5" l="1"/>
  <c r="A496" i="5"/>
  <c r="B496" i="5" l="1"/>
  <c r="A497" i="5"/>
  <c r="B497" i="5" l="1"/>
  <c r="A498" i="5"/>
  <c r="B498" i="5" l="1"/>
  <c r="A499" i="5"/>
  <c r="B499" i="5" l="1"/>
  <c r="A500" i="5"/>
  <c r="B500" i="5" l="1"/>
  <c r="A501" i="5"/>
  <c r="B501" i="5" l="1"/>
  <c r="A502" i="5"/>
  <c r="B502" i="5" l="1"/>
  <c r="A503" i="5"/>
  <c r="B503" i="5" l="1"/>
  <c r="A504" i="5"/>
  <c r="B504" i="5" l="1"/>
  <c r="A505" i="5"/>
  <c r="B505" i="5" l="1"/>
  <c r="A506" i="5"/>
  <c r="B506" i="5" l="1"/>
  <c r="G7" i="5" s="1"/>
  <c r="A507" i="5"/>
  <c r="A508" i="5" l="1"/>
  <c r="B507" i="5"/>
  <c r="A509" i="5" l="1"/>
  <c r="B508" i="5"/>
  <c r="A510" i="5" l="1"/>
  <c r="B509" i="5"/>
  <c r="A511" i="5" l="1"/>
  <c r="B510" i="5"/>
  <c r="A512" i="5" l="1"/>
  <c r="B511" i="5"/>
  <c r="A513" i="5" l="1"/>
  <c r="B512" i="5"/>
  <c r="A514" i="5" l="1"/>
  <c r="B513" i="5"/>
  <c r="A515" i="5" l="1"/>
  <c r="B514" i="5"/>
  <c r="A516" i="5" l="1"/>
  <c r="B515" i="5"/>
  <c r="A517" i="5" l="1"/>
  <c r="B516" i="5"/>
  <c r="A518" i="5" l="1"/>
  <c r="B517" i="5"/>
  <c r="A519" i="5" l="1"/>
  <c r="B518" i="5"/>
  <c r="A520" i="5" l="1"/>
  <c r="B519" i="5"/>
  <c r="A521" i="5" l="1"/>
  <c r="B520" i="5"/>
  <c r="A522" i="5" l="1"/>
  <c r="B521" i="5"/>
  <c r="A523" i="5" l="1"/>
  <c r="B522" i="5"/>
  <c r="A524" i="5" l="1"/>
  <c r="B523" i="5"/>
  <c r="A525" i="5" l="1"/>
  <c r="B524" i="5"/>
  <c r="A526" i="5" l="1"/>
  <c r="B525" i="5"/>
  <c r="A527" i="5" l="1"/>
  <c r="B526" i="5"/>
  <c r="A528" i="5" l="1"/>
  <c r="B527" i="5"/>
  <c r="A529" i="5" l="1"/>
  <c r="B528" i="5"/>
  <c r="A530" i="5" l="1"/>
  <c r="B529" i="5"/>
  <c r="A531" i="5" l="1"/>
  <c r="B530" i="5"/>
  <c r="A532" i="5" l="1"/>
  <c r="B531" i="5"/>
  <c r="A533" i="5" l="1"/>
  <c r="B532" i="5"/>
  <c r="A534" i="5" l="1"/>
  <c r="B533" i="5"/>
  <c r="A535" i="5" l="1"/>
  <c r="B534" i="5"/>
  <c r="A536" i="5" l="1"/>
  <c r="B535" i="5"/>
  <c r="A537" i="5" l="1"/>
  <c r="B536" i="5"/>
  <c r="A538" i="5" l="1"/>
  <c r="B537" i="5"/>
  <c r="A539" i="5" l="1"/>
  <c r="B538" i="5"/>
  <c r="A540" i="5" l="1"/>
  <c r="B539" i="5"/>
  <c r="A541" i="5" l="1"/>
  <c r="B540" i="5"/>
  <c r="A542" i="5" l="1"/>
  <c r="B541" i="5"/>
  <c r="A543" i="5" l="1"/>
  <c r="B542" i="5"/>
  <c r="A544" i="5" l="1"/>
  <c r="B543" i="5"/>
  <c r="A545" i="5" l="1"/>
  <c r="B544" i="5"/>
  <c r="A546" i="5" l="1"/>
  <c r="B545" i="5"/>
  <c r="A547" i="5" l="1"/>
  <c r="B546" i="5"/>
  <c r="A548" i="5" l="1"/>
  <c r="B547" i="5"/>
  <c r="A549" i="5" l="1"/>
  <c r="B548" i="5"/>
  <c r="C4" i="5"/>
  <c r="F13" i="5" s="1"/>
  <c r="C1" i="7" s="1"/>
  <c r="A550" i="5" l="1"/>
  <c r="B549" i="5"/>
  <c r="A551" i="5" l="1"/>
  <c r="B550" i="5"/>
  <c r="A552" i="5" l="1"/>
  <c r="B551" i="5"/>
  <c r="A553" i="5" l="1"/>
  <c r="B552" i="5"/>
  <c r="A554" i="5" l="1"/>
  <c r="B553" i="5"/>
  <c r="A555" i="5" l="1"/>
  <c r="B554" i="5"/>
  <c r="A556" i="5" l="1"/>
  <c r="B555" i="5"/>
  <c r="B556" i="5" l="1"/>
  <c r="A557" i="5"/>
  <c r="A558" i="5" l="1"/>
  <c r="B557" i="5"/>
  <c r="A559" i="5" l="1"/>
  <c r="B558" i="5"/>
  <c r="A560" i="5" l="1"/>
  <c r="B559" i="5"/>
  <c r="A561" i="5" l="1"/>
  <c r="B560" i="5"/>
  <c r="A562" i="5" l="1"/>
  <c r="B561" i="5"/>
  <c r="A563" i="5" l="1"/>
  <c r="B562" i="5"/>
  <c r="A564" i="5" l="1"/>
  <c r="B563" i="5"/>
  <c r="A565" i="5" l="1"/>
  <c r="B564" i="5"/>
  <c r="A566" i="5" l="1"/>
  <c r="B565" i="5"/>
  <c r="A567" i="5" l="1"/>
  <c r="B566" i="5"/>
  <c r="A568" i="5" l="1"/>
  <c r="B567" i="5"/>
  <c r="A569" i="5" l="1"/>
  <c r="B568" i="5"/>
  <c r="A570" i="5" l="1"/>
  <c r="B569" i="5"/>
  <c r="A571" i="5" l="1"/>
  <c r="B570" i="5"/>
  <c r="A572" i="5" l="1"/>
  <c r="B571" i="5"/>
  <c r="A573" i="5" l="1"/>
  <c r="B572" i="5"/>
  <c r="A574" i="5" l="1"/>
  <c r="B573" i="5"/>
  <c r="A575" i="5" l="1"/>
  <c r="B574" i="5"/>
  <c r="A576" i="5" l="1"/>
  <c r="B575" i="5"/>
  <c r="A577" i="5" l="1"/>
  <c r="B576" i="5"/>
  <c r="A578" i="5" l="1"/>
  <c r="B577" i="5"/>
  <c r="A579" i="5" l="1"/>
  <c r="B578" i="5"/>
  <c r="A580" i="5" l="1"/>
  <c r="B579" i="5"/>
  <c r="A581" i="5" l="1"/>
  <c r="B580" i="5"/>
  <c r="A582" i="5" l="1"/>
  <c r="B581" i="5"/>
  <c r="A583" i="5" l="1"/>
  <c r="B582" i="5"/>
  <c r="A584" i="5" l="1"/>
  <c r="B583" i="5"/>
  <c r="A585" i="5" l="1"/>
  <c r="B584" i="5"/>
  <c r="A586" i="5" l="1"/>
  <c r="B585" i="5"/>
  <c r="A587" i="5" l="1"/>
  <c r="B586" i="5"/>
  <c r="A588" i="5" l="1"/>
  <c r="B587" i="5"/>
  <c r="A589" i="5" l="1"/>
  <c r="B588" i="5"/>
  <c r="A590" i="5" l="1"/>
  <c r="B589" i="5"/>
  <c r="A591" i="5" l="1"/>
  <c r="B590" i="5"/>
  <c r="A592" i="5" l="1"/>
  <c r="B591" i="5"/>
  <c r="A593" i="5" l="1"/>
  <c r="B592" i="5"/>
  <c r="A594" i="5" l="1"/>
  <c r="B593" i="5"/>
  <c r="A595" i="5" l="1"/>
  <c r="B594" i="5"/>
  <c r="A596" i="5" l="1"/>
  <c r="B595" i="5"/>
  <c r="A597" i="5" l="1"/>
  <c r="B596" i="5"/>
  <c r="A598" i="5" l="1"/>
  <c r="B597" i="5"/>
  <c r="A599" i="5" l="1"/>
  <c r="B598" i="5"/>
  <c r="A600" i="5" l="1"/>
  <c r="B599" i="5"/>
  <c r="A601" i="5" l="1"/>
  <c r="B601" i="5" s="1"/>
  <c r="B600" i="5"/>
</calcChain>
</file>

<file path=xl/sharedStrings.xml><?xml version="1.0" encoding="utf-8"?>
<sst xmlns="http://schemas.openxmlformats.org/spreadsheetml/2006/main" count="3008" uniqueCount="2491">
  <si>
    <t>a) El encierro permanente.</t>
  </si>
  <si>
    <t>* b) La inferioridad social del excluído.</t>
  </si>
  <si>
    <t>c) La necesidad de medicación permanente.</t>
  </si>
  <si>
    <t>d) Las técnicas invasoras.</t>
  </si>
  <si>
    <t>a) Las que concentran el poder simbólico.</t>
  </si>
  <si>
    <t>* b) Las que definen el capital específico.</t>
  </si>
  <si>
    <t>c) Las que recurren bagaje cultural.</t>
  </si>
  <si>
    <t>d) Las que tienen el apoyo de la comunidad.</t>
  </si>
  <si>
    <t>a) La caridad que atendía prioritariamente a niños, mujeres y enfermos.</t>
  </si>
  <si>
    <t>b) Un dogmatismo religioso que resaltaba la moral y las buenas costumbres.</t>
  </si>
  <si>
    <t>* c) Un humanismo que priorizaba al individuo y la familia.</t>
  </si>
  <si>
    <t>d) Una racionalidad basada en el higienismo y la sanidad.</t>
  </si>
  <si>
    <t>a) Una divergencia entre diferentes cultos.</t>
  </si>
  <si>
    <t>b) La demonización del movimiento obrero.</t>
  </si>
  <si>
    <t>* c) Un problema moral y religioso.</t>
  </si>
  <si>
    <t>d) Un proceso ideológico y de ruptura espiritual.</t>
  </si>
  <si>
    <t>a) Como estrategia judicial dilatoria.</t>
  </si>
  <si>
    <t>b) Proporcionarle al equipo de salud tiempo para hacer las evaluaciones.</t>
  </si>
  <si>
    <t>* c) Garantizar la seguridad a la que tienen derecho.</t>
  </si>
  <si>
    <t>d) Separarlos de su ámbito familiar iatrogénico.</t>
  </si>
  <si>
    <t>a) Distribución etárea, niveles de ingreso y distribución geográfica.</t>
  </si>
  <si>
    <t>b) Defunciones, fecundidad e inmigración.</t>
  </si>
  <si>
    <t>* c) Edad, sexo y nivel de instrucción.</t>
  </si>
  <si>
    <t>d) Mortalidad, natalidad y migración.</t>
  </si>
  <si>
    <t>a) Bruta.</t>
  </si>
  <si>
    <t>b) Específica.</t>
  </si>
  <si>
    <t>* c) Incidencia.</t>
  </si>
  <si>
    <t>d) Prevalencia.</t>
  </si>
  <si>
    <t>a) Redimensionar los datos inespecíficos surgidos de la entrevista.</t>
  </si>
  <si>
    <t>b) Reconstruir la historia laboral para su futura reinserción.</t>
  </si>
  <si>
    <t>c) Reflexionar sobre los aspectos cualitativos del sujeto.</t>
  </si>
  <si>
    <t>* d) Relacionar acontecimientos del presente con una revisión del pasado.</t>
  </si>
  <si>
    <t>a) La idea de un marco teórico apolítico-amoral</t>
  </si>
  <si>
    <t>* b) La pretención de una racionalidad técnico-burocrática.</t>
  </si>
  <si>
    <t>c) El sentido de beneficiencia compensatorio-complementario.</t>
  </si>
  <si>
    <t>d) El valor de la competitividad curricular-formativa</t>
  </si>
  <si>
    <t>a) Endogenista.</t>
  </si>
  <si>
    <t>b) Focalizada.</t>
  </si>
  <si>
    <t>c) Fragmentaria.</t>
  </si>
  <si>
    <t>* d) Residual.</t>
  </si>
  <si>
    <t>* a) El cambio de valores y la necesidad de un nuevo contrato entre Estado y ciudadanos.</t>
  </si>
  <si>
    <t>b) El enfrentamiento racial y la necesidad de acuerdos de integración interraciales.</t>
  </si>
  <si>
    <t>a) Dialéctica, crítica y progresista.</t>
  </si>
  <si>
    <t>b) Singular, particular y universal.</t>
  </si>
  <si>
    <t>c) Retrógrada , hegemómica y conservadora.</t>
  </si>
  <si>
    <t>* d) Universalista, ahistórica y naturalizadora.</t>
  </si>
  <si>
    <t>* a) Etnográfico.</t>
  </si>
  <si>
    <t>b) Internalista.</t>
  </si>
  <si>
    <t>c) De grupo control.</t>
  </si>
  <si>
    <t>d) Topográfico.</t>
  </si>
  <si>
    <t>a) Demandas desmedidas.</t>
  </si>
  <si>
    <t>b) Exigencias básicas.</t>
  </si>
  <si>
    <t>* c) Necesidades legítimas.</t>
  </si>
  <si>
    <t>d) Protección de la vulnerabilidad.</t>
  </si>
  <si>
    <t>a) La idea del marxismo hegeliano y el movimiento anarquista.</t>
  </si>
  <si>
    <t>* b) El movimiento higienista de las corrientes filantrópicas del siglo XIX.</t>
  </si>
  <si>
    <t>c) El seno de la revolución burguesa del siglo XVII y la caída del régimen monárquico.</t>
  </si>
  <si>
    <t>d) Las encíclicas de la Iglesia Católica progresista del principio del siglo XX</t>
  </si>
  <si>
    <t>a) A anónimos poderes continentes.</t>
  </si>
  <si>
    <t>* b) A compromisos de presencia.</t>
  </si>
  <si>
    <t>c) A la noción de desanclaje.</t>
  </si>
  <si>
    <t>d) A sistemas localizados.</t>
  </si>
  <si>
    <t>a) El ethos.</t>
  </si>
  <si>
    <t>b) El existencialismo.</t>
  </si>
  <si>
    <t>c) La noción de anclaje.</t>
  </si>
  <si>
    <t>* d) La seguridad ontológica.</t>
  </si>
  <si>
    <t>a) Aceptación institucional.</t>
  </si>
  <si>
    <t>* b) Medición múltiple.</t>
  </si>
  <si>
    <t>c) Presupuesto equilibrado.</t>
  </si>
  <si>
    <t>d) Validez de la eficiencia</t>
  </si>
  <si>
    <t>b) La esperanza de tener protección social referente a la habitación y el alimento.</t>
  </si>
  <si>
    <t>c) La percepción de mantener las redes sociales y la obra social.</t>
  </si>
  <si>
    <t>a) La beneficencia.</t>
  </si>
  <si>
    <t>b) El estado.</t>
  </si>
  <si>
    <t>* c) La familia.</t>
  </si>
  <si>
    <t>d) La iglesia.</t>
  </si>
  <si>
    <t>* a) Aprender a vivir con la soledad.</t>
  </si>
  <si>
    <t>b) Oportunidad de desarrollar los proyectos postergados.</t>
  </si>
  <si>
    <t>c) Posibilidad de cambiar los grupos sociales de interacción.</t>
  </si>
  <si>
    <t>d) Utilizar el mayor tiempo del que se dispone.</t>
  </si>
  <si>
    <t>a) Contenedor.</t>
  </si>
  <si>
    <t>* b) Invisible.</t>
  </si>
  <si>
    <t>c) Moderado.</t>
  </si>
  <si>
    <t>d) Sensible.</t>
  </si>
  <si>
    <t>a) Delimitación de poder y determinación de roles.</t>
  </si>
  <si>
    <t>b) Elección de representantes y clarificación de rangos.</t>
  </si>
  <si>
    <t>c) Esclarecimiento y capacitación.</t>
  </si>
  <si>
    <t>* d) Promoción y potenciamiento.</t>
  </si>
  <si>
    <t>* a) Intuición y emoción.</t>
  </si>
  <si>
    <t>b) Normas y poder.</t>
  </si>
  <si>
    <t>c) Razón y método.</t>
  </si>
  <si>
    <t>d) Teoría y datos concretos.</t>
  </si>
  <si>
    <t>* a) En reinsertar.</t>
  </si>
  <si>
    <t>b) En reconstruir.</t>
  </si>
  <si>
    <t>c) En recrear.</t>
  </si>
  <si>
    <t>d) En restituir.</t>
  </si>
  <si>
    <t>a) El de la contención familiar.</t>
  </si>
  <si>
    <t>b) El de la internación domiciliaria.</t>
  </si>
  <si>
    <t>* c) El de la reducción de daño.</t>
  </si>
  <si>
    <t>d) El de la sanción judicial.</t>
  </si>
  <si>
    <t>a) Articulación- superposición.</t>
  </si>
  <si>
    <t>b) Complementación-competencia.</t>
  </si>
  <si>
    <t>* c) Rivalidad- colaboración.</t>
  </si>
  <si>
    <t>d) Subsidiariedad-prescindencia.</t>
  </si>
  <si>
    <t>a) El ecléptico.</t>
  </si>
  <si>
    <t>b) El específico.</t>
  </si>
  <si>
    <t>c) El constructivo.</t>
  </si>
  <si>
    <t>* d) El significativo.</t>
  </si>
  <si>
    <t>a) Actitudes regresivas.</t>
  </si>
  <si>
    <t>b) Escenas temidas.</t>
  </si>
  <si>
    <t>c) Medidas estructurales.</t>
  </si>
  <si>
    <t>* d) Situaciones transferenciales.</t>
  </si>
  <si>
    <t>a) De desarrollos científicos.</t>
  </si>
  <si>
    <t>* b) De intercambios relacionales.</t>
  </si>
  <si>
    <t>c) De investigaciones continuas y sostenidas.</t>
  </si>
  <si>
    <t>d) De la relación con fenómenos naturales.</t>
  </si>
  <si>
    <t>a) La de atención flotante y operativización efectiva.</t>
  </si>
  <si>
    <t>b) La de evaluar con indicadores cualitativos y realizar análisis apropiados.</t>
  </si>
  <si>
    <t>* c) La de funcionamiento intra subjetivo e inter subjetivo.</t>
  </si>
  <si>
    <t>d) La de observación permanente y articulación con la vida cotidiana.</t>
  </si>
  <si>
    <t>a) El castigo.</t>
  </si>
  <si>
    <t>* b) La custodia.</t>
  </si>
  <si>
    <t>c) La promoción de la salud.</t>
  </si>
  <si>
    <t>d) La rehabilitación.</t>
  </si>
  <si>
    <t>* a) Campo.</t>
  </si>
  <si>
    <t>b) Encuadre.</t>
  </si>
  <si>
    <t>c) Operacionalización.</t>
  </si>
  <si>
    <t>d) Relato.</t>
  </si>
  <si>
    <t>a) Aplicar metodologías concretas.</t>
  </si>
  <si>
    <t>b) Comprobar hipótesis de intervenciones.</t>
  </si>
  <si>
    <t>c) Evaluar el proceso grupal.</t>
  </si>
  <si>
    <t>* d) Realizar análisis exaustivos.</t>
  </si>
  <si>
    <t>a) El de la convergencia.</t>
  </si>
  <si>
    <t>b) El de las islas.</t>
  </si>
  <si>
    <t>* c) El de la pirámide.</t>
  </si>
  <si>
    <t>d) El de la transferencia.</t>
  </si>
  <si>
    <t>a) Autogestivo.</t>
  </si>
  <si>
    <t>b) Convencional.</t>
  </si>
  <si>
    <t>c) Espontáneo.</t>
  </si>
  <si>
    <t>* d) Externo.</t>
  </si>
  <si>
    <t>a) Con la distribución del poder hegemónico.</t>
  </si>
  <si>
    <t>b) Con educación sobre los derechos de la población.</t>
  </si>
  <si>
    <t>c) Mediante elecciones democráticas.</t>
  </si>
  <si>
    <t>* d) A partir de heterogeneidades democráticas.</t>
  </si>
  <si>
    <t>a) En el análisis de los recursos disponibles.</t>
  </si>
  <si>
    <t>* b) En el diagnóstico y la trayectoria.</t>
  </si>
  <si>
    <t>c) En la imagen objetivo y el impacto.</t>
  </si>
  <si>
    <t>d) En las necesidades de la población definida.</t>
  </si>
  <si>
    <t>a) La convergencia.</t>
  </si>
  <si>
    <t>* b) Las debilidades.</t>
  </si>
  <si>
    <t>c) Los errores.</t>
  </si>
  <si>
    <t>d) La estructuración.</t>
  </si>
  <si>
    <t>a) Autodesarrollo inmanente de la estructura.</t>
  </si>
  <si>
    <t>b) Causalidad de diversos fenómenos.</t>
  </si>
  <si>
    <t>* c) Conflicto y competencia.</t>
  </si>
  <si>
    <t>d) Equilibrio y sustentabilidad.</t>
  </si>
  <si>
    <t>* a) A la de aparato.</t>
  </si>
  <si>
    <t>b) A la de estructura.</t>
  </si>
  <si>
    <t>c) A la de distribución.</t>
  </si>
  <si>
    <t>d) A la de sistema.</t>
  </si>
  <si>
    <t>a) Indiscriminación.</t>
  </si>
  <si>
    <t>b) Pre-tarea.</t>
  </si>
  <si>
    <t>c) Proyecto.</t>
  </si>
  <si>
    <t>* d) Tarea.</t>
  </si>
  <si>
    <t>a) Estructurales.</t>
  </si>
  <si>
    <t>* b) Formales.</t>
  </si>
  <si>
    <t>c) Funcionales.</t>
  </si>
  <si>
    <t>d) Sociales.</t>
  </si>
  <si>
    <t>a) Agresividad latente y situación económica.</t>
  </si>
  <si>
    <t>b) Composición familiar y situación contextual.</t>
  </si>
  <si>
    <t>* c) Gravedad del daño y nivel de riesgo.</t>
  </si>
  <si>
    <t>d) Vínculos afectivos y peligrosidad.</t>
  </si>
  <si>
    <t>a) A la ciencia.</t>
  </si>
  <si>
    <t>* b) A la disciplina.</t>
  </si>
  <si>
    <t>c) A la interdisciplina.</t>
  </si>
  <si>
    <t>d) A la teoría.</t>
  </si>
  <si>
    <t>a) El conocimiento de la ideología del investigador.</t>
  </si>
  <si>
    <t>* b) El descubrimiento de nuevas relaciones y conceptos.</t>
  </si>
  <si>
    <t>c) La refutación de hipótesis previamente establecidas.</t>
  </si>
  <si>
    <t>d) La reconstrucción de los procesos de conocimiento</t>
  </si>
  <si>
    <t>a) Interviniente.</t>
  </si>
  <si>
    <t>b) Dependiente.</t>
  </si>
  <si>
    <t>* c) Independiente.</t>
  </si>
  <si>
    <t>d) Ponderada.</t>
  </si>
  <si>
    <t>a) Independiente.</t>
  </si>
  <si>
    <t>b) Relacional.</t>
  </si>
  <si>
    <t>c) Interviniente.</t>
  </si>
  <si>
    <t>* d) Dependiente.</t>
  </si>
  <si>
    <t>* a) Dependiente.</t>
  </si>
  <si>
    <t>b) Independiente.</t>
  </si>
  <si>
    <t>c) Ponderada.</t>
  </si>
  <si>
    <t>d) Relacional.</t>
  </si>
  <si>
    <t>a) Dependiente.</t>
  </si>
  <si>
    <t>* c) Interviniente.</t>
  </si>
  <si>
    <t>* a) No esta permitida en ningún caso.</t>
  </si>
  <si>
    <t>b) Esta permitida entre países limítrofes.</t>
  </si>
  <si>
    <t>c) Esta permitida para niños mayores de 6 años.</t>
  </si>
  <si>
    <t>d) Esta permitida en todos los casos.</t>
  </si>
  <si>
    <t>a) A la madre.</t>
  </si>
  <si>
    <t>b) Al padre.</t>
  </si>
  <si>
    <t>* c) A ambos padres.</t>
  </si>
  <si>
    <t>d) Al Estado.</t>
  </si>
  <si>
    <t>a) Solicitud de familiares, vecinos y allegados.</t>
  </si>
  <si>
    <t>b) Pedido del empleador de Juan.</t>
  </si>
  <si>
    <t>c) Persuasión, violencia o castigo</t>
  </si>
  <si>
    <t>* d) Voluntario, involuntario, o por orden judicial</t>
  </si>
  <si>
    <t>* a) Albergarlo en establecimientos de Promoción Social.</t>
  </si>
  <si>
    <t>b) Derivarlo a un Hospital General de Agudos.</t>
  </si>
  <si>
    <t>c) Otorgar el alta con seguimientos períodicos.</t>
  </si>
  <si>
    <t>d) Prolongar la internación en la institución.</t>
  </si>
  <si>
    <t>a) Requerir una maestra domiciliaria.</t>
  </si>
  <si>
    <t>* b) Requerir a su cobertura social un transporte especial.</t>
  </si>
  <si>
    <t>c) Requerir que la escuela provea el transporte.</t>
  </si>
  <si>
    <t>d) Tramitar el pase a una institución educativa mas cercana.</t>
  </si>
  <si>
    <t>a) Una asignación por escolaridad equivalente a la que percibe por su hijo de 12 años.</t>
  </si>
  <si>
    <t>b) Ninguna asignación porque su hijo discapacitado tiene mas de 21 años.</t>
  </si>
  <si>
    <t>b) Jornada laboral con horario reducido para complementar su rehabilitación.</t>
  </si>
  <si>
    <t>* c) Los mismos derechos y obligaciones que sus compañeros no discapacitados.</t>
  </si>
  <si>
    <t>* b) Le brinda asesoramiento y provee el método.</t>
  </si>
  <si>
    <t>d) Le niega el asesoramiento y la provisión del método por el mal estado de su DNI.</t>
  </si>
  <si>
    <t>a) Adolescentes.</t>
  </si>
  <si>
    <t>b) Mujeres mayores de 21 años.</t>
  </si>
  <si>
    <t>c) Población con domicilio en el área de responsabilidad del Centro de Salud.</t>
  </si>
  <si>
    <t>* d) Población en general, especialmente las personas en edad fértil.</t>
  </si>
  <si>
    <t>a) No esta casada legalmente.</t>
  </si>
  <si>
    <t>b) Carece de la edad necesaria.</t>
  </si>
  <si>
    <t>* c) No puede adoptar a sus hermanos o medio hermanos.</t>
  </si>
  <si>
    <t>d) Sus ingresos económicos no son estables.</t>
  </si>
  <si>
    <t>* a) Sólo podrán concretar la adopción si estan casados legalmente desde hace 3 años.</t>
  </si>
  <si>
    <t>b) Deberán comprobar la infertilidad de ambos.</t>
  </si>
  <si>
    <t>c) Podrán adoptar un bebé porque son personas mayores de 21 años.</t>
  </si>
  <si>
    <t>a) Ellos mismos si se encuentran emancipados.</t>
  </si>
  <si>
    <t>b) Ellos mismos aún cuando no se encontraran emancipados.</t>
  </si>
  <si>
    <t>* c) Sus padres o tutores.</t>
  </si>
  <si>
    <t>d) El ministerio público.</t>
  </si>
  <si>
    <t>a) La conveniencia de pedir un aumento en la cuota de alimentos para su hijo.</t>
  </si>
  <si>
    <t>* b) Su derecho a ser asistida por su ex marido.</t>
  </si>
  <si>
    <t>c) Su derecho a recibir una ayuda económica estatal.</t>
  </si>
  <si>
    <t>d) La posibilidad de ortorgar al padre la tenencia de su hijo para aliviar sus gastos.</t>
  </si>
  <si>
    <t>a) LLamado de atención o advertencia en presencia de la Comisión Directiva.</t>
  </si>
  <si>
    <t>* b) Cambio del area de desempeñp profesional.</t>
  </si>
  <si>
    <t>c) Multa.</t>
  </si>
  <si>
    <t>d) Suspensión.</t>
  </si>
  <si>
    <t>a) Asesorarla sobre su derecho a recibir asistencia adecuada.</t>
  </si>
  <si>
    <t>b) Informar a la mujer sobre el carácter infecto contagioso del virus.</t>
  </si>
  <si>
    <t>c) Notificar dentro de 48 horas a la autoridad sanitaria correspondiente.</t>
  </si>
  <si>
    <t>* d) Prescribir las pruebas diagnósticas a la pareja.</t>
  </si>
  <si>
    <t>a) Informar sobre los factores de riesgo de adquirir el virus.</t>
  </si>
  <si>
    <t>b) Explicar en qué consiste el tratamiento de la enfermedad.</t>
  </si>
  <si>
    <t>c) Pedir la autorización personal o escrita de los padres o responsables.</t>
  </si>
  <si>
    <t>* d) Solicitar consentimiento y asegurar confidencialidad.</t>
  </si>
  <si>
    <t>a) A la Asesoría Tutelar de Menores e Incapaces del Gobierno de la Ciudad.</t>
  </si>
  <si>
    <t>c) Al Consejo Nacional del Niño, el Adolescente y la Familia.</t>
  </si>
  <si>
    <t>d) A la seccional policial que corresponde a la jurisdicción del hospital.</t>
  </si>
  <si>
    <t>c) La separación permanente de los niños de su familia nuclear y su institucionalización.</t>
  </si>
  <si>
    <t>a) Brindar al agresor asistencia médica psicológica gratuita.</t>
  </si>
  <si>
    <t>b) Convocar a las partes a una audiencia de mediación.</t>
  </si>
  <si>
    <t>c) Instar a las partes a asistir a programas educativos o terapéuticas.</t>
  </si>
  <si>
    <t>* d) Ordenar la exclusión del agresor de la vivienda donde habita la víctima.</t>
  </si>
  <si>
    <t>* a) Efectuar la denuncia pública correspondiente.</t>
  </si>
  <si>
    <t>b) Contactarse con algun familiar o referente adulto de la niña.</t>
  </si>
  <si>
    <t>c) Elevar nota al Distrito Escolar zonal comunicando la situación.</t>
  </si>
  <si>
    <t>b) Controlar el horario de llegada de los residentes de su especialidad.</t>
  </si>
  <si>
    <t>d) Realizar tareas asistenciales en las areas de inserción que dispoga el jefe del Servicio.</t>
  </si>
  <si>
    <t>a) 10 días hábiles.</t>
  </si>
  <si>
    <t>b) 20 días corridos.</t>
  </si>
  <si>
    <t>* c) 15 días hábiles.</t>
  </si>
  <si>
    <t>d) Los que se acuerden con el jefe de residentes.</t>
  </si>
  <si>
    <t>a) Si la familia del procesado se hace cargo y se compromete con un tratamiento familiar.</t>
  </si>
  <si>
    <t>b) Si el procesado no tuviera antecedentes penales.</t>
  </si>
  <si>
    <t>a) El cuerpo médico forense.</t>
  </si>
  <si>
    <t>b) La Dirección del Hospital.</t>
  </si>
  <si>
    <t>c) La Jefatura del Servicio de Internación.</t>
  </si>
  <si>
    <t>* d) El Ministerio de Menores e Incapaces.</t>
  </si>
  <si>
    <t>a) A los abuelos de ambos lados</t>
  </si>
  <si>
    <t>b) A quien el Juez disponga</t>
  </si>
  <si>
    <t>c) Al progenitor que tiene la tenencia</t>
  </si>
  <si>
    <t>* d) Siempre a ambos padres</t>
  </si>
  <si>
    <t>a) Resolverá hacer responsable a la comunidad religiosa del bienestar del joven.</t>
  </si>
  <si>
    <t>c) Resolverá según lo manifestado por el joven, previa entrevista con el mismo.</t>
  </si>
  <si>
    <t>d) Transferirá la decisión a los abuelos del joven en caso de que exista la familia ampliada.</t>
  </si>
  <si>
    <t>a) Denunciar a los padres al Consejo de Derechos.</t>
  </si>
  <si>
    <t>* b) Incorporar a la familia a un programa alimentario.</t>
  </si>
  <si>
    <t>c) Otorgar la guarda del niño a otro familiar con mayores recursos.</t>
  </si>
  <si>
    <t>d) Ubicar al niño en un hogar sustituto.</t>
  </si>
  <si>
    <t>a) Derivarlo al Servicio Social del Hospital con la finalidad que se le informe.</t>
  </si>
  <si>
    <t>b) Indicar al interesado el procedimiento administrativo para efectuar dicha solicitud.</t>
  </si>
  <si>
    <t>c) Informar fehacientemente la situación a la pareja de la mujer.</t>
  </si>
  <si>
    <t>* d) Presevar la información y solicitar a la paciente su opinión al respecto.</t>
  </si>
  <si>
    <t>a) Acceder a la petición de la familia de no confirmar el diagnóstico al paciente</t>
  </si>
  <si>
    <t>b) Comunicar al paciente un diagnóstico que no explicite la gravedad del cuadro</t>
  </si>
  <si>
    <t>c) Sugerir a la familia la importancia de que pueden transmitir ellos mismos el diagnóstico</t>
  </si>
  <si>
    <t>* d) Tomar los recaudos pertinentes y comunicar el diagnóstico al paciente</t>
  </si>
  <si>
    <t>* a) Con algún problema por resolver.</t>
  </si>
  <si>
    <t>b) Delimitación del universo a estudiar.</t>
  </si>
  <si>
    <t>c) Encuestas a actores sociales.</t>
  </si>
  <si>
    <t>d) Explicitación de un marco teórico.</t>
  </si>
  <si>
    <t>* a) Dato.</t>
  </si>
  <si>
    <t>b) Indicador.</t>
  </si>
  <si>
    <t>c) Muestra.</t>
  </si>
  <si>
    <t>d) Variable.</t>
  </si>
  <si>
    <t>a) De la asimetría que genera el saber estimular al otro</t>
  </si>
  <si>
    <t>b) De la habilidad del entrevistador para interpretar las necesidades del entrevistado</t>
  </si>
  <si>
    <t>* c) De una relación recíproca basada en una vinculación horizontal</t>
  </si>
  <si>
    <t>d) De las relaciones amistosas generadas en la interacción</t>
  </si>
  <si>
    <t>a) Acordar horarios en forma telefónica.</t>
  </si>
  <si>
    <t>b) Establecer diversidad de horarios de inicio y finalización de las entrevistas.</t>
  </si>
  <si>
    <t>* c) Evitar mirar de frente al entrevistado.</t>
  </si>
  <si>
    <t>d) Interesarse en las problemáticas de los acompañantes.</t>
  </si>
  <si>
    <t>a) La comodidad proporcionada por el encuadre.</t>
  </si>
  <si>
    <t>b) La confiabilidad institucional.</t>
  </si>
  <si>
    <t>* c) La relación personal con los informantes.</t>
  </si>
  <si>
    <t>d) La tendencia a la fabulación.</t>
  </si>
  <si>
    <t>* a) Cerrar la posibilidad de analizar y comprender una relación coproducida socialmente.</t>
  </si>
  <si>
    <t>b) Facilitar el fenómeno de transferencia que obstaculiza el desarrollo de la entrevista.</t>
  </si>
  <si>
    <t>c) Obturar la posibilidad de rapport, indispensable para la mejor producción de la entrevista.</t>
  </si>
  <si>
    <t>d) Promover una relación que desvie el foco central de la entrevista.</t>
  </si>
  <si>
    <t>a) Defensa de los derechos del individuo.</t>
  </si>
  <si>
    <t>b) Intervenciones adecuadas según las necesidades.</t>
  </si>
  <si>
    <t>c) Satisfacción integral del usuario.</t>
  </si>
  <si>
    <t>* d) Sociabilidad esencial de la persona.</t>
  </si>
  <si>
    <t>a) Analítica e instrumental metodológica.</t>
  </si>
  <si>
    <t>b) Diagnóstica y global evaluativa.</t>
  </si>
  <si>
    <t>* c) Técnica y proceso de interacción social.</t>
  </si>
  <si>
    <t>d) Valoración y construcción social.</t>
  </si>
  <si>
    <t>a) Elucidaciones.</t>
  </si>
  <si>
    <t>b) Multireferencias.</t>
  </si>
  <si>
    <t>* c) Símbolos .</t>
  </si>
  <si>
    <t>d) Trasculturaciones.</t>
  </si>
  <si>
    <t>a) A las dificultades económicas para afrontar el pago de cuidadores</t>
  </si>
  <si>
    <t>b) Al desarraigo de los familiares en la sociedad moderna</t>
  </si>
  <si>
    <t>c) A la escacez de espacios que tienen actualmente las viviendas</t>
  </si>
  <si>
    <t>* d) A la percepción de la carga que supone su cuidado</t>
  </si>
  <si>
    <t>a) Anamnesis.</t>
  </si>
  <si>
    <t>b) Determinación de la intervención.</t>
  </si>
  <si>
    <t>c) Diagnóstico del caso.</t>
  </si>
  <si>
    <t>* d) Validación de la situación.</t>
  </si>
  <si>
    <t>a) Un instrumento de exploración</t>
  </si>
  <si>
    <t>b) Una herramienta del poder médico</t>
  </si>
  <si>
    <t>c) Un objeto de dominación</t>
  </si>
  <si>
    <t>* d) Una realidad biopolítica</t>
  </si>
  <si>
    <t>* a) Dialógica reflexiva.</t>
  </si>
  <si>
    <t>b) Focalizada programática.</t>
  </si>
  <si>
    <t>c) Estructurada prepautada.</t>
  </si>
  <si>
    <t>d) Directiva manifiesta.</t>
  </si>
  <si>
    <t>a) Comunicación- estructura- cordinación</t>
  </si>
  <si>
    <t>* b) Personas- tiempo- espacio</t>
  </si>
  <si>
    <t>c) Planificación- registro- evaluación</t>
  </si>
  <si>
    <t>d) Tarea- tiempo- roles</t>
  </si>
  <si>
    <t>a) Emocional.</t>
  </si>
  <si>
    <t>b) Institucional.</t>
  </si>
  <si>
    <t>* c) Relacional.</t>
  </si>
  <si>
    <t>d) Subjetivo.</t>
  </si>
  <si>
    <t>a) Familiar y material.</t>
  </si>
  <si>
    <t>* b) Humano y social.</t>
  </si>
  <si>
    <t>c) Laboral y comunitario.</t>
  </si>
  <si>
    <t>d) Relacional y afectivo.</t>
  </si>
  <si>
    <t>a) Alianza</t>
  </si>
  <si>
    <t>b) Apoyo solidario</t>
  </si>
  <si>
    <t>* c) Red social</t>
  </si>
  <si>
    <t>d) Vínculo comunitario</t>
  </si>
  <si>
    <t>a) La instrucción y el grado de parentesco.</t>
  </si>
  <si>
    <t>b) La motivación y la capacidad individual.</t>
  </si>
  <si>
    <t>* c) El sexo y la edad.</t>
  </si>
  <si>
    <t>d) La voluntad y el compromiso.</t>
  </si>
  <si>
    <t>* a) Las basadas en las redes de parientes y vecinos donde se da el intercambio, la reciprocidad o ayuda mutua.</t>
  </si>
  <si>
    <t>b) Las ayudas espirituales y de recursos que proporcionan la Iglesia y los grupos evangélicos.</t>
  </si>
  <si>
    <t>c) La obtención de recursos fruto del trabajo no formal, la mendicidad o la recolección de cartones.</t>
  </si>
  <si>
    <t>d) Los soportes afectivos y sociales que proporciona la red de instituciones barriales y grupos comunitarios.</t>
  </si>
  <si>
    <t xml:space="preserve">Pregunta actual: </t>
  </si>
  <si>
    <t>* a) El cambio de valores y la necesidad de un nuevo contrato entre Estado y ciudadanos. b) El enfrentamiento racial y la necesidad de acuerdos de integración interraciales.</t>
  </si>
  <si>
    <t>* a) La capacidad para afrontar las pérdidas continuas y la disponibilidad de fuentes importantes de apoyo.</t>
  </si>
  <si>
    <t>d) La posibilidad de continuar realizando sus actividades laborales y sociales y mantener sus amistades.</t>
  </si>
  <si>
    <t>d) Ninguna asignación porque su hijo discapacitado no asiste a un establecimiento de enseñanza primaria.</t>
  </si>
  <si>
    <t>d) La misma cantidad de días de licencia ordinaria que el resto de sus compañeros, mas 5 días hábiles extra anuales.</t>
  </si>
  <si>
    <t>a) Dando intervención al Consejo de derechos de niñas niños y adolescentes de la Ciudad de Buenos Aires, por tratarse de una menor.</t>
  </si>
  <si>
    <t>b) Exige a la madre la iniciación del trámite del DNI del recién nacido como condición para otorgar el alta.</t>
  </si>
  <si>
    <t>* c) Le otorga el alta a la madre y al niño, pudiendo retirarse por sus propios medios sin un acompañante adulto.</t>
  </si>
  <si>
    <t>d) Prolonga su internación hasta tanto se presente algún integrante adulto de la familia de origen de la Madre.</t>
  </si>
  <si>
    <t>a) Le brinda asesoramiento pero no le entrega el método anticonceptivo, hasta tanto no tramite su nuevo DNI.</t>
  </si>
  <si>
    <t>c) Le solicita que concurra acompañada de un adulto responsable para brindarle el asesoramiento y la provisión del método.</t>
  </si>
  <si>
    <t>d) Solamente podrán adoptar un bebé si la trabajadora social confirma que cuentan con la solvencia económica para asumir la crianza.</t>
  </si>
  <si>
    <t>* b) Al Consejo de los Derechos de niñas, niños y adolescentes del Gobierno de la Ciudad de Buenos Aires.</t>
  </si>
  <si>
    <t>* a) La inclusión de los niños y la familia en programas destinados al fortalecimiento y apoyo familiar.</t>
  </si>
  <si>
    <t>b) La inclusión únicamente de los niños en algún comedor de su zona para atender la necesidad de alimentación.</t>
  </si>
  <si>
    <t>d) La separación transitoria de los niños de su medio familiar hasta que se solucione la problemática social.</t>
  </si>
  <si>
    <t>d) Solicitar la intervención de la seccional policial correspondiente a la jurisdicción del hospital.</t>
  </si>
  <si>
    <t>a) Contabilizar la cantidad de prestaciones realizadas por los residentes en el ámbito de sus respectivas rotaciones.</t>
  </si>
  <si>
    <t>* c) Organizar la actividad asistencial y docente de los residentes, según el programa y supervisar sus tareas.</t>
  </si>
  <si>
    <t>* c) Si el procesado no dependiera física o psíquicamente de estupefacientes por tratarse de un principiante o experimentador.</t>
  </si>
  <si>
    <t>d) Si el procesado no dependiera física o psíquicamente de estupefacientes aún siendo reincidente.</t>
  </si>
  <si>
    <t>a) Ordenar la inclusión del grupo familiar en un tratamiento integral comunicado sistemáticamente al Juzgado.</t>
  </si>
  <si>
    <t>* b) Someter al condenado a una medida de seguridad curativa por el tiempo necesario para su desintoxicación y rehabilitación.</t>
  </si>
  <si>
    <t>c) Someter al condenado a una medida de seguridad educativa en la forma y modo que judicialmente se determine.</t>
  </si>
  <si>
    <t>d) Someter al condenado a trabajos comunitarios en instituciones públicas hasta que muestre signos de rehabilitación.</t>
  </si>
  <si>
    <t>* b) Resolverá lo mas conveniente para el interés del hijo, previa audiencia de los padres con intervención del Ministerio Pupilar.</t>
  </si>
  <si>
    <t>c) Los movimientos migratorios mundiales y la importancia de contratos y acuerdos transnacionales.</t>
  </si>
  <si>
    <t>d) Las problemáticas ecológicas que trajeron aparejadas el resurgimiento de epidemias erradicadas.</t>
  </si>
  <si>
    <t>* c) Una asignación por escolaridad que duplique el monto de la asignación percibida por su otro hijo.</t>
  </si>
  <si>
    <t>a) Los mismos derechos y obligaciones que sus compañeros no discapacitados, más el 4 por ciento adicional sobre el total del sueldo anual complementario.</t>
  </si>
  <si>
    <t xml:space="preserve"> b) El enfrentamiento racial y la necesidad de acuerdos de integración interraciales.</t>
  </si>
  <si>
    <t>Pregunta</t>
  </si>
  <si>
    <t>Opción correcta</t>
  </si>
  <si>
    <t xml:space="preserve">Número de pregunta actual: </t>
  </si>
  <si>
    <t xml:space="preserve">Puntos: </t>
  </si>
  <si>
    <t xml:space="preserve">Respuesta actual: </t>
  </si>
  <si>
    <t>respuesta1</t>
  </si>
  <si>
    <t>respuesta2</t>
  </si>
  <si>
    <t>respuesta3</t>
  </si>
  <si>
    <t>respuesta4</t>
  </si>
  <si>
    <t>próxima pregunta</t>
  </si>
  <si>
    <t xml:space="preserve">a) Como estrategia judicial dilatoria. </t>
  </si>
  <si>
    <t xml:space="preserve">* d) Voluntario, involuntario, o por orden judicial </t>
  </si>
  <si>
    <t xml:space="preserve">b) Jornada laboral con horario reducido para complementar su rehabilitación. </t>
  </si>
  <si>
    <t xml:space="preserve">* a) La inclusión de los niños y la familia en programas destinados al fortalecimiento y apoyo familiar. </t>
  </si>
  <si>
    <t>número</t>
  </si>
  <si>
    <t>flag pregunta</t>
  </si>
  <si>
    <t>* a) En la base de todas las relaciones suceptibles de instaurarse en nuestra sociedad.</t>
  </si>
  <si>
    <t>b) En las relaciones basadas en los diferentes niveles de poder económico.</t>
  </si>
  <si>
    <t>c) En la totalidad de las relaciones entre personas de diferentes creencias religiosas.</t>
  </si>
  <si>
    <t>d) En las relaciones basadas en diferentes rangos en las instituciones de Salud Mental.</t>
  </si>
  <si>
    <t>a) No existen planes para la resocialización de toda la población de enfermos mentales.</t>
  </si>
  <si>
    <t>b) Gran parte de los familiares no estan dispuestos a colaborar con la externación.</t>
  </si>
  <si>
    <t>* c) El problema del trabajo de los miembros sanos no se haya enteramente resuelto.</t>
  </si>
  <si>
    <t>d) No pueden tener acceso a la educación esperable en la actualidad.</t>
  </si>
  <si>
    <t>* a) La de aparato.</t>
  </si>
  <si>
    <t>b) La de distribución.</t>
  </si>
  <si>
    <t>c) La de estructura.</t>
  </si>
  <si>
    <t>d) La de sistema.</t>
  </si>
  <si>
    <t>a) En el aumento de la distribución del poder.</t>
  </si>
  <si>
    <t>* b) En el disciplinamiento del cuerpo social.</t>
  </si>
  <si>
    <t>c) En el favorecimiento de la inclusión ciudadana.</t>
  </si>
  <si>
    <t>d) En el mejoramiento de la educación comunitaria.</t>
  </si>
  <si>
    <t>a) Desde el Capitalismo ortodoxo.</t>
  </si>
  <si>
    <t>* b) Desde el Darwinismo social.</t>
  </si>
  <si>
    <t>c) Desde el Marxismo clásico.</t>
  </si>
  <si>
    <t>d) Desde el Nacional socialismo.</t>
  </si>
  <si>
    <t>a) Dialéctico.</t>
  </si>
  <si>
    <t>b) Dinámico.</t>
  </si>
  <si>
    <t>* c) Reflexivo.</t>
  </si>
  <si>
    <t>d) Reproductivo.</t>
  </si>
  <si>
    <t>a) Aumentan la acción estatal sobre la marginalidad.</t>
  </si>
  <si>
    <t>b) Compensán las diferencias que favorecen las inequidades.</t>
  </si>
  <si>
    <t>* c) Pueden ponernos en el camino de la igualdad.</t>
  </si>
  <si>
    <t>d) Recuperan la contrucción de redes solidarias.</t>
  </si>
  <si>
    <t>* a) En el inconciente.</t>
  </si>
  <si>
    <t>b) En las percepciones.</t>
  </si>
  <si>
    <t>c) En los recuerdos.</t>
  </si>
  <si>
    <t>d) En los sentimientos.</t>
  </si>
  <si>
    <t>a) A la cuestión social.</t>
  </si>
  <si>
    <t>b) A las políticas de empleo.</t>
  </si>
  <si>
    <t>* c) A la política social.</t>
  </si>
  <si>
    <t>d) A la restitución de derechos.</t>
  </si>
  <si>
    <t>* a) Desposesión/ igualdad - libertad.</t>
  </si>
  <si>
    <t>b) Hegemonía/ mercado - estado.</t>
  </si>
  <si>
    <t>c) Pauperismo/ acumulación - capitalismo.</t>
  </si>
  <si>
    <t>d) Pobreza/ equidad - dependencia.</t>
  </si>
  <si>
    <t>a) La economía de la época.</t>
  </si>
  <si>
    <t>b) La estructura de los gremios.</t>
  </si>
  <si>
    <t>* c) La lucha de clases democrática.</t>
  </si>
  <si>
    <t>d) La organización de la nueva clase obrera.</t>
  </si>
  <si>
    <t>a) Estatal funcional.</t>
  </si>
  <si>
    <t>* b) Institucional redistributivo.</t>
  </si>
  <si>
    <t>c) Gubernamental focalizado.</t>
  </si>
  <si>
    <t>d) Programático universal.</t>
  </si>
  <si>
    <t>a) Económicos y educativos.</t>
  </si>
  <si>
    <t>b) Familiares e institucionales.</t>
  </si>
  <si>
    <t>* c) Instrumentales y emocionales.</t>
  </si>
  <si>
    <t>d) Juridico y afectivos.</t>
  </si>
  <si>
    <t>a) La facilidad de los progenitores para disponer de los bienes de sus hijos.</t>
  </si>
  <si>
    <t>* b) El grado que lo público esta presente en lo privado.</t>
  </si>
  <si>
    <t>c) El poder de los padres con referencia al casamiento de los hijos menores de 21 años.</t>
  </si>
  <si>
    <t>d) La posición liberal del traspaso de deudas privadas a públicas.</t>
  </si>
  <si>
    <t>* a) Constituyen fuerzas desocupadas.</t>
  </si>
  <si>
    <t>b) Disminuyen el nivel educativo de la sociedad.</t>
  </si>
  <si>
    <t>c) Demandan inversiones estatales en habitación y sustento.</t>
  </si>
  <si>
    <t>d) Pueden agruparse para delinquir.</t>
  </si>
  <si>
    <t>* a) Asignando un salario a las nodrizas.</t>
  </si>
  <si>
    <t>b) Creando guarderías rurales.</t>
  </si>
  <si>
    <t>c) Regulando las norma de atención a los recién nacidos.</t>
  </si>
  <si>
    <t>d) Subsidiando a las familias numerosas.</t>
  </si>
  <si>
    <t>a) Concéntricas.</t>
  </si>
  <si>
    <t>b) Estructuradas.</t>
  </si>
  <si>
    <t>* c) Muy fuertes.</t>
  </si>
  <si>
    <t>d) Poco vulnerables.</t>
  </si>
  <si>
    <t>a) Ambición, formación profesional, capital.</t>
  </si>
  <si>
    <t>* b) Edad, género, poder económico.</t>
  </si>
  <si>
    <t>c) Instrucción, parentesco, bienes de consumo.</t>
  </si>
  <si>
    <t>d) Sexo, condición de mando, capacidad de ahorro.</t>
  </si>
  <si>
    <t>a) Disfunción.</t>
  </si>
  <si>
    <t>b) Divergentes.</t>
  </si>
  <si>
    <t>* c) Emergentes.</t>
  </si>
  <si>
    <t>d) Transferencia.</t>
  </si>
  <si>
    <t>* a) Estructura vincular.</t>
  </si>
  <si>
    <t>b) Idea de grupo.</t>
  </si>
  <si>
    <t>c) Praxis grupal.</t>
  </si>
  <si>
    <t>d) Unidad doméstica.</t>
  </si>
  <si>
    <t>a) Generar las condiciones para que continuen con sus actividades sociales y mantengan sus amistades.</t>
  </si>
  <si>
    <t>* b) Intentar mantener o preservar el sentido de identidad individual y comunitario.</t>
  </si>
  <si>
    <t>c) Favorecer que el Estado satisfaga sus necesidades básicas.</t>
  </si>
  <si>
    <t>d) Proveer de cobertura para su atención médica y medicamentos.</t>
  </si>
  <si>
    <t>a) Cotidiano y solidario.</t>
  </si>
  <si>
    <t>b) Directo y contenedor.</t>
  </si>
  <si>
    <t>c) Específico y afectivo.</t>
  </si>
  <si>
    <t>* d) Instrumental y emocional.</t>
  </si>
  <si>
    <t>a) Espacio de confiabilidad para aumentar su seguridad.</t>
  </si>
  <si>
    <t>b) Potenciamiento de sus sentimientos de virilidad.</t>
  </si>
  <si>
    <t>* c) Principales fuentes de vulnerabilidad.</t>
  </si>
  <si>
    <t>d) Reforzamiento de los mandatos familiares.</t>
  </si>
  <si>
    <t>a) Acorde a la prevención de embarazo.</t>
  </si>
  <si>
    <t>b) Predominantemente ocasional.</t>
  </si>
  <si>
    <t>c) Relativamente frecuente.</t>
  </si>
  <si>
    <t>* d) Significativamente bajo.</t>
  </si>
  <si>
    <t>a) Adopción internacional de menores.</t>
  </si>
  <si>
    <t>b) Planificación familiar y procreación reponsable.</t>
  </si>
  <si>
    <t>* c) Restitución internacional de menores</t>
  </si>
  <si>
    <t>d) Utilización de los niños en conflictos armados.</t>
  </si>
  <si>
    <t>a) Asesorar sobre las organizaciones intermedias de atención en la zona que vive el niño.</t>
  </si>
  <si>
    <t>* b) Articular con los programas sociales establecidos por las políticas públicas.</t>
  </si>
  <si>
    <t>c) Derivar al Consejo de Niñas, Niños y Adolescentes para su inmediata intervención.</t>
  </si>
  <si>
    <t>d) Solicitar la intervención judicial en el fuero de familia.</t>
  </si>
  <si>
    <t>a) En caso que no pueda acreditar domicilio.</t>
  </si>
  <si>
    <t>b) En caso de que la madre sea extranjera.</t>
  </si>
  <si>
    <t>c) En caso de que la madre sea menor de edad.</t>
  </si>
  <si>
    <t>* d) En ningún caso.</t>
  </si>
  <si>
    <t>a) Delegar la decisión al sistema judicial.</t>
  </si>
  <si>
    <t>* b) Firmar la historia clínica y el alta voluntaria.</t>
  </si>
  <si>
    <t>c) Solicitar el traslado a otro efector público.</t>
  </si>
  <si>
    <t>d) Someterse igualmente al tratamiento indicado.</t>
  </si>
  <si>
    <t>a) Exclusivamente en el sub-sector público.</t>
  </si>
  <si>
    <t>b) Exclusivamente en el sub-sector de la seguridad social.</t>
  </si>
  <si>
    <t>* c) En el mas cercano de cualquiera de los sectores.</t>
  </si>
  <si>
    <t>d) Unicamente a través del Plan Médico de Cabecera.</t>
  </si>
  <si>
    <t>* a) Brindar asesoramiento sobre los métodos anticonceptivos y sus características.</t>
  </si>
  <si>
    <t>b) Indicar que concurra con un adulto responsable para poder ser atendido.</t>
  </si>
  <si>
    <t>c) Derivar al Hospital base para que consulte con profesionales especializados.</t>
  </si>
  <si>
    <t>d) Solicitar que concurra con su pareja para poder asesorarlos a ambos.</t>
  </si>
  <si>
    <t>a) Solicitar autorización por escrito de padre - madre o tutor para brindar la respectiva información.</t>
  </si>
  <si>
    <t>* b) Brindar información relacionada con la prevención y transmisión del virus VIH - SIDA.</t>
  </si>
  <si>
    <t>c) Derivar al médico obstetra para que le brinde toda la información correpondiente sobre el VIH - SIDA.</t>
  </si>
  <si>
    <t xml:space="preserve">d) Solicitar siempre la presencia de un adulto para tratar el tema de VIH - SIDA. </t>
  </si>
  <si>
    <t>a) Asociaciones Civiles organizadas a tal efecto.</t>
  </si>
  <si>
    <t>b) El Ministerio de Desarrollo Social Nacional.</t>
  </si>
  <si>
    <t>* c) El área de Promoción Social del GCBA.</t>
  </si>
  <si>
    <t>d) El área social de la Casa de la Provincia de Salta.</t>
  </si>
  <si>
    <t>a) La articulación con las Organizaciones no Gubernamentales.</t>
  </si>
  <si>
    <t>b) La internación como una modalidad de atención, cuando no sean posibles otro abordajes.</t>
  </si>
  <si>
    <t>c) La pluralidad de concepciones teóricas en Salud Mental.</t>
  </si>
  <si>
    <t>* d) Las políticas, técnicas y prácticas que tengan como fin el control social.</t>
  </si>
  <si>
    <t>* a) Que puede acceder a un transporte especial si ya cuenta con el certificado de discapacidad.</t>
  </si>
  <si>
    <t>b) Que solicite al médico tratante un informe para acceder al transporte especial que requiere.</t>
  </si>
  <si>
    <t>c) Que mediante informe social podrá suvencionarse el 50% del costo del traslado.</t>
  </si>
  <si>
    <t>d) Que existe la posibilidad de llegar a un acuerdo con SAME para que ponga a disposición una ambulancia para dichos traslados.</t>
  </si>
  <si>
    <t>a) Ascensores con señal sonora y botonera al alcance de personas en silla de ruedas.</t>
  </si>
  <si>
    <t>b) Carteleras indicadoras de todos los servicios que se brindan en el edificio exhibidas en sistema braile.</t>
  </si>
  <si>
    <t>* c) Instalaciones adecuadas para acceso de personas discapacitadas que utilicen sillas de ruedas.</t>
  </si>
  <si>
    <t>d) Personal capacitado e idoneo que domine el lenguaje de señas.</t>
  </si>
  <si>
    <t>a) Al día siguiente de la internación.</t>
  </si>
  <si>
    <t>b) Al momento del traslado a otra institución.</t>
  </si>
  <si>
    <t>* c) Cuando la internación supere los 20 días</t>
  </si>
  <si>
    <t>d) Cuando la familia firme el consentimiento informado.</t>
  </si>
  <si>
    <t>* a) Adecuada comunicación con el hijo.</t>
  </si>
  <si>
    <t>b) Contacto con la familia extensa paterna.</t>
  </si>
  <si>
    <t>c) Control de la salud del hijo.</t>
  </si>
  <si>
    <t>d) Conocimiento de las amistades del niño.</t>
  </si>
  <si>
    <t>a) Deberá contar con el consentimiento expreso de su madre para llevar a cabo la acción de impugnación.</t>
  </si>
  <si>
    <t>b) El registro en calidad de hija matrimonial es irrevocable</t>
  </si>
  <si>
    <t>* c) Realizar la acción de impugnación en cualquier tiempo.</t>
  </si>
  <si>
    <t>d) Solicitar la intervención de un Juez, para impugnar la paternidad , antes de cumplir los 21 años.</t>
  </si>
  <si>
    <t>a) Del 50% de los integrantes de la Asamblea.</t>
  </si>
  <si>
    <t>b) Del 15% de los matriculados a la fecha del llamado a elecciones</t>
  </si>
  <si>
    <t>* c) De no menos de 50 matriculados</t>
  </si>
  <si>
    <t>d) Del total de los miembros de la Comisión Directiva</t>
  </si>
  <si>
    <t>* a) Cualquiera de los cónyuges podrá peticionar el divorcio.</t>
  </si>
  <si>
    <t>b) No podrá iniciar acciones legales unilateralmente.</t>
  </si>
  <si>
    <t>c) Previamente deberá realizar una denuncia por abandono de hogar.</t>
  </si>
  <si>
    <t>d) Previo a toda tramitación se deberá solicitar una audiencia de mediación.</t>
  </si>
  <si>
    <t>* a) Alteraciones mentales graves de carácter permanente, alcoholismo o adicciones a la droga del otro cónyuge.</t>
  </si>
  <si>
    <t>b) Desorden general, inmoralidad o falta de medios económicos del otro cónyuge.</t>
  </si>
  <si>
    <t>c) Inestabilidad e inadecuación en el ejercicio de la patria potestad del otro cónyuge.</t>
  </si>
  <si>
    <t>d) Interrupción de la cohabitación por el término de tres meses de cualquier cónyuge.</t>
  </si>
  <si>
    <t>a) Con multa de 6.000 a 12.000 pesos</t>
  </si>
  <si>
    <t>b) Con multa de 2.000 a 5.000 pesos y reclusión de un año</t>
  </si>
  <si>
    <t>* c) Con prisión de seis meses a tres años</t>
  </si>
  <si>
    <t>d) Con obligación de trabajo comunitario por el término de un año</t>
  </si>
  <si>
    <t>a) A la paciente y su grupo familiar</t>
  </si>
  <si>
    <t>* b) A la paciente y a su curador oficial</t>
  </si>
  <si>
    <t>c) Solo a la paciente</t>
  </si>
  <si>
    <t>d) Solo al director del Hospital</t>
  </si>
  <si>
    <t>a) Informar al hijo sobre el diagnóstico.</t>
  </si>
  <si>
    <t>b) Informar a todo el grupo conviviente sobre el diagnóstico.</t>
  </si>
  <si>
    <t>c) Responsabilizar al equipo de psicopatología sobre la decisión de a quién informar.</t>
  </si>
  <si>
    <t>* d) Respetar el secreto médico.</t>
  </si>
  <si>
    <t>a) Asentar la denuncia en la Comisaría mas cercana a su domicilio.</t>
  </si>
  <si>
    <t>* b) Denunciar los hechos en forma verbal o escrita ante el Juez con competencia en asuntos de familia.</t>
  </si>
  <si>
    <t>c) Dirigirse a la Dirección General del Hospital con el informe social elaborado por la Trabajadora Social.</t>
  </si>
  <si>
    <t>d) Realizar una interconsulta con el equipo de Psicopatología debido a su estado nervioso.</t>
  </si>
  <si>
    <t>* a) Estar casados legalmente desde hace tres años.</t>
  </si>
  <si>
    <t>b) Deberán contar con la aprobación de la familia ampliada.</t>
  </si>
  <si>
    <t>c) Demostrar la madurez suficiente para asumir la crianza del niño mediante una entrevista psicológica.</t>
  </si>
  <si>
    <t>d) Confirmar mediante un informe socio-ambiental de un trabajador o trabajodora social que cuentan con la solvencia económica para asumir la crianza.</t>
  </si>
  <si>
    <t>a) No cuenta con una vivienda apropiada.</t>
  </si>
  <si>
    <t>b) No cumple en el momento con el requisito de la edad necesaria.</t>
  </si>
  <si>
    <t>c) No demuestra un ingreso económico estable.</t>
  </si>
  <si>
    <t xml:space="preserve">* d) No puede adoptar un hermano a sus hermanos o medio hermanos. </t>
  </si>
  <si>
    <t>a) Arreglo y extracción de piezas dentales.</t>
  </si>
  <si>
    <t>* b) Una atención integral.</t>
  </si>
  <si>
    <t>c) Unicamente técnicas quirúrgicas complejas.</t>
  </si>
  <si>
    <t>d) Solamente servicio de radiología domiciliaria.</t>
  </si>
  <si>
    <t>a) Debe acercarse al Consulado de su país para comenzar el tramite de documentación del menor.</t>
  </si>
  <si>
    <t>b) En el colegio deberían asesorarla para iniciar el tramite e incribirlo con la constancia del DNI en tramite.</t>
  </si>
  <si>
    <t>* c) En el colegio deben inscribir al niño tenga o no documento.</t>
  </si>
  <si>
    <t>d) Deberán inscribirlo provisoriamente y darle un plazo para tramitar el documento.</t>
  </si>
  <si>
    <t>a) Atenderla y una vez superada la situación que dió origen a la consulta darle el alta.</t>
  </si>
  <si>
    <t>b) Atenderla y denunciar la situación al juzgado de menores de turno.</t>
  </si>
  <si>
    <t>c) Atenderla y una vez resuelta la situación médica solicitar la intervención del Servicio Social donde se cita a los padres para que firmen el acuerdo de externación.</t>
  </si>
  <si>
    <t>* d) Garantizar la atención de la salud integral de la niña y notificar la situación a la Guardia Permanente de Abogados del Consejo de Derechos de Niños, Niñas y Adolescentes.</t>
  </si>
  <si>
    <t>a) Ante la falta de autorización formal de Nora, Morena no podrá vacunarse.</t>
  </si>
  <si>
    <t>* b) La inmunización es obligatoria en el ámbito escolar, no requiere consentimiento de Nora como adulto responsable del cuidado de Morena. Por lo tanto la niña puede vacunarse.</t>
  </si>
  <si>
    <t>c) La falta de autorización de Nora para la vacunación de Morena habilita recibir sólo alguna vacunas, no la de Hepatitis B.</t>
  </si>
  <si>
    <t xml:space="preserve">d) Morena podrá vacunarse para prevenir la Hepatitis B una vez cumplidos sus 14 años. </t>
  </si>
  <si>
    <t>a) Adoptar las estrategias de supervisión a las necesidades del supervisado y la población.</t>
  </si>
  <si>
    <t>* b) Criticar constructivamente en un proceso de retroalimentación permanente.</t>
  </si>
  <si>
    <t>c) Mantener continuamente el encuadre que da estabilidad y contención al supervisado.</t>
  </si>
  <si>
    <t>d) Potenciar la necesidad de capacitación del supervisado para elevarlo de nivel.</t>
  </si>
  <si>
    <t>a) De aprender a enseñar lo que se ha dominado.</t>
  </si>
  <si>
    <t>b) De comprender la situación sin ser totalmente capaz de manejarse en ella.</t>
  </si>
  <si>
    <t>* c) Del dominio positivo.</t>
  </si>
  <si>
    <t>d) De nadar o ahogarse.</t>
  </si>
  <si>
    <t>a) Emociones o afectos y la vinculación interpersonal entre individuos.</t>
  </si>
  <si>
    <t>b) Ideas o teorías y las construcciones entre paradigmas.</t>
  </si>
  <si>
    <t>c) Los usos o costumbres y las ideas de una época.</t>
  </si>
  <si>
    <t>* d) Representaciones o saberes y las relaciones entre los sujetos.</t>
  </si>
  <si>
    <t>a) Enseguida solucionaremos su situación . . .</t>
  </si>
  <si>
    <t>* b) Le pedí que viniera porque . . .</t>
  </si>
  <si>
    <t>c) ¿Que necesita que le consiga?</t>
  </si>
  <si>
    <t>d) ¿Porque no me cuenta todo desde el principio?</t>
  </si>
  <si>
    <t>a) En la base del método científico y su aplicación.</t>
  </si>
  <si>
    <t>* b) En el contexto social y en relación con los otros.</t>
  </si>
  <si>
    <t>c) En las experiencias comunitarias y su relación con lo formulado.</t>
  </si>
  <si>
    <t>d) En los trabajos realizados y su aprobación científica.</t>
  </si>
  <si>
    <t>a) Campos de disputas simbólicas.</t>
  </si>
  <si>
    <t>b) Cartografías sociales.</t>
  </si>
  <si>
    <t>* c) Espacios micro sociales.</t>
  </si>
  <si>
    <t>d) Campos de disputas simbólicas</t>
  </si>
  <si>
    <t>a) Colegios Científicos.</t>
  </si>
  <si>
    <t>b) Consejos Profesionales.</t>
  </si>
  <si>
    <t>c) Escuelas Teóricas.</t>
  </si>
  <si>
    <t>* d) Grupos de Consenso.</t>
  </si>
  <si>
    <t>* a) Analizar cómo es concebido ese otro en el escenario de la intervención.</t>
  </si>
  <si>
    <t>b) Escuchar la historia de vida para una devolución adecuada.</t>
  </si>
  <si>
    <t>c) Pensar como desarrolla el individuo su proceso de cambio.</t>
  </si>
  <si>
    <t>d) Reflexionar sobre la idiosincracia del usuario dentro de la institución.</t>
  </si>
  <si>
    <t>a) Planificación centralizada.</t>
  </si>
  <si>
    <t>b) Planificación participativa.</t>
  </si>
  <si>
    <t>* c) Programas como si.</t>
  </si>
  <si>
    <t>d) Programas enlatados.</t>
  </si>
  <si>
    <t>a) Acuerdo.</t>
  </si>
  <si>
    <t>* b) Contrato.</t>
  </si>
  <si>
    <t>c) Estructura.</t>
  </si>
  <si>
    <t>d) Pacto.</t>
  </si>
  <si>
    <t>a) Chivo emisario</t>
  </si>
  <si>
    <t>b) Lider</t>
  </si>
  <si>
    <t>* c) Portavoz</t>
  </si>
  <si>
    <t>d) Saboteador</t>
  </si>
  <si>
    <t>a) No formal.</t>
  </si>
  <si>
    <t>b) No estructurada.</t>
  </si>
  <si>
    <t>* c) No directiva.</t>
  </si>
  <si>
    <t>d) No establecida.</t>
  </si>
  <si>
    <t>a) Asociación difusa.</t>
  </si>
  <si>
    <t>* b) Atención flotante.</t>
  </si>
  <si>
    <t>c) Categorización inespecífica.</t>
  </si>
  <si>
    <t>d) Focalización general.</t>
  </si>
  <si>
    <t>* a) Como el compromiso de que los deseos o preferencias no distorsionen o interfieran en el trabajo.</t>
  </si>
  <si>
    <t>b) Como el proceso de racionalizar las emociones y direccionar la práctica profesional de acuerdo a las pautas culturales de los atendidos.</t>
  </si>
  <si>
    <t>c) Como la acción profesional de no permitir que nuetras prácticas se vean impactadas por los prejuicios.</t>
  </si>
  <si>
    <t>d) Como la actitud de no permitir que las propias emociones modifiquen las intervenciones institucionalizadas.</t>
  </si>
  <si>
    <t>a) Consolidación del encuadre.</t>
  </si>
  <si>
    <t>* b) Emergente de apertura.</t>
  </si>
  <si>
    <t>c) Fantasía grupal.</t>
  </si>
  <si>
    <t>d) Perfil del grupo.</t>
  </si>
  <si>
    <t>a) Autónomos.</t>
  </si>
  <si>
    <t>b) Desvinculados.</t>
  </si>
  <si>
    <t>c) Independientes.</t>
  </si>
  <si>
    <t>* d) Interdependientes.</t>
  </si>
  <si>
    <t>a) Análisis de variables combinadas.</t>
  </si>
  <si>
    <t>* b) Estrategias de selección secuencial.</t>
  </si>
  <si>
    <t>c) Organización analítica de datos secundarios.</t>
  </si>
  <si>
    <t>d) Operación de datos blandos.</t>
  </si>
  <si>
    <t>a) Aptitud vocacional, la virtud, eficiencia en el trabajo.</t>
  </si>
  <si>
    <t>* b) Cualidades personales, la vocación, la predisposición para el trabajo.</t>
  </si>
  <si>
    <t>c) Habilidades prácticas, idoneidad, ser proactivo.</t>
  </si>
  <si>
    <t>d) Valores morales, la fe, el compromiso con los pobres.</t>
  </si>
  <si>
    <t>* a) Un asunto de ajuste y de adaptación.</t>
  </si>
  <si>
    <t>b) Un atentado a la cohesión política y social.</t>
  </si>
  <si>
    <t>c) Una disputa de valores y sus símbolos culturales.</t>
  </si>
  <si>
    <t>d) Una problemática del individuo y su familia.</t>
  </si>
  <si>
    <t>* a) Concomitante</t>
  </si>
  <si>
    <t>b) Concurrente</t>
  </si>
  <si>
    <t>c) Específica</t>
  </si>
  <si>
    <t>d) Paralela</t>
  </si>
  <si>
    <t>a) Asociación</t>
  </si>
  <si>
    <t>b) Colaboración</t>
  </si>
  <si>
    <t>* c) Cooperación</t>
  </si>
  <si>
    <t>d) Reconocimiento</t>
  </si>
  <si>
    <t>a) Abstracto.</t>
  </si>
  <si>
    <t>* b) Cotidiano.</t>
  </si>
  <si>
    <t>c) Intelectual.</t>
  </si>
  <si>
    <t>d) Sentido común.</t>
  </si>
  <si>
    <t>a) Concentración excesiva de la riqueza.</t>
  </si>
  <si>
    <t>b) Contradicciones de la clase dominante.</t>
  </si>
  <si>
    <t>* c) Fragmentación del soporte salarial.</t>
  </si>
  <si>
    <t>d) Proletarización de la clase intelectual.</t>
  </si>
  <si>
    <t>* a) De la tranformación de conceptos y categorías.</t>
  </si>
  <si>
    <t>b) De la divergencia ideológica de los distintos colegas.</t>
  </si>
  <si>
    <t>c) De los soportes afectivos de las redes sociales.</t>
  </si>
  <si>
    <t>d) Del proceso de ruptura del estado de bienestar.</t>
  </si>
  <si>
    <t>a) La actitud crítica.</t>
  </si>
  <si>
    <t>b) La concientización.</t>
  </si>
  <si>
    <t>* c) La dialoguicidad.</t>
  </si>
  <si>
    <t>d) La cooperación.</t>
  </si>
  <si>
    <t>a) Los datos que hacen al diagnóstico de la situación.</t>
  </si>
  <si>
    <t>b) La información sobre el contexto de quien demanda.</t>
  </si>
  <si>
    <t>* c) Una interpretación respecto del problema.</t>
  </si>
  <si>
    <t>d) Los recursos psicológicos para el abordaje profesional.</t>
  </si>
  <si>
    <t>a) Conversación prolongada y amena.</t>
  </si>
  <si>
    <t>b) Entrevista en profundidad.</t>
  </si>
  <si>
    <t>c) Escucha atenta y flotante.</t>
  </si>
  <si>
    <t>* d) Observación experta y precisa.</t>
  </si>
  <si>
    <t>a) El análisis y la enumeración detallada de las alteraciones que producen los señalamientos sobre los individuos y sus familiares.</t>
  </si>
  <si>
    <t>* b) La descripción y reflexión de las modificaciones que se van produciendo en el entorno, en los sujetos y en el propio hacer.</t>
  </si>
  <si>
    <t>c) Los indicadores cuya valoración permiten apreciar la eficiencia de las acciones en los individuos y comunidades.</t>
  </si>
  <si>
    <t>d) La transferencia de conocimientos apreciados tanto por los grupos comunitarios como por los individuos en su privacidad.</t>
  </si>
  <si>
    <t>a) Estudio del caso.</t>
  </si>
  <si>
    <t>* b) Evaluación situacional.</t>
  </si>
  <si>
    <t>c) Juicio de diagnóstico.</t>
  </si>
  <si>
    <t>d) Primera entrevista.</t>
  </si>
  <si>
    <t>a) Un acercamiento</t>
  </si>
  <si>
    <t>* b) Un compromiso</t>
  </si>
  <si>
    <t>c) Un dilema</t>
  </si>
  <si>
    <t>d) Un esfuerzo</t>
  </si>
  <si>
    <t>* a) Al centro de salud.</t>
  </si>
  <si>
    <t>b) A su escuela.</t>
  </si>
  <si>
    <t>c) Al hospital general mas cercano.</t>
  </si>
  <si>
    <t>d) Al hospital especializado.</t>
  </si>
  <si>
    <t>a) El de la ampliación de la cultura médica.</t>
  </si>
  <si>
    <t>b) El de la capacitación permanente del equipo de salud.</t>
  </si>
  <si>
    <t>c) El de la distribución de la riqueza.</t>
  </si>
  <si>
    <t>* d) El de la solidaridad humana.</t>
  </si>
  <si>
    <t>a) Contextual familiar.</t>
  </si>
  <si>
    <t>b) Comunitaria intersectorial.</t>
  </si>
  <si>
    <t>c) Institucional social.</t>
  </si>
  <si>
    <t>* d) Social personal.</t>
  </si>
  <si>
    <t>a) Capacitar a los profesionales en los nuevos abordajes de tratamiento.</t>
  </si>
  <si>
    <t>b) Fomentar los tratamientos extramuro de los pacientes internados.</t>
  </si>
  <si>
    <t>* c) Otorgar a la persona internada un rol activo en el desarrollo del proceso.</t>
  </si>
  <si>
    <t>d) Realizar actividades grupales entre pacientes y profesionales.</t>
  </si>
  <si>
    <t>* a) El discurso del paciente.</t>
  </si>
  <si>
    <t>b) La capacitación permanente del equipo de salud.</t>
  </si>
  <si>
    <t>c) La lectura de indicadores como analfabetismo, mortalidad infantil y desocupación.</t>
  </si>
  <si>
    <t>d) La inversión per capita en las áreas geográficas.</t>
  </si>
  <si>
    <t>a) Para conocer y modificar los cambios de la desigualdad desde sus orígenes.</t>
  </si>
  <si>
    <t>b) Para favorecer la equidad en una sociedad que diferencia la salud de los pobres y los ricos.</t>
  </si>
  <si>
    <t>c) Para mejorar los indicadores de mortalidad infantil, materna y de desnutrición.</t>
  </si>
  <si>
    <t>* d) Para que la fuerza laboral prosiga su historia en la génesis de la riqueza.</t>
  </si>
  <si>
    <t>* a) En el desenvolvimiento de las estructuras urbanas.</t>
  </si>
  <si>
    <t>b) En la normatización de la profesión médica por parte del estado.</t>
  </si>
  <si>
    <t>c) En el desarrollo de la industria de los medicamentos.</t>
  </si>
  <si>
    <t>d) En el desarrollo económico de las alcaldías territoriales.</t>
  </si>
  <si>
    <t>a) La asistencia domiciliaria de los enfermos.</t>
  </si>
  <si>
    <t>* b) La experiencia hospitalaria.</t>
  </si>
  <si>
    <t>c) Las medidas de prevención y cuidado de la salud.</t>
  </si>
  <si>
    <t>d) El sentido del sacrificio y la caridad.</t>
  </si>
  <si>
    <t>a) Que la consultante tenga un desborde emocional.</t>
  </si>
  <si>
    <t>b) Que la paciente no pueda rearmar su vida afectiva.</t>
  </si>
  <si>
    <t>* c) Que la persona no vuelva a solicitar asistencia.</t>
  </si>
  <si>
    <t>d) Que la victima sea judicializada con el perjuicio correspondiente.</t>
  </si>
  <si>
    <t>a) Compensadoras.</t>
  </si>
  <si>
    <t>b) Dinámicas.</t>
  </si>
  <si>
    <t>* c) Específicas.</t>
  </si>
  <si>
    <t>d) Globales.</t>
  </si>
  <si>
    <t>a) Para identificar las bacterias como agentes invasores.</t>
  </si>
  <si>
    <t>* b) Para juzgar a la sociedad por su represividad.</t>
  </si>
  <si>
    <t>c) Para normatizar el tratamiento de las enfermedades.</t>
  </si>
  <si>
    <t>d) Para regular el desgobierno de las emociones.</t>
  </si>
  <si>
    <t>* a) A la abstención.</t>
  </si>
  <si>
    <t>b) A la articulación familiar.</t>
  </si>
  <si>
    <t>c) A la educación integral.</t>
  </si>
  <si>
    <t>d) A la recuperación.</t>
  </si>
  <si>
    <t>a) De aumentar las posibilidades de inserción comunitaria de las personas adictas.</t>
  </si>
  <si>
    <t>* b) De ayudar a las personas a que desarrollen sus prácticas en situaciones de menor riesgo.</t>
  </si>
  <si>
    <t>c) De disminuir el impacto con que las adicciones de los individuos afectan a la comunidad.</t>
  </si>
  <si>
    <t>d) De reducir el número de internaciones que se producen por casos graves de intoxicación.</t>
  </si>
  <si>
    <t>a) Anamnesis de la situación.</t>
  </si>
  <si>
    <t>b) Diagnóstico situacional.</t>
  </si>
  <si>
    <t>c) Intervención in situ.</t>
  </si>
  <si>
    <t>a) El que exija el médico tratante.</t>
  </si>
  <si>
    <t>b) El que determine el juzgado.</t>
  </si>
  <si>
    <t>* c) El menor posible.</t>
  </si>
  <si>
    <t>d) 15 días como mínimo.</t>
  </si>
  <si>
    <t>a) Contextual.</t>
  </si>
  <si>
    <t>d) Interviniente.</t>
  </si>
  <si>
    <t>* b) Dependiente.</t>
  </si>
  <si>
    <t>c) Independiente.</t>
  </si>
  <si>
    <t>a) Que habitualmente las investigaciones no siguen un procedimiento estipulado con anterioridad que les asegure rigurosidad.</t>
  </si>
  <si>
    <t>b) Que el investigador requiere de ayuda de diversos colegas para la recolección de datos los que contaminan la tarea.</t>
  </si>
  <si>
    <t>* c) Que la mirada viene filtrada a través de los lentes del lenguaje, del género, las clases sociales, la raza o la etnia.</t>
  </si>
  <si>
    <t>d) Que no se puede describir la influencia de las experiencias y enfoques del propio investigador.</t>
  </si>
  <si>
    <t>a) Analíticos.</t>
  </si>
  <si>
    <t>* b) Discrepantes.</t>
  </si>
  <si>
    <t>c) Etnográficos.</t>
  </si>
  <si>
    <t>d) Hipotéticos.</t>
  </si>
  <si>
    <t>* a) Aristocrático.</t>
  </si>
  <si>
    <t>b) Burocrático.</t>
  </si>
  <si>
    <t>c) Igualitario.</t>
  </si>
  <si>
    <t>d) Objetivo.</t>
  </si>
  <si>
    <t>a) Al encierro permanente.</t>
  </si>
  <si>
    <t>b) Al sentido común del médico que lo realiza.</t>
  </si>
  <si>
    <t>* c) Una pasividad considerada irreversible.</t>
  </si>
  <si>
    <t>d) Una realidad subvertida.</t>
  </si>
  <si>
    <t>a) Cualidades originales.</t>
  </si>
  <si>
    <t>b) Estructuras propias de los agentes.</t>
  </si>
  <si>
    <t>* c) Formas de capital específico.</t>
  </si>
  <si>
    <t>d) Implicancias sociopolíticas.</t>
  </si>
  <si>
    <t>* a) El poder propiamente estatal.</t>
  </si>
  <si>
    <t>b) La definición sobre las luchas de clases.</t>
  </si>
  <si>
    <t>c) La hegemonía del capitalismo.</t>
  </si>
  <si>
    <t>d) La naturalización de la desigualdad social.</t>
  </si>
  <si>
    <t>a) Generar condiciones de bienestar general.</t>
  </si>
  <si>
    <t>b) La institución para combatir la pobreza.</t>
  </si>
  <si>
    <t>* c) Una forma de disciplinamiento.</t>
  </si>
  <si>
    <t>d) Una manera de organizar mejor la vida de los gauchos.</t>
  </si>
  <si>
    <t>a) El desarrollo de la ciencia moderna en un nuevo contexto social propicio.</t>
  </si>
  <si>
    <t>b) El sentido de las propuestas laborales que desarrollará la oligarquía porteña.</t>
  </si>
  <si>
    <t>c) Las bases para organizar un sistema de representación democrática.</t>
  </si>
  <si>
    <t>* d) Los marcos conceptuales para las prácticas que intervendrán en lo social.</t>
  </si>
  <si>
    <t>a) El ámbito propicio para la reproducción social de los sectores populares.</t>
  </si>
  <si>
    <t>* b) El desarrollo de otros sistemas de establecimiento de prioridades.</t>
  </si>
  <si>
    <t>c) La disputa política y económica por la distribución social del capital.</t>
  </si>
  <si>
    <t>d) La posibilidad de definir normas e ideas diferentes sobre el consumo.</t>
  </si>
  <si>
    <t>a) El vínculo individual.</t>
  </si>
  <si>
    <t>b) La mitología.</t>
  </si>
  <si>
    <t>c) La relación con la naturaleza.</t>
  </si>
  <si>
    <t>* d) La tradición.</t>
  </si>
  <si>
    <t>a) A la suma de indicadores negativos que configuran amenazas al ecosistema social.</t>
  </si>
  <si>
    <t>b) A las condiciones fluctuantes e inestables de los mercados internacionales.</t>
  </si>
  <si>
    <t>* c) Al bagaje de amenazas y peligros característicos de la vida social moderna.</t>
  </si>
  <si>
    <t>d) Al condicionamiento que produce la tecnología en la interacción social postmoderna.</t>
  </si>
  <si>
    <t>a) Benefactor.</t>
  </si>
  <si>
    <t>b) Capitalista.</t>
  </si>
  <si>
    <t>c) Liberal.</t>
  </si>
  <si>
    <t>* d) Moderno.</t>
  </si>
  <si>
    <t>* a) Como en el grado en el cual las instituciones reproducen diferenciaciones sociales.</t>
  </si>
  <si>
    <t>b) Como el resultado de los movimientos sociales y sindicales dispersos.</t>
  </si>
  <si>
    <t>c) Como la capacidad de los organismos gubernamentales de segmentar a la población.</t>
  </si>
  <si>
    <t>d) Como la incapacidad de comunicarse interinstitucionalmente para desarrollar políticas universales.</t>
  </si>
  <si>
    <t>a) A la desnaturalización de la maternidad.</t>
  </si>
  <si>
    <t>b) A la noción biologicista de crianza.</t>
  </si>
  <si>
    <t>* c) A la paternidad como relación social.</t>
  </si>
  <si>
    <t>d) Al vínculo biológico y consaguíneo.</t>
  </si>
  <si>
    <t>a) Como espacio microsocial que articula los distintos aspectos de la institución adopción.</t>
  </si>
  <si>
    <t>b) Como institución básica sobre la que debe organizarse la intervención promocional y protectora de los derechos de los niños, niñas.</t>
  </si>
  <si>
    <t>c) Como un ámbito sociocultural poco propicio para el desarrollo de vínculos filiatorios saludables.</t>
  </si>
  <si>
    <t>* d) Como un espacio social capaz de no garantizar el cumplimiento de las normas sociales ni conductas esperadas.</t>
  </si>
  <si>
    <t>a) Construir relaciones a través de la violencia simbólica sobre los miembros de la familia.</t>
  </si>
  <si>
    <t>b) Perpetuar la línea sucesoria en el primogénito varón.</t>
  </si>
  <si>
    <t>c) Transmitir la idiosincracia sociocultural en las mujeres.</t>
  </si>
  <si>
    <t>* d) Transformar la obligación de amar en disposición amante.</t>
  </si>
  <si>
    <t>a) Un dispositivo artificial del gobierno con la sociedad.</t>
  </si>
  <si>
    <t>b) Una articulación continua de la religión con la tradición.</t>
  </si>
  <si>
    <t>* c) Una conección sistemática de la moral con lo económico.</t>
  </si>
  <si>
    <t>d) Una identificación de los problemas de las familias.</t>
  </si>
  <si>
    <t>* a) En la colectivización de recursos y en la solidaridad de los miembros.</t>
  </si>
  <si>
    <t>b) En la posición ejecutiva del jefe de hogar y sus vínculos intrafamiliares.</t>
  </si>
  <si>
    <t>c) En las ayudas de programas sociales y en los subsidios colectivos.</t>
  </si>
  <si>
    <t>d) En las redes de vecindad y en la ayuda mutua comunal.</t>
  </si>
  <si>
    <t>a) A todos los argentinos y de la mejor calidad que se pueda financiar.</t>
  </si>
  <si>
    <t>b) Para todos aquellos que posean documento de identidad.</t>
  </si>
  <si>
    <t>* c) Sin negársela a nadie y sin hacer de ello un artículo de comercio.</t>
  </si>
  <si>
    <t>d) Sólo para ciudadanos nativos y siempre priorizando la buena atención.</t>
  </si>
  <si>
    <t>a) De la interacción de sus miembros y la fantasía grupal.</t>
  </si>
  <si>
    <t>b) De la organización social de la unidad doméstica y la asignación de roles.</t>
  </si>
  <si>
    <t>* c) Del interjuego de procesos y fenómenos del orden inconsciente.</t>
  </si>
  <si>
    <t>d) Del vínculo intersubjetivo de los individuos y el imaginario social.</t>
  </si>
  <si>
    <t>a) Se focalizan las políticas de bienestar en la mínima unidad social.</t>
  </si>
  <si>
    <t>b) Se pondera la capacidad del grupo en relación al bienestar y superación.</t>
  </si>
  <si>
    <t>* c) Se privatiza la responsabilidad pública en torno al crecimiento y desarrollo.</t>
  </si>
  <si>
    <t>d) Se subjetivan e individualizan las necesidades particulares en relación al progreso.</t>
  </si>
  <si>
    <t>a) Estimulante en su relación de pareja.</t>
  </si>
  <si>
    <t>b) Inferior a la consecución de una terapia.</t>
  </si>
  <si>
    <t>c) Poco significativas para su desarrollo psicosocial.</t>
  </si>
  <si>
    <t>* d) Superior a la de las relaciones familiares.</t>
  </si>
  <si>
    <t>a) Por constituirse un "depósitos y albergues" para la población adulta.</t>
  </si>
  <si>
    <t>* b) Por ser espacios confinados donde la vida y la muerte conviven muy de cerca.</t>
  </si>
  <si>
    <t>c) Por ser una organización donde no se establecen relaciones intergeneracionales.</t>
  </si>
  <si>
    <t>d) Por ser un dispositivo donde se prescinde de la ayuda familiar.</t>
  </si>
  <si>
    <t>a) Acceso a centros de salud y nivel educativo.</t>
  </si>
  <si>
    <t>* b) Edad y relacionamientos de género.</t>
  </si>
  <si>
    <t>c) Procedencia e iniciación sexual.</t>
  </si>
  <si>
    <t>d) Sexo y tipo de vivienda.</t>
  </si>
  <si>
    <t>a) El deseo y el goce sexual.</t>
  </si>
  <si>
    <t>b) La capacidad amatoria y la maternidad.</t>
  </si>
  <si>
    <t>* c) La iniciativa y capacidad de negociación general.</t>
  </si>
  <si>
    <t>d) Los derechos sexuales y reproductivos.</t>
  </si>
  <si>
    <t>a) De comprensión relativa de los hechos.</t>
  </si>
  <si>
    <t>b) De conciencia agudizada de uno mismo.</t>
  </si>
  <si>
    <t>* c) De nadar o ahogarse.</t>
  </si>
  <si>
    <t>d) Del dominio relativo del proceso.</t>
  </si>
  <si>
    <t>a) El conocimiento pre-científico.</t>
  </si>
  <si>
    <t>b) El esquema conceptual operativo.</t>
  </si>
  <si>
    <t>* c) El saber cotidiano.</t>
  </si>
  <si>
    <t>d) El sentido común.</t>
  </si>
  <si>
    <t>a) Estímulo a la participación y responsabilidad en las decisiones.</t>
  </si>
  <si>
    <t>b) Intervención dentro de una lógica de la realidad.</t>
  </si>
  <si>
    <t>c) Reconocimiento de la autonomía del sujeto.</t>
  </si>
  <si>
    <t>* d) Respeto a los valores, patrones y pautas culturales.</t>
  </si>
  <si>
    <t>a) A brindar asesoramiento, generar un clima cálido con el entrevistado e influenciar positivamente sobre algunas decisiones.</t>
  </si>
  <si>
    <t>* b) A facilitar información, influir sobre los aspectos del comportamiento y ejercer cierto efecto terapéutico.</t>
  </si>
  <si>
    <t>c) A generar condiciones para la reflexión y la autorrealización recortando la problemática a lo explícito de los planteos.</t>
  </si>
  <si>
    <t>d) A obtener datos sobre ciertas características y condiciones del entrevistado, desarrollar empatía y respetar las decisiones.</t>
  </si>
  <si>
    <t>* a) Agenda pública.</t>
  </si>
  <si>
    <t>b) Arena política.</t>
  </si>
  <si>
    <t>c) Campo problemático.</t>
  </si>
  <si>
    <t>d) Problemas objeto de intervención.</t>
  </si>
  <si>
    <t>a) A la red de relaciones sociales donde se encuentra el trabajador social.</t>
  </si>
  <si>
    <t>b) Al componente que hace hablar a los actores de la acción.</t>
  </si>
  <si>
    <t>c) Al constructo artificial y multidimensional que impacta y modifica.</t>
  </si>
  <si>
    <t>* d) Al espacio micro social donde se construye y desarrolla.</t>
  </si>
  <si>
    <t>a) A la cuestión social en su nueva forma compleja.</t>
  </si>
  <si>
    <t>* b) A la fragmentación y sectorización de lo social.</t>
  </si>
  <si>
    <t>c) A la perspectiva de totalidad en la intervención.</t>
  </si>
  <si>
    <t>d) A la singularización y secularización de las manifestaciones sociales.</t>
  </si>
  <si>
    <t>a) Científica-empírica.</t>
  </si>
  <si>
    <t>b) Estatal-gubernamental.</t>
  </si>
  <si>
    <t>* c) Ético-política.</t>
  </si>
  <si>
    <t>d) Histórica-cultural.</t>
  </si>
  <si>
    <t>a) El momento de síntesis.</t>
  </si>
  <si>
    <t>b) El objetivo del coordinador.</t>
  </si>
  <si>
    <t>c) La tarea explícita.</t>
  </si>
  <si>
    <t>* d) La tarea implícita.</t>
  </si>
  <si>
    <t>a) Al legitimar, acordar y realizar las acciones propuestas por un coordinador.</t>
  </si>
  <si>
    <t>* b) Cuando empieza a tomar sobre sí las funciones de organización, toma de decisiones y de control.</t>
  </si>
  <si>
    <t>c) Cuando puede identificar los distintos roles, los explicita y acuerda rotarlos.</t>
  </si>
  <si>
    <t>d) Cuando sus miembros comienzan el encuentro preguntando por los ausentes y lo registran.</t>
  </si>
  <si>
    <t>a) Como ausencia de cooperación en la fantasía grupal.</t>
  </si>
  <si>
    <t>b) Como un factor a corregir y encuadrar.</t>
  </si>
  <si>
    <t>c) Como un obstáculo a superar en el aprendizaje.</t>
  </si>
  <si>
    <t>* d) Como un transgresor, un eventual peligro a expulsar.</t>
  </si>
  <si>
    <t>* a) Uno de apertura y otro de focalización y profundización.</t>
  </si>
  <si>
    <t>b) Uno de aproximación y otro de investigación e interpretación.</t>
  </si>
  <si>
    <t>c) Uno de contextualizacion y otro de la exploración de significados.</t>
  </si>
  <si>
    <t>d) Uno de indagación flotante y otro de centralización discursiva.</t>
  </si>
  <si>
    <t>a) La aproximación al universo de significados del entrevistado.</t>
  </si>
  <si>
    <t>* b) La categorización diferida del investigador.</t>
  </si>
  <si>
    <t>c) La codificación de los marcos interpretativos de los actores intervinientes.</t>
  </si>
  <si>
    <t>d) La objetivación del marco interpretativo del entrevistado.</t>
  </si>
  <si>
    <t>a) Alianza.</t>
  </si>
  <si>
    <t>b) Cooperación.</t>
  </si>
  <si>
    <t>c) Fusión.</t>
  </si>
  <si>
    <t>* d) Reconocimiento.</t>
  </si>
  <si>
    <t>a) Desarrollar mejores niveles de bienestar social en la población.</t>
  </si>
  <si>
    <t>b) Mejorar las condiciones de trabajo de los asalariados.</t>
  </si>
  <si>
    <t>c) Realizar diagnósticos sociales adecuados a las necesidades sociales.</t>
  </si>
  <si>
    <t>* d) Revalorizar la capacidad transformativa de los actores.</t>
  </si>
  <si>
    <t>a) En el cristianismo.</t>
  </si>
  <si>
    <t>* b) En el griego-clásico.</t>
  </si>
  <si>
    <t>c) En el marxismo.</t>
  </si>
  <si>
    <t>d) En el romanticismo.</t>
  </si>
  <si>
    <t>a) La evaluación.</t>
  </si>
  <si>
    <t>b) La inserción.</t>
  </si>
  <si>
    <t>c) La planificación.</t>
  </si>
  <si>
    <t>* d) El diagnóstico.</t>
  </si>
  <si>
    <t>a) Como dispositivos filantrópicos organizados.</t>
  </si>
  <si>
    <t>b) Como reinvindicaciones de la clase trabajadora.</t>
  </si>
  <si>
    <t>c) Como un artilugio de la política gubernamental.</t>
  </si>
  <si>
    <t>* d) Como un instrumento de control social.</t>
  </si>
  <si>
    <t>a) Benefactora y con participación activa del individuo.</t>
  </si>
  <si>
    <t>b) Organizada y sistematizada para la investigación social.</t>
  </si>
  <si>
    <t>* c) Reintegradora y reformadora del carácter.</t>
  </si>
  <si>
    <t>d) Reinvindicativa de los derechos sociales.</t>
  </si>
  <si>
    <t>* a) El funcionamiento social adecuado.</t>
  </si>
  <si>
    <t>b) El final de la lucha de clases.</t>
  </si>
  <si>
    <t>c) La consolidación del Estado Capitalista.</t>
  </si>
  <si>
    <t>d) La mejora en las condiciones de vida de la población.</t>
  </si>
  <si>
    <t>* a) Con el problema objeto de intervención.</t>
  </si>
  <si>
    <t>b) Con la causa estructural de la problemática.</t>
  </si>
  <si>
    <t>c) Con las necesidades sentidas de la población.</t>
  </si>
  <si>
    <t>d) Con las limitaciones del individuo.</t>
  </si>
  <si>
    <t>a) Disminución de la discriminación.</t>
  </si>
  <si>
    <t>b) Enfoque moralizante.</t>
  </si>
  <si>
    <t>* c) Mayor integralidad.</t>
  </si>
  <si>
    <t>d) Rutinización de prácticas profesionales.</t>
  </si>
  <si>
    <t>a) El desarrollo constante de la solidaridad.</t>
  </si>
  <si>
    <t>b) El favorecimiento creciente de la participación social.</t>
  </si>
  <si>
    <t>* c) La defensa irrestricta de la democracia.</t>
  </si>
  <si>
    <t>d) La organización sostenida de las organizaciones no gubernamentales.</t>
  </si>
  <si>
    <t>a) Individuos cuyas características personales son la causa de sus problemas pero capaces de mejorar su situación.</t>
  </si>
  <si>
    <t>b) Personas carecientes, objeto de asistencia y corrección.</t>
  </si>
  <si>
    <t>* c) Sujetos de derecho, activos, capaces de cambio y modificación de su entorno.</t>
  </si>
  <si>
    <t>d) Sujetos merecedores de asistencia, responsables de sus problemas sociales.</t>
  </si>
  <si>
    <t xml:space="preserve">a) Como el análisis y la evaluación de las respuestas institucionales vinculadas con el área de intervención de la temática seleccionada y delimitada. </t>
  </si>
  <si>
    <t>b) Como la caracterización y análisis de la acción de los actores considerando su comportamiento, como así también la tendencia histórica que lo origina y explica.</t>
  </si>
  <si>
    <t>c) Como la definición a partir de una determinada perspectiva de análisis y selección de categorías conceptuales para esclarecer el problema de interés.</t>
  </si>
  <si>
    <t>* d) Como la especificación espacial y temporal del área problemática a la que irán dirigidos los programas que se formularán posteriormente.</t>
  </si>
  <si>
    <t>a) Establecer un diálogo claro con el entrevistado.</t>
  </si>
  <si>
    <t>* b) La relación debe ser auténtica.</t>
  </si>
  <si>
    <t>c) La relación no debe ser simétrica.</t>
  </si>
  <si>
    <t>d) Pautar y organizar los encuentros con anticipación.</t>
  </si>
  <si>
    <t>* a) El camino por el que se puede encontrar una respuesta.</t>
  </si>
  <si>
    <t>b) El marco institucional y las normas donde se lleva a cabo la entrevista.</t>
  </si>
  <si>
    <t>c) La ideología del profesional que desarrolla la intervención.</t>
  </si>
  <si>
    <t>d) La posibilidad que el entrevistado pueda acceder a lo solicitado.</t>
  </si>
  <si>
    <t>a) Hipótesis.</t>
  </si>
  <si>
    <t>* b) Matriz de datos.</t>
  </si>
  <si>
    <t>c) Objeto de investigación.</t>
  </si>
  <si>
    <t>d) Problema de estudio.</t>
  </si>
  <si>
    <t>a) Un diálogo constructivo que facilite la empatía y la confianza.</t>
  </si>
  <si>
    <t>b) Una correlación con el lenguaje del entrevistado y una posterior codificación científica.</t>
  </si>
  <si>
    <t>* c) Una relación de escucha activa y metódica.</t>
  </si>
  <si>
    <t>d) Una relación simétrica que favorezca la confianza.</t>
  </si>
  <si>
    <t>* a) Análisis de contenido.</t>
  </si>
  <si>
    <t>b) Atención flotante.</t>
  </si>
  <si>
    <t>c) Observación participante.</t>
  </si>
  <si>
    <t>d) Identificación de significantes.</t>
  </si>
  <si>
    <t>a) Por las demandas que vayan surgiendo de los supervisados.</t>
  </si>
  <si>
    <t>b) Por la necesidad de tocar todos los temas propuestos.</t>
  </si>
  <si>
    <t>* c) Por los objetivos y contenidos.</t>
  </si>
  <si>
    <t>d) Por la superación de los obstáculos.</t>
  </si>
  <si>
    <t>* a) Epistemológico.</t>
  </si>
  <si>
    <t>b) Ético.</t>
  </si>
  <si>
    <t>c) Jurídico.</t>
  </si>
  <si>
    <t>d) Técnico- instrumental.</t>
  </si>
  <si>
    <t>a) Concomitante.</t>
  </si>
  <si>
    <t>* d) Interviniente.</t>
  </si>
  <si>
    <t>a) Aleatoria.</t>
  </si>
  <si>
    <t>* a) De intervalos iguales.</t>
  </si>
  <si>
    <t>b) De alternancias sistemáticas.</t>
  </si>
  <si>
    <t>c) Generales.</t>
  </si>
  <si>
    <t>d) Seriales.</t>
  </si>
  <si>
    <t>a) Aleatorias y excepcionales.</t>
  </si>
  <si>
    <t>* b) Contingentes y contribuyentes.</t>
  </si>
  <si>
    <t>c) Esporádicas y ocasionales.</t>
  </si>
  <si>
    <t>d) Intervinientes y contextuales.</t>
  </si>
  <si>
    <t>a) El biologicismo médico en la atención hospitalaria.</t>
  </si>
  <si>
    <t>b) El discurso moderno de bisexualidad, homosexualidad y heterosexualidad.</t>
  </si>
  <si>
    <t>c) La concepción más tradicional de la división sexual hombre- mujer.</t>
  </si>
  <si>
    <t>* d) La idea de género como una derivación de la diferencia sexual anatómica.</t>
  </si>
  <si>
    <t>* a) La concepción universalista del derecho a la salud.</t>
  </si>
  <si>
    <t>b) La organización de programas que atraviesen en forma transversal a hospitales.</t>
  </si>
  <si>
    <t>c) La priorización de atención a los residentes de la Ciudad de Buenos Aires.</t>
  </si>
  <si>
    <t>d) La tercerización de los servicios de alta complejidad.</t>
  </si>
  <si>
    <t>a) Autodetectar y tratar enfermedades complejas para ser atendidas.</t>
  </si>
  <si>
    <t>b) Evitar y controlar los microbios para no infectarse y enfermar.</t>
  </si>
  <si>
    <t>c) Tomar medidas higiénicas adecuadas para salir de la miseria y la ignorancia.</t>
  </si>
  <si>
    <t>* d) Vivir en salud y con optimismo para que la vida se prolongue.</t>
  </si>
  <si>
    <t>a) Una política de formación y capacitación permanente de los trabajadores de la salud.</t>
  </si>
  <si>
    <t>b) Una política educativa que imparta contenidos de educación para la salud a toda la población.</t>
  </si>
  <si>
    <t>c) Una política sanitaria que mejore el diagnóstico de las enfermedades prevalentes para la prevención.</t>
  </si>
  <si>
    <t>* d) Una política social bien sistematizada para evitar el hambre, el pauperismo y la desocupación.</t>
  </si>
  <si>
    <t>* a) La cultura del relacionamiento.</t>
  </si>
  <si>
    <t>b) La historización del diagnóstico sanitario.</t>
  </si>
  <si>
    <t>c) La producción de datos epidemiológicos.</t>
  </si>
  <si>
    <t>d) Un menor esfuerzo profesional.</t>
  </si>
  <si>
    <t>a) Atender en los centros de salud e implementar campañas de prevención.</t>
  </si>
  <si>
    <t>b) Generar espacios de resolución de la demanda espontánea y derivar lo complejo.</t>
  </si>
  <si>
    <t>c) Incorporar más médicos, enfermeros y agentes sanitarios.</t>
  </si>
  <si>
    <t>* d) Priorizar la actividad comunitaria y la visita domiciliaria.</t>
  </si>
  <si>
    <t>* a) A la curación y rehabilitación del paciente.</t>
  </si>
  <si>
    <t>b) A la fragmentación y dispersión de un sujeto.</t>
  </si>
  <si>
    <t>c) A la reclusión y desafiliación del ciudadano.</t>
  </si>
  <si>
    <t>d) Al bienestar y restitución identitaria del enfermo.</t>
  </si>
  <si>
    <t>a) Como modalidad asistencial.</t>
  </si>
  <si>
    <t>* b) Como necesidad proteccional.</t>
  </si>
  <si>
    <t>c) Como rehabilitación biopsicosocial.</t>
  </si>
  <si>
    <t>d) Como situación de cura.</t>
  </si>
  <si>
    <t>a) Como atención clínica integral.</t>
  </si>
  <si>
    <t>b) Como medicina sanitarista.</t>
  </si>
  <si>
    <t>* c) Como proceso globalizador.</t>
  </si>
  <si>
    <t>d) Como proceso de salud.</t>
  </si>
  <si>
    <t>a) Asistencial y preventivo.</t>
  </si>
  <si>
    <t>b) Económico y social.</t>
  </si>
  <si>
    <t>* c) Organización y financiamiento.</t>
  </si>
  <si>
    <t>d) Promoción y rehabilitación.</t>
  </si>
  <si>
    <t>a) Beneficiarios, riesgos y cobertura.</t>
  </si>
  <si>
    <t>b) Equidad, eficacia y ética.</t>
  </si>
  <si>
    <t>c) Homogéneo, básico y general.</t>
  </si>
  <si>
    <t>* d) Solidaridad, calidad y eficiencia.</t>
  </si>
  <si>
    <t>a) La asistencia.</t>
  </si>
  <si>
    <t>* b) La exclusión.</t>
  </si>
  <si>
    <t>c) La reclusión.</t>
  </si>
  <si>
    <t>d) La sanación.</t>
  </si>
  <si>
    <t>a) Aumento de la industrialización y población urbana.</t>
  </si>
  <si>
    <t>b) Desarrollo de la homeopatía y alopatía.</t>
  </si>
  <si>
    <t>c) Incorporación de otros ámbitos de acción como la ingeniería.</t>
  </si>
  <si>
    <t>* d) Introducción de mecanismos de administración médica.</t>
  </si>
  <si>
    <t>a) Fines del Siglo XVIII.</t>
  </si>
  <si>
    <t>* b) Segunda mitad del Siglo XIX.</t>
  </si>
  <si>
    <t>c) Principios del Siglo XX.</t>
  </si>
  <si>
    <t>d) Segunda mitad del Siglo XX.</t>
  </si>
  <si>
    <t>a) Son construcciones sociales para controlar a la población a través del poder médico.</t>
  </si>
  <si>
    <t>b) Son miedos producto del desconocimiento y de la falta de información en la población.</t>
  </si>
  <si>
    <t>* c) Son reacciones ante enfermedades consideradas intratables y caprichosas.</t>
  </si>
  <si>
    <t>d) Son sensaciones masificadas e incontroladas ante la posibilidad de morir.</t>
  </si>
  <si>
    <t>a) Planificación de Emergencia.</t>
  </si>
  <si>
    <t>b) Planificación Estratégica.</t>
  </si>
  <si>
    <t>c) Planificación Participativa.</t>
  </si>
  <si>
    <t>* d) Planificación Normativa.</t>
  </si>
  <si>
    <t>* a) Porque se constituye en un dato sensible a los cambios socioeconómicos y a las intervenciones de atención sanitaria.</t>
  </si>
  <si>
    <t>b) Porque es el promedio de la población infantil que muere sobre la que vive y un dato a partir del cual puede realizarse un diagnóstico situacional de salud.</t>
  </si>
  <si>
    <t>c) Porque las políticas sociales inclusivas tienen como prioridad mejorar las condiciones de los niños recién nacidos y sus madres.</t>
  </si>
  <si>
    <t>d) Porque actúa en consonancia con la Ley de los derechos de los niños, niñas y adolescentes.</t>
  </si>
  <si>
    <t>a) De la teoría y de la práctica.</t>
  </si>
  <si>
    <t>* b) Del adentro y del afuera de la institución.</t>
  </si>
  <si>
    <t>c) Del trabajo de investigación y del trabajo asistencial.</t>
  </si>
  <si>
    <t>d) La familiar y la individual.</t>
  </si>
  <si>
    <t>a) Dispositivos de familias sustitutas.</t>
  </si>
  <si>
    <t>b) Hogares protegidos.</t>
  </si>
  <si>
    <t>c) Institutos de menores.</t>
  </si>
  <si>
    <t>* d) Miembros de la comunidad.</t>
  </si>
  <si>
    <t>a) Acreditar una especialidad en Niños, niñas, Adolescencia y familia, ser Argentino o extranjero nacionalizado.</t>
  </si>
  <si>
    <t>b) Tener menos de 50 años, formación en Derecho e Infancia, y amplia trayectoria en el área jurídica.</t>
  </si>
  <si>
    <t>* c) Ser Argentino, haber cumplido 30 años y acreditar idoneidad y especialización en la defensa y protección de los derechos de los niños, niñas, adolescentes y familia.</t>
  </si>
  <si>
    <t>d) Ser elegido por las tres cuartas partes de los miembros del Consejo Federal de Niñez, Adolescencia y Familia, a través del voto directo.</t>
  </si>
  <si>
    <t>a) Que si su médico lo indica, él deberá comenzar aquí el tratamiento dado lo crítico de su estado y que es lo mejor para su salud.</t>
  </si>
  <si>
    <t>* b) Que si no desea aceptar la indicación terapéutica debe firmar la historia clínica y el alta voluntaria.</t>
  </si>
  <si>
    <t>c) Que si no desea iniciar su tratamiento debe solicitar autorización escrita al Director del Hospital para retirarse.</t>
  </si>
  <si>
    <t>* a) Que el paciente tiene derecho a recibir información completa y comprensible sobre su proceso de salud enfermedad por lo que sugiere la búsqueda  de algún intérprete.</t>
  </si>
  <si>
    <t>b) Que se debe dar intervención a la Defensoría de Menores e Incapaces de Turno para que autoricen la intervención dada la discapacidad del paciente.</t>
  </si>
  <si>
    <t>c) Que se debe realizar la intervención con el consentimiento único del médico tratante aunque el paciente esté fuera de peligro.</t>
  </si>
  <si>
    <t>d) Que se debe dar de alta a la paciente ante la imposibilidad de comprender la indicación médica ya que no es una intervención quirúrgica urgente.</t>
  </si>
  <si>
    <t>* a) Desarrollar acciones para garantizar la información y el acceso a métodos y prestaciones de anticoncepción para promover su libre elección.</t>
  </si>
  <si>
    <t>b) Dado que son menores de edad deberá solicitar a los jóvenes que regresen con alguno de sus padres para poder brindarles información.</t>
  </si>
  <si>
    <t>c) Articulará acciones con la escuela para la entrega gratuita de profilácticos como mejor método anticonceptivo.</t>
  </si>
  <si>
    <t>d) Sólo se les brindará información sobre métodos anticonceptivos, para retirar alguno de ellos les solicitará un consentimiento escrito de alguno de sus padres.</t>
  </si>
  <si>
    <t>a) Como la desaparición del malestar psíquico.</t>
  </si>
  <si>
    <t>* b) Como parte del tratamiento.</t>
  </si>
  <si>
    <t>c) Como la última instancia del proceso de atención.</t>
  </si>
  <si>
    <t>d) Como la recuperación de la capacidad de circular socialmente.</t>
  </si>
  <si>
    <t>* a) El director del establecimiento.</t>
  </si>
  <si>
    <t>b) El Departamento Legal y Técnico del Hospital.</t>
  </si>
  <si>
    <t>c) El Departamento de Servicio Social.</t>
  </si>
  <si>
    <t>d) El Ministerio de Menores e Incapaces.</t>
  </si>
  <si>
    <t>a) Escuelas especiales con docentes y apoyos provistos por los interesados.</t>
  </si>
  <si>
    <t>* b) Establecimientos comunes con los apoyos necesarios provistos gratuitamente.</t>
  </si>
  <si>
    <t>c) Centros de día subvencionados por el Estado o por las obras sociales.</t>
  </si>
  <si>
    <t>d) Escuelas de oficio para chicos con discapacidades y con docentes especiales.</t>
  </si>
  <si>
    <t>a) Le informará que no podrá viajar sola con su hija.</t>
  </si>
  <si>
    <t>b) Le explicará que requerirá la autorización de un juez de menores para viajar con su hija.</t>
  </si>
  <si>
    <t>c) Le informará que podrá viajar por ser el bebé de nacionalidad argentina.</t>
  </si>
  <si>
    <t>* d) Le explicará que requerirá el consentimiento de ambos padres para salir de la república.</t>
  </si>
  <si>
    <t>a) No podrán presentarse a la próxima elección dado que deben dejar pasar un período de dos años.</t>
  </si>
  <si>
    <t>b) No podrán ser reelectos para el mismo cargo dado que sólo pueden ejercer su función en un solo período.</t>
  </si>
  <si>
    <t>c) Podrán presentarse en todos los llamados a elección sin restricciones.</t>
  </si>
  <si>
    <t>* d) Podrán ser reelectos para el mismo cargo por una sóla vez para el período inmendiato siguiente.</t>
  </si>
  <si>
    <t>a) Los mayores de 5 años a falta de acuerdo de los cónyuges, siempre quedarán a cargo de aquel que cuente con mayor solvencia económica.</t>
  </si>
  <si>
    <t>* b) Los mayores de 5 años a falta de acuerdo de los cónyuges, quedarán a cargo de aquel a quien el Juez considere mas idóneo.</t>
  </si>
  <si>
    <t>c) Los mayores de 5 años siempre quedarán a cargo de la madre, salvo causas graves que afecten el interés del menor.</t>
  </si>
  <si>
    <t>d) Los menores de 18 años a falta de acuerdo de los cónyuges, siempre podrán decidir con quién quieren quedarse.</t>
  </si>
  <si>
    <t>a) Puede asignar una pena de un mes de prisión y tratamiento curativo de dos años de duración como máximo.</t>
  </si>
  <si>
    <t>* b) Puede otorgar una medida de seguridad educativa con una duración mínima de tres meses.</t>
  </si>
  <si>
    <t>c) Puede otorgar una medida de seguridad curativa supervisada en forma conjunta por la familia y por peritos del área judicial, con un plazo de doce  meses.</t>
  </si>
  <si>
    <t>d) No requiere de medidas de recuperación por no depender psíquica ni físicamentes de los estupefacientes.</t>
  </si>
  <si>
    <t>* a) Brindarle información sobre las características de la enfermedad, sus formas de transmisión y su derecho a recibir la asistencia adecuada.</t>
  </si>
  <si>
    <t>b) Indicarle que obligatoriamente deberá realizarse un test de VIH.</t>
  </si>
  <si>
    <t>c) Informarle que deberá esperar a que se manifieste algún síntoma para evaluar los pasos a seguir.</t>
  </si>
  <si>
    <t>d) Solcitarle que busque al joven y que juntos se realicen el Test de VIH con la mayor celeridad posible.</t>
  </si>
  <si>
    <t>* a) Decretar provisoriamente alimentos, tenencia y derecho de comunicación con los hijos.</t>
  </si>
  <si>
    <t xml:space="preserve">b) Ordenar tratamiento psicológico al autor y a todo el grupo familiar. </t>
  </si>
  <si>
    <t>c) Regular el acceso del autor al domicilio del damnificado.</t>
  </si>
  <si>
    <t>d) Privar temporalmente de la libertad al autor y pedir un aprobation como sanción.</t>
  </si>
  <si>
    <t>a) Por ejercer adulterio.</t>
  </si>
  <si>
    <t>b) Por figurar en el veraz.</t>
  </si>
  <si>
    <t>* c) Por haberse negado a alimentos sin causa justificada.</t>
  </si>
  <si>
    <t>d) Por no cumplir con su rol paterno.</t>
  </si>
  <si>
    <t>* a) Cobertura económica.</t>
  </si>
  <si>
    <t>b) Derivación a Cáritas.</t>
  </si>
  <si>
    <t>c) Inclusión en un comedor comunitario.</t>
  </si>
  <si>
    <t>d) Un Alojamiento cercano al lugar de rehabilitación del niño.</t>
  </si>
  <si>
    <t>a) Brindarle orientación y asesoramiento respecto de los trámites correspondientes para subsanar la irregularidad migratoria y solicitarle que regrese al Hospital una vez tramitado el DNI para concretar la intervención quirúrgica.</t>
  </si>
  <si>
    <t>* b) Explicarle que la falta de DNI no debe ser impedimento para el acceso al derecho a la salud y orientarla y asesorarla respecto de los trámites correspondientes para subsanar la irregularidad migratoria.</t>
  </si>
  <si>
    <t>c) Explicitarle que sin DNI no se efectúan intervenciones quirúrgicas en los hospitales públicos de la Ciudad de Buenos Aires.</t>
  </si>
  <si>
    <t>d) Recomendarle que se acerque al Consulado de su país para que éste resuelva su situación y así pueda efectivarse la intervención quirúrgica correspondiente.</t>
  </si>
  <si>
    <t>a) Ante un problema diagnóstico, terapéutico o cuando la característica del caso así lo determine, podrá solicitar una supervisión externa de otros profesionales.</t>
  </si>
  <si>
    <t>b) Informará sólo cuando se lo solicite al supervisor responsable de las actividades desarrolladas según las características de cada programa.</t>
  </si>
  <si>
    <t>* c) Será responsable de las tareas que el coordinador de la residencia le asigne de acuerdo a los objetivos y características del programa.</t>
  </si>
  <si>
    <t>d) Sólo podrá registrar en historia clínica o elaborar informes en forma independiente a partir del segundo año de la residencia.</t>
  </si>
  <si>
    <t>* a) Obligatoria.</t>
  </si>
  <si>
    <t>b) Optativa.</t>
  </si>
  <si>
    <t>c) No podrá presentarse porque no está ejerciendo la profesión.</t>
  </si>
  <si>
    <t>d) No podrá presentarse porque tiene menos de un año de matriculada.</t>
  </si>
  <si>
    <t>* a) Agregar el apellido de la familia biológica.</t>
  </si>
  <si>
    <t>b) Debe esperar hasta cumplir los 21 años para poder modificar su apellido.</t>
  </si>
  <si>
    <t>c) No puede modificarlo.</t>
  </si>
  <si>
    <t>d) Reemplazar el apellido de la familia adoptante.</t>
  </si>
  <si>
    <t>a) Establecer un régimen de visitas con los progenitores, aunque los niños no lo deseen, para su revinculación.</t>
  </si>
  <si>
    <t>b) Mantener incomunicados a los niños de su grupo familiar de origen o crianza hasta tanto el Juzgado de Menores intervinientes se expida en la causa.</t>
  </si>
  <si>
    <t xml:space="preserve">* c) Respetar y preservar los vínculos familiares o de crianza de los hermanos y velar por su permanencia en el </t>
  </si>
  <si>
    <t>d) Separar al grupo de hermanos por edades para facilitar el proceso de adopción.</t>
  </si>
  <si>
    <t>d) Que para retirarse del hospital en situación de salud crítica un responsable legal debe hacerse cargo firmando un consentimiento informado.</t>
  </si>
  <si>
    <t>a) En igual medida en tanto es un sujeto que ha sido violentado a nivel individual, institucional y comunitario.</t>
  </si>
  <si>
    <t>b) En mayor grado en tanto el paciente continúa con su tratmiento dentro de las organizaciones de la salud.</t>
  </si>
  <si>
    <t>c) En menor medida siempre que reinvindique su salud mental como un problema de salud integral.</t>
  </si>
  <si>
    <t>* d) En la misma medida en que es un hombre sin poder social, económico ni contractual.</t>
  </si>
  <si>
    <t>a) La asistencia o la sanación.</t>
  </si>
  <si>
    <t>* b) La vigilancia o la curación.</t>
  </si>
  <si>
    <t>c) El control o la rehabilitación.</t>
  </si>
  <si>
    <t>d) El tratamiento o la observación.</t>
  </si>
  <si>
    <t>a) La confianza temprana.</t>
  </si>
  <si>
    <t>b) La deconstrucción paradigmática.</t>
  </si>
  <si>
    <t>* c) La reflexividad institucional.</t>
  </si>
  <si>
    <t>d) La seguridad ontológica.</t>
  </si>
  <si>
    <t>a) En la centralidad del hombre como factor de desarrollo.</t>
  </si>
  <si>
    <t>* b) En la idea de influencia del medio.</t>
  </si>
  <si>
    <t>c) En las teorías del equilibrio social.</t>
  </si>
  <si>
    <t>d) En una cosmovisión moralizadora de las conductas.</t>
  </si>
  <si>
    <t>* a) Dar sentido a la construcción de un sociedad moderna y civilizada.</t>
  </si>
  <si>
    <t>b) Desarrollar dispositivos y mecanismos institucionales de control social.</t>
  </si>
  <si>
    <t>c) Dotar de imágenes y símbolos una idea rectora del nuevo Estado.</t>
  </si>
  <si>
    <t>d) Generar condiciones sociales para el progreso y el bienestar.</t>
  </si>
  <si>
    <t>a) El cuentapropismo y el empleo en negro de la economía informal.</t>
  </si>
  <si>
    <t>* b) El desarrollo de una esfera doméstica desmercantilizada históricamente.</t>
  </si>
  <si>
    <t>c) El trabajo no reconocido oficialmente de hombres y mujeres en su reproducción cotidiana.</t>
  </si>
  <si>
    <t>d) La mano de obra esclava o semi esclava del sector primario de la economía.</t>
  </si>
  <si>
    <t>a) La construcción de ciudadanía.</t>
  </si>
  <si>
    <t>* b) La hegemonía.</t>
  </si>
  <si>
    <t>c) La libertad e igualdad.</t>
  </si>
  <si>
    <t>d) La representación política.</t>
  </si>
  <si>
    <t>a) Es el programa que impulsa el bienestar socio económico desde las distintas agencias gubernamentales.</t>
  </si>
  <si>
    <t>b) Es la acción que involucra a distintos actores sociales en la puja por la mejor distribución de la renta nacional.</t>
  </si>
  <si>
    <t>* c) Es la dirección que se impone activamente en la acción estatal como expresión o en nombre de intereses generales.</t>
  </si>
  <si>
    <t>d) Es un conjunto de actividades con preeminencia social que se desarrollan dando marco y sentido al resto.</t>
  </si>
  <si>
    <t>* a) Garantizando a los individuos y a las familias una renta mínima.</t>
  </si>
  <si>
    <t>b) Obstaculizando, a través de impuestos y tasas, la exportación de bienes primarios.</t>
  </si>
  <si>
    <t>c) Regulando el mercado de divisas extranjeras.</t>
  </si>
  <si>
    <t>d) Subsidiando el consumo en hogares de los principales servicios energéticos.</t>
  </si>
  <si>
    <t>a) De la monetaria, financiera y subsidiaria.</t>
  </si>
  <si>
    <t>b) De la política social, el mercado y la industrialización.</t>
  </si>
  <si>
    <t>c) De las relaciones sociales, mercantiles y políticas.</t>
  </si>
  <si>
    <t>* d) Del consumo, la distribución y las relaciones de producción.</t>
  </si>
  <si>
    <t>* a) Al contexto socioeconómico en el cual tiene lugar y a la voluntad política de priorizar la implementación de políticas públicas para la defensa  y garantía de los derechos enunciados.</t>
  </si>
  <si>
    <t>b) A la plena constitución como sujeto de derechos por parte de los niños, niñas y adolescentes cuyos derechos se encuentran vulnerados a través de las asociaciones civiles.</t>
  </si>
  <si>
    <t>c) A las pautas culturales y sociales que ubican a los niños como sujetos de derecho y al abandono de usos, costumbres y terminologías vinculadas al  paradigma del menor como incapaz.</t>
  </si>
  <si>
    <t>d) A la necesariedad de ubicar el tema en la agenda pública para desarrollar e implementar políticas públicas capaces de reconocer y legitimar los derechos a los niños, niñas y adolescentes.</t>
  </si>
  <si>
    <t>a) El cuidado de personas especializadas en crianza.</t>
  </si>
  <si>
    <t>b) La influencia del poder estatal.</t>
  </si>
  <si>
    <t>* c) La vigilancia de los padres.</t>
  </si>
  <si>
    <t>d) Los preceptos del saber médico.</t>
  </si>
  <si>
    <t>* a) Porque existe ineficacia de las mediaciones institucionales que aporten a sostener las funciones que ha desarrollado históricamente en la sociedad.</t>
  </si>
  <si>
    <t>b) Porque las políticas estatales han ido focalizando sus objetivos reduciendo su incumbencia en el ámbito privado de los individuos y sus necesidades.</t>
  </si>
  <si>
    <t>c) Porque el neoliberalismo ha favorecido la resolución/satisfacción de las necesidades sociales a través de la lógica del mercado, resultando insuficiente.</t>
  </si>
  <si>
    <t>d) Porque el nivel educativo alcanzado por los individuos no les permite desarrollar estrategias superadoras de situaciones traumáticas, que les generen mayor seguridad.</t>
  </si>
  <si>
    <t>a) Como un dispositivo incapaz de sostener a sus miembros por sí mismo.</t>
  </si>
  <si>
    <t>b) Como una institución fortalecida por el consenso social.</t>
  </si>
  <si>
    <t>c) Como una organización producto de las determinaciones socio- culturales.</t>
  </si>
  <si>
    <t>* d) Como una variable independiente del contexto social.</t>
  </si>
  <si>
    <t>a) La abdicación de los reyes y la constitución de un co gobierno religioso y burgués.</t>
  </si>
  <si>
    <t>* b) La abolición de la propiedad y de la familia en provecho de una gestión estatal de las necesidades.</t>
  </si>
  <si>
    <t>c) La constitución de un Estado garante limitado a las cuestiones de organización de la seguridad.</t>
  </si>
  <si>
    <t>d) La intervención estatal fuertemente desarrollada en el ámbito de la salud, la niñez y la educación.</t>
  </si>
  <si>
    <t>a) A la conciencia colectiva.</t>
  </si>
  <si>
    <t>b) A la super- estructura social.</t>
  </si>
  <si>
    <t>* c) A las estructuras inconcientes.</t>
  </si>
  <si>
    <t>d) Al imaginario social.</t>
  </si>
  <si>
    <t>* a) Diagnóstico, intervención - tratamiento.</t>
  </si>
  <si>
    <t>b) Evaluación diagnóstica- inserción, desarrollo de las acciones.</t>
  </si>
  <si>
    <t>c) Inserción- Evaluación, intervención.</t>
  </si>
  <si>
    <t>d) Investigación, definición del problema- tratamiento.</t>
  </si>
  <si>
    <t>a) La exacerbación de una cultura hedonista.</t>
  </si>
  <si>
    <t>b) Políticas públicas focalizadas que aumentan la brecha intergeneracional.</t>
  </si>
  <si>
    <t>c) Un resquebrajamiento del pacto social solidario.</t>
  </si>
  <si>
    <t>* d) Una situación en la que se acaba culpando a la víctima.</t>
  </si>
  <si>
    <t>a) Formar nuevos lazos entre pares que con frecuencia suplantan la felicidad de los afectos familiares.</t>
  </si>
  <si>
    <t>* b) Ingresar como miembro permanente en una nueva categoría basada puramente en la edad.</t>
  </si>
  <si>
    <t>c) Ser parte de un nuevo proyecto social y comunitario que lo tenga de protagonista.</t>
  </si>
  <si>
    <t>d) Ser parte de un proceso que muy probablemente culmine con la externación o la muerte.</t>
  </si>
  <si>
    <t>a) La agresividad.</t>
  </si>
  <si>
    <t>* b) La demencia.</t>
  </si>
  <si>
    <t>c) La incontinencia urinaria.</t>
  </si>
  <si>
    <t>d) El incremento de gastos.</t>
  </si>
  <si>
    <t>* a) Las mujeres tienen una mayor necesidad de servicios de salud y la probreza restringe desproporcionadamente el acceso a los mismos.</t>
  </si>
  <si>
    <t>b) Los hombres tienden a enfermar menos por lo tanto generan menos gasto y demanda a los servicios de salud.</t>
  </si>
  <si>
    <t>c) Las políticas sociales redistributivas que se desarrollan en América Latina no se centralizan en las mujeres y las vuelven vulnerables.</t>
  </si>
  <si>
    <t>d) Las mujeres suelen presentar enfermedades mas prolongadas y costosas que los hombres que los sistemas de salud público cubren escasamente.</t>
  </si>
  <si>
    <t>a) Que las mujeres y los hombres en situación de pobreza reciban cuotas iguales de recursos y servicios que les permitan subsistir.</t>
  </si>
  <si>
    <t>* b) Que los recursos se asignen y se reciban diferencialmente de acuerdo con las necesidades particulares de cada sexo y contexto socio económico.</t>
  </si>
  <si>
    <t>c) Que los recursos y servicios se destinen mayoritariamente a la atención en salud de mujeres.</t>
  </si>
  <si>
    <t>d) Que los servicios se asignen de acuerdo a la capacidad de consumo diferencial que tienen hombres y mujeres dentro las comunidades.</t>
  </si>
  <si>
    <t>a) Educación sexual.</t>
  </si>
  <si>
    <t>b) Historia de la sexualidad.</t>
  </si>
  <si>
    <t>c) Relacionamientos sexuales.</t>
  </si>
  <si>
    <t>* d) Trayectoria sexual.</t>
  </si>
  <si>
    <t>* a) La dimensión simbólica en la vida cotidiana de las personas.</t>
  </si>
  <si>
    <t>b) La disponibilidad de recursos económicos de los sujetos envejecidos.</t>
  </si>
  <si>
    <t>c) La política de protección social del Estado hacia la población de la tercera edad.</t>
  </si>
  <si>
    <t>d) La presencia de redes familiares de contención en un ciclo de alta vulnerabilidad.</t>
  </si>
  <si>
    <t>a) El ocultamiento de una etapa caracterizada por la tristeza y la soledad cuyos protagonistas pretenden olvidar.</t>
  </si>
  <si>
    <t>b) La construcción de un nuevo término para nominar los procesos de envejecimiento ocultando las situaciones de marginalización.</t>
  </si>
  <si>
    <t>* c) La creación de una nueva etapa de la vida que se interpone entre la edad adulta y la vejez.</t>
  </si>
  <si>
    <t>d) Nuevas políticas sociales capaces de ajustarse a los requerimientos que los nuevos sujetos sociales requieran.</t>
  </si>
  <si>
    <t>a) Beneficiarios legítimos del sistema de protección estatal.</t>
  </si>
  <si>
    <t>* b) Personas frágiles y vulnerables.</t>
  </si>
  <si>
    <t>c) Sujetos dependientes y demandantes.</t>
  </si>
  <si>
    <t>d) Víctimas de miseria, de soledad, de dolencias.</t>
  </si>
  <si>
    <t>a) Contener, asesorar, orientar en procesos.</t>
  </si>
  <si>
    <t>b) Cooperar, educar, acompañar.</t>
  </si>
  <si>
    <t>c) Intercambiar, problematizar, enseñar.</t>
  </si>
  <si>
    <t>* d) Promover, estimular y obtener su participación.</t>
  </si>
  <si>
    <t>a) Clarificación y comprensión de los problemas.</t>
  </si>
  <si>
    <t>b) Contacto inicial.</t>
  </si>
  <si>
    <t>c) Informe del supervisado.</t>
  </si>
  <si>
    <t>* d) Tareas previas.</t>
  </si>
  <si>
    <t>a) Campo de fuerzas.</t>
  </si>
  <si>
    <t>* b) Capital específico.</t>
  </si>
  <si>
    <t>c) Poder simbólico.</t>
  </si>
  <si>
    <t>d) Reglas de juego.</t>
  </si>
  <si>
    <t>* a) La actitudinal.</t>
  </si>
  <si>
    <t>b) La interpretativa.</t>
  </si>
  <si>
    <t>c) La relacional.</t>
  </si>
  <si>
    <t>d) La socio-familiar.</t>
  </si>
  <si>
    <t>a) Básicos y simbólicos.</t>
  </si>
  <si>
    <t>b) Comprensivos e intelectuales.</t>
  </si>
  <si>
    <t>* c) Cognitivos y afectivos.</t>
  </si>
  <si>
    <t>d) Ideológicos y conceptuales.</t>
  </si>
  <si>
    <t>a) Con informar a las instancias institucionales superiores sobre las dificultades en la tarea para una mejor evaluación personal.</t>
  </si>
  <si>
    <t>b) Con tener la aprobación de los proyectos por parte del jefe inmediato, dentro de la organización.</t>
  </si>
  <si>
    <t>c) Con transitar una instancia de aprendizaje basada en el intercambio fluído y ameno del docente.</t>
  </si>
  <si>
    <t>* d) Con verificar el desarrollo de una práctica dentro de un esquema entendido como el más correcto.</t>
  </si>
  <si>
    <t>a) Aprendizaje y tensión.</t>
  </si>
  <si>
    <t>* b) Diálogo y conflicto.</t>
  </si>
  <si>
    <t>c) Fragmentación y padecimiento.</t>
  </si>
  <si>
    <t>d) Organización y confusión.</t>
  </si>
  <si>
    <t>* a) Cuestión social.</t>
  </si>
  <si>
    <t>b) Relaciones sociales de producción.</t>
  </si>
  <si>
    <t>c) Problemas sociales.</t>
  </si>
  <si>
    <t>d) Teoría social.</t>
  </si>
  <si>
    <t>a) El conocimiento científico y los valores sociales.</t>
  </si>
  <si>
    <t>b) El código de ética y los derechos humanos.</t>
  </si>
  <si>
    <t>c) La construcción de ciudadanía y la cuestión social.</t>
  </si>
  <si>
    <t>* d) La teoría social y el proyecto de sociedad.</t>
  </si>
  <si>
    <t>a) Actitud reactiva.</t>
  </si>
  <si>
    <t>b) Conflictividad latente.</t>
  </si>
  <si>
    <t>c) Miedos imaginarios.</t>
  </si>
  <si>
    <t>* d) Resistencia al cambio.</t>
  </si>
  <si>
    <t>a) Un mito.</t>
  </si>
  <si>
    <t>b) Una fantasía.</t>
  </si>
  <si>
    <t>* c) Una ilusión.</t>
  </si>
  <si>
    <t>d) Una transferencia.</t>
  </si>
  <si>
    <t>a) Aproximación diferida.</t>
  </si>
  <si>
    <t>* b) Dinámica general.</t>
  </si>
  <si>
    <t>c) Interpretación significante.</t>
  </si>
  <si>
    <t>d) Selección temática.</t>
  </si>
  <si>
    <t>a) Dificultades en la redefinición del objeto de la profesión.</t>
  </si>
  <si>
    <t>* b) No contar con un cuerpo de saberes específicos.</t>
  </si>
  <si>
    <t>c) No legitimar la opción ideológica de la práctica.</t>
  </si>
  <si>
    <t>d) Por priorizar el desarrollo técnico- instrumental.</t>
  </si>
  <si>
    <t>a) La científica y constructivista.</t>
  </si>
  <si>
    <t>b) La estructuralista y positivista.</t>
  </si>
  <si>
    <t>c) La hermenéutica y apriorística.</t>
  </si>
  <si>
    <t>* d) La racionalista y empirista.</t>
  </si>
  <si>
    <t>a) Dimensiones de la intervención.</t>
  </si>
  <si>
    <t>b) Divisiones analíticas.</t>
  </si>
  <si>
    <t>c) Formas de intervención.</t>
  </si>
  <si>
    <t>* d) Niveles de abordaje.</t>
  </si>
  <si>
    <t>* a) La clase dominante entre sí y con el Estado.</t>
  </si>
  <si>
    <t>b) Los nuevos sindicatos y el Estado.</t>
  </si>
  <si>
    <t>c) Las sociedades de beneficencia y el proletariado.</t>
  </si>
  <si>
    <t>d) Los trabajadores y los sindicatos.</t>
  </si>
  <si>
    <t>a) Legitimar la funcionalidad de la práctica asistencial.</t>
  </si>
  <si>
    <t>b) Mejorar la calidad de vida de la clase trabajadora.</t>
  </si>
  <si>
    <t>c) Profesionalizar las acciones de la beneficencia.</t>
  </si>
  <si>
    <t>* d) Socializar el modo capitalista de pensar.</t>
  </si>
  <si>
    <t>a) Al conjunto de relaciones que engloban tanto al investigador como al informante.</t>
  </si>
  <si>
    <t>* b) A la evolución de la relación entre el investigador y el informante en una unidad de entrevista.</t>
  </si>
  <si>
    <t>c) Al proceso de articulación de las dimensiones espacio temporales en el contexto de la entrevista.</t>
  </si>
  <si>
    <t>d) Al vínculo de empatía que se establece con los informantes en el trabajo de campo.</t>
  </si>
  <si>
    <t>a) Asistir a los hogares con recursos según las necesidades materiales observadas.</t>
  </si>
  <si>
    <t>* b) Controlar el trato hacia el niño y las pautas de conducta de las familias.</t>
  </si>
  <si>
    <t>c) Denunciar ante las autoridades públicas, malos tratos comprobables.</t>
  </si>
  <si>
    <t>d) Organizar a los miembros de las familias disfuncionales en sus tareas.</t>
  </si>
  <si>
    <t>a) Para conocer e intervenir sobre los nuevos problemas sociales.</t>
  </si>
  <si>
    <t>b) Para administrar y distribuir con mayor eficacia los recursos materiales.</t>
  </si>
  <si>
    <t>* c) Para identificar y caracterizar a los usuarios.</t>
  </si>
  <si>
    <t>d) Para organizar y trabajar sobre la comunidad.</t>
  </si>
  <si>
    <t>a) Las ideas de cohesión social.</t>
  </si>
  <si>
    <t>b) El positivismo conservador.</t>
  </si>
  <si>
    <t>* c) El sincretismo ideológico.</t>
  </si>
  <si>
    <t>d) La tradición estadounidense.</t>
  </si>
  <si>
    <t>a) La comprensión dialéctica de los fenómenos estudiados.</t>
  </si>
  <si>
    <t>* b) El estudio del problema a partir de la reproducción en el pensamiento de lo concreto sin alterar su esencia.</t>
  </si>
  <si>
    <t>c) La problematización de las condiciones históricas, sociales y políticas de la organización social en la que se desarrollan.</t>
  </si>
  <si>
    <t>d) La aceptación de la responsabilidad colectiva de los problemas.</t>
  </si>
  <si>
    <t xml:space="preserve">* a) De captación metodológica en la elaboración de diagnósticos para la toma de decisiones. </t>
  </si>
  <si>
    <t>b) De caracterización de la población y la definición de sus recursos materiales e institucionales para la evaluación de impactos.</t>
  </si>
  <si>
    <t>c) De evaluación diagnóstica en los procesos de planificación de programas sociales.</t>
  </si>
  <si>
    <t>d) De relevamiento de la información y de identificación de problemas para la construcción de hipótesis de intervención.</t>
  </si>
  <si>
    <t>a) El profesional puede tomar contacto con el niño, previa autorización formal de la dirección.</t>
  </si>
  <si>
    <t>b) Los profesionales o equipos que no pertenezcan al Ministerio de Salud del GCBA, no pueden realizar entrevistas al niño internado en el hospital.</t>
  </si>
  <si>
    <t>* c) Se debe permitir el acceso inmediato de la Guardia Permanente de Abogados del Consejo de Derechos de Niños, niñas y adolescentes.</t>
  </si>
  <si>
    <t>d) Sólo puede intervenir la Guardia Permanente de Abogados del Consejo de Derechos de Niños, niñas y adolescentes con previa autorización del representante legal del menor.</t>
  </si>
  <si>
    <t>a) Acercamiento.</t>
  </si>
  <si>
    <t>b) Asociación.</t>
  </si>
  <si>
    <t>* c) Colaboración.</t>
  </si>
  <si>
    <t>d) Reconocimiento.</t>
  </si>
  <si>
    <t>a) La ambición económica.</t>
  </si>
  <si>
    <t>* b) La cultura caníbal.</t>
  </si>
  <si>
    <t>c) La enajenación social.</t>
  </si>
  <si>
    <t>d) La monopolización capitalista.</t>
  </si>
  <si>
    <t>a) Avanzar en el conocimiento de la naturaleza de la intervención social y la disciplina en general.</t>
  </si>
  <si>
    <t>b) Desarrollar una actitud profesional investigativa vinculada al proceso metodológico.</t>
  </si>
  <si>
    <t>c) Problematizar las distintas variables históricas y materiales que permitan comprender el objeto de intervención.</t>
  </si>
  <si>
    <t>* d) Profundizar los campos problemáticos relacionados a diversas dimensiones que hacen a la relación sujeto- necesidad</t>
  </si>
  <si>
    <t>a) La aplicación del constructivismo y la teoría social.</t>
  </si>
  <si>
    <t>* b) La comprensión de la relación estructura y acción.</t>
  </si>
  <si>
    <t>c) El análisis histórico de la díada sujeto-comunidad.</t>
  </si>
  <si>
    <t>d) El proceso de inserción, investigación que desarrolla.</t>
  </si>
  <si>
    <t>* a) Está en relación directa con el actor que la implementa y los objetivos por él planteados.</t>
  </si>
  <si>
    <t>b) Está pautada de acuerdo al marco conceptual referencial operativo del entrevistador.</t>
  </si>
  <si>
    <t>c) Está vinculado a la capacidad técnica epistemológica del entrevistador.</t>
  </si>
  <si>
    <t>d) Se establece en forma conjunta con los actores que participan del encuentro.</t>
  </si>
  <si>
    <t>* a) Como el conjunto de procedimientos y reglas para ejecutar bien algo.</t>
  </si>
  <si>
    <t>b) Como la apreciación correcta de la situación lingüística.</t>
  </si>
  <si>
    <t>c) Como la valoración estratégica de las situaciones a comunicar.</t>
  </si>
  <si>
    <t>d) Como los conocimientos que interpelan la capacidad argumentativa.</t>
  </si>
  <si>
    <t>a) En el aspecto de más rápida satisfacción.</t>
  </si>
  <si>
    <t>b) En el tema social que se especializa la institución.</t>
  </si>
  <si>
    <t>* c) En lo que la persona considera más importante.</t>
  </si>
  <si>
    <t>d) En los recursos disponibles que puedan responder al planteo.</t>
  </si>
  <si>
    <t>a) Cantidad de datos fehacientes para la elaboración de un diagnóstico.</t>
  </si>
  <si>
    <t>b) Información que da cuenta de la perspectiva del actor.</t>
  </si>
  <si>
    <t>c) La primer aproximación sobre los recursos personales para afrontar la situación.</t>
  </si>
  <si>
    <t>* d) Una idea de la actitud del cliente ante la vida.</t>
  </si>
  <si>
    <t>a) Comunicación analógica.</t>
  </si>
  <si>
    <t>* b) Interacción complementaria.</t>
  </si>
  <si>
    <t>c) Interacción simétrica.</t>
  </si>
  <si>
    <t>d) Puntuación de secuencia de hechos.</t>
  </si>
  <si>
    <t>a) Asociación estadística entre mediciones de diversas fuentes.</t>
  </si>
  <si>
    <t>b) Estimación de parámetros de un universo dado.</t>
  </si>
  <si>
    <t>* c) Información observacional o de expresión oral o escrita poco estructurada.</t>
  </si>
  <si>
    <t>d) Relevamiento de hipótesis y tipologías útiles de interpretación.</t>
  </si>
  <si>
    <t>* a) Estrategia.</t>
  </si>
  <si>
    <t>b) Situación objetiva.</t>
  </si>
  <si>
    <t>c) Trayectoria.</t>
  </si>
  <si>
    <t>d) Vida cotidiana.</t>
  </si>
  <si>
    <t>a) Descubrimiento- invención- interpretación- explicación.</t>
  </si>
  <si>
    <t>b) Invención- análisis- interpretación- explicación.</t>
  </si>
  <si>
    <t>* c) Invención- descubrimiento- interpretación- explicación.</t>
  </si>
  <si>
    <t>d) Invención- síntesis diagnóstica- interpretación- explicación.</t>
  </si>
  <si>
    <t>a) Estratégica.</t>
  </si>
  <si>
    <t>b) Investigativa.</t>
  </si>
  <si>
    <t>c) Jerarquizada.</t>
  </si>
  <si>
    <t>* d) Metodológica.</t>
  </si>
  <si>
    <t>d) Interdependiente.</t>
  </si>
  <si>
    <t>* b) Independiente.</t>
  </si>
  <si>
    <t>d) Concurrente.</t>
  </si>
  <si>
    <t>a) Asociada.</t>
  </si>
  <si>
    <t>d) Contextual.</t>
  </si>
  <si>
    <t>a) Demanda latente de salud.</t>
  </si>
  <si>
    <t>b) Discriminación en salud.</t>
  </si>
  <si>
    <t>* c) Exclusión en salud.</t>
  </si>
  <si>
    <t>d) Marginación en salud.</t>
  </si>
  <si>
    <t>* a) El individual, el institucional y el comunitario.</t>
  </si>
  <si>
    <t>b) El institucional, el grupal y el personal.</t>
  </si>
  <si>
    <t>c) El personal, el familiar y el comunitario.</t>
  </si>
  <si>
    <t>d) El biológico, el psicológico y el social.</t>
  </si>
  <si>
    <t>a) Asistencia social.</t>
  </si>
  <si>
    <t>b) Atención primaria de la salud.</t>
  </si>
  <si>
    <t>* c) Previsión social.</t>
  </si>
  <si>
    <t>d) Seguridad privada.</t>
  </si>
  <si>
    <t>a) Local y territorial.</t>
  </si>
  <si>
    <t>b) Histórico y social.</t>
  </si>
  <si>
    <t>c) Nacional y popular.</t>
  </si>
  <si>
    <t>* d) Político y económico.</t>
  </si>
  <si>
    <t>* a) Un abordaje integral y por lo tanto más efectivo de la problemática.</t>
  </si>
  <si>
    <t>b) La atención de varios profesionales en relación a la salud de los miembros afectados.</t>
  </si>
  <si>
    <t>c) La posibilidad de no fragmentar y superponer esfuerzos profesionales.</t>
  </si>
  <si>
    <t>d) El buen descenlace de la problemática para las víctimas de la situación violenta.</t>
  </si>
  <si>
    <t>a) Una molestia.</t>
  </si>
  <si>
    <t>b) Un paso a la cura.</t>
  </si>
  <si>
    <t>* c) Un rótulo.</t>
  </si>
  <si>
    <t>d) Una verdad absoluta.</t>
  </si>
  <si>
    <t>a) El acceso a subsidios que permitan la convivencia con el grupo familiar de las personas internadas.</t>
  </si>
  <si>
    <t>b) La participación activa de todos los actores sociales involucrados en los proceso de cambio.</t>
  </si>
  <si>
    <t>c) La posibilidad de incorporar una visión mas integral de la salud y la comunidad.</t>
  </si>
  <si>
    <t>* d) Una mirada que privilegia la vigencia y defensa de los derechos humanos de las personas internadas.</t>
  </si>
  <si>
    <t>* a) Como elementos histórico-sociales, por las relaciones que genera el sistema productivo.</t>
  </si>
  <si>
    <t>b) Como datos incontaminados, para ser interpretados como absolutos, sin influencias del medio.</t>
  </si>
  <si>
    <t>c) Como percepciones subjetivas de cada individuo sobre su estado de salud.</t>
  </si>
  <si>
    <t>d) Como requerimientos personales vinculados a demandas biológicas y/o espirituales.</t>
  </si>
  <si>
    <t>a) Un acto de entendimiento bipersonal.</t>
  </si>
  <si>
    <t>b) Una instancia de encuentro.</t>
  </si>
  <si>
    <t>* c) Una relación social.</t>
  </si>
  <si>
    <t>d) Una situación necesaria.</t>
  </si>
  <si>
    <t>* a) Comienzos del Siglo XVIII en Alemania.</t>
  </si>
  <si>
    <t>b) Fines del Siglo XVII en Francia.</t>
  </si>
  <si>
    <t>c) Mediados del Siglo XVIII en España.</t>
  </si>
  <si>
    <t>d) Principios del Siglo XIX en Inglaterra.</t>
  </si>
  <si>
    <t>a) Asumir un rol organizador y ser prestador de la política sanitaria del país.</t>
  </si>
  <si>
    <t xml:space="preserve">b) Crear una modalidad de cobertura basada en los aportes de los trabajadores y sus empleadores. </t>
  </si>
  <si>
    <t>* c) No intervenir en forma directa en la atención de la salud, subsidiando instituciones privadas.</t>
  </si>
  <si>
    <t>d) Regular e impulsar el desarrollo simultáneo del seguro social y de la cobertura universal.</t>
  </si>
  <si>
    <t>a) La de derechos humanos.</t>
  </si>
  <si>
    <t>b) La de empleado.</t>
  </si>
  <si>
    <t>c) La de sujeto de derechos.</t>
  </si>
  <si>
    <t>* d) La de trabajador formal.</t>
  </si>
  <si>
    <t>a) El desarrollo de la biopolítica.</t>
  </si>
  <si>
    <t>b) El disciplinamiento de los cuerpos.</t>
  </si>
  <si>
    <t>* c) La cuestión de la biohistoria.</t>
  </si>
  <si>
    <t>d) La medicalización colectiva.</t>
  </si>
  <si>
    <t>* a) Está prohibido declarar en nombre de la persona con quien se tuvo el hijo a menos que esa persona lo haya reconocido ya o lo haga en el mismo acto.</t>
  </si>
  <si>
    <t>b) No está permitido declarar el nombre de la persona con quien se tuvo el hijo, en ausencia de esta última, salvo que se presenten elementos probatorios de la paternidad.</t>
  </si>
  <si>
    <t>c) Puede declarar el nombre de la persona con quien tuvo el hijo, por ser la madre, aunque esta última no esté presente, aportando dos testigos que acrediten el vínculo.</t>
  </si>
  <si>
    <t>d) Se puede declarar el nombre de la persona con quien se tuvo el hijo independientemente de la voluntad de la persona de consentir el acto.</t>
  </si>
  <si>
    <t>a) El deber de dar alimento a los hijos y educarlos corresponde únicamente al progenitor que ejerza la tenencia legal.</t>
  </si>
  <si>
    <t>b) En caso de divorcio, existe deber de dar alimentos y educar a los hijos siempre que el progenitor que ejerza la tencia no cuente con los medios para hacerlo.</t>
  </si>
  <si>
    <t>* c) Incumbe siempre a ambos padre el deber de dar alimento a sus hijos y educarlos, no obstante que la tenencia sea ejercida por uno de ellos.</t>
  </si>
  <si>
    <t>d) La obligación de manutención económica hacia los hijos, cesa si el progenitor que ejercer la tenencia contrae un nuevo matrimonio o establece una  nueva unión de hecho.</t>
  </si>
  <si>
    <t>* a) Pueden contrare matrimonio previa dispensa jurídica.</t>
  </si>
  <si>
    <t>b) Realizando un pedido administrativo de autorización ante el Juez de Paz del Registro Civil.</t>
  </si>
  <si>
    <t>c) Si disponen de los medios materiales que aseguren su subsistencia podrán casarse.</t>
  </si>
  <si>
    <t>d) Sólo con el consentimiento de los padres de ambos pueden concretar el acto jurídico del matrimonio.</t>
  </si>
  <si>
    <t>a) Las personas internadas podrán irse sólo cuando autorice el Juez y previo informe al órgano de revisión.</t>
  </si>
  <si>
    <t>b) Los pacientes no podrán abandonar el hospital hasta que el equipo interdisciplinario evalúe que están en condiciones de alta.</t>
  </si>
  <si>
    <t>* c) Las personas internadas bajo su consentimiento podrán decidir por sí mismas el abandono de la internación en cualquier momento.</t>
  </si>
  <si>
    <t>d) Los Trabajadores Sociales deberán localizar y llamar a familiares para que firmen el alta voluntaria de los pacientes que decidan abandonar el tratamiento.</t>
  </si>
  <si>
    <t>a) Localizar a los familiares o referentes sociales para que firmen el consentimiento e informar al Juez.</t>
  </si>
  <si>
    <t>b) Informar por escrito al órgano de revisión dentro de las 72 horas.</t>
  </si>
  <si>
    <t>c) Elevar el informe interdisciplinario de la situación al Juez Competente en la materia dentro de las 48 horas.</t>
  </si>
  <si>
    <t>* d) Notificar al juez competente y al órgano de revisión en un plazo máximo de 10 horas.</t>
  </si>
  <si>
    <t>a) A todas las intervenciones en salud de que impliquen riesgo de vida, las intervenciones complejas o en salud mental sólo se cubren con la documentación en regla con las disposiciones vigentes.</t>
  </si>
  <si>
    <t>b) El acceso estará supeditado a la acreditación de identidad que justifique mediante constancia hábil su permanencia en la República Argentina.</t>
  </si>
  <si>
    <t>c) Podrá acceder sólo a las prestaciones de urgencia si es residente transitorio y acceso al total de prestaciones si es residente temporario y/o permanente.</t>
  </si>
  <si>
    <t>* d) No podrá negársele o restringírsele en ningún caso, el acceso al derecho a la salud, la asistencia social o atención sanitaria a todos los extranjeros que lo requieran, cualquiera sea su situación migratoria.</t>
  </si>
  <si>
    <t>a) Basta con la denuncia que pudiera realizar la trabajadora social del hospital como parte del equipo de salud.</t>
  </si>
  <si>
    <t>b) Cualquier persona vinculada a la víctima podrá registrar el hecho en la Comisaría mas cercana.</t>
  </si>
  <si>
    <t>* c) La mujer que haya padecido violencia sexual es la única legitimada para hacer la denuncia.</t>
  </si>
  <si>
    <t>d) La mujer deberá radicar la denuncia sólo si está acompañada de testigos oculares del hecho y/u otras pruebas irrefutables.</t>
  </si>
  <si>
    <t>a) Prohibir al presunto agresor enajenar, disponer, ocultar o destruir el 50% de los bienes habidos en forma ganancial y correspondientes a su pareja.</t>
  </si>
  <si>
    <t>* b) Prohibir al presunto agresor enajenar, disponer, destruir, ocultar o trasladar bienes gananciales de la sociedad conyugal o los comunes de la pareja conviviente.</t>
  </si>
  <si>
    <t>c) Sólo podrá prohibir la enajenación, disposición, destrucción o traslado de los bienes del presunto agresor en caso de sentencia favorable a la mujer.</t>
  </si>
  <si>
    <t>d) La prohibición al presunto agresor de enajenar, disponer, destruir, ocultar o trasladar bienes gananciales solo podrá realizarse en caso de la sociedad conyugal.</t>
  </si>
  <si>
    <t>a) El reestablecimiento del normal desarrollo de los sujetos a su vida familiar y social mediante el tratamiento en el medio de los miembros con problemas.</t>
  </si>
  <si>
    <t xml:space="preserve">* b) La conservación o recuperación por parte de los sujetos del ejercicio y goce de sus derechos vulnerados y la reparación de sus consecuencias. </t>
  </si>
  <si>
    <t>c) La protección temprana de la integridad física, psíquica y emocional de los sujetos afectados por situaciones violentas en su seno familiar.</t>
  </si>
  <si>
    <t>d) La evaluación de las funciones de protección y crianza que ejercían los adultos del medio en el que se encuentran insertos.</t>
  </si>
  <si>
    <t>a) Centro educativo terapéutico.</t>
  </si>
  <si>
    <t>b) Centro de día.</t>
  </si>
  <si>
    <t>c) Pequeño Hogar.</t>
  </si>
  <si>
    <t>* d) Residencia.</t>
  </si>
  <si>
    <t>a) La eximición de los cargos por aportes patronales sobre los beneficios sociales.</t>
  </si>
  <si>
    <t>b) La eximición del monto de los ingresos brutos sobre un porcentaje de la producción en cada período fiscal.</t>
  </si>
  <si>
    <t>* c) Una deducción especial en la determinación del Impuesto a las ganancias sobre los capitales.</t>
  </si>
  <si>
    <t>d) Un descuento del cincuenta porciento sobre los impuesto municipales y de bromatología.</t>
  </si>
  <si>
    <t>a) De común acuerdo por las parejas que asisten a la consulta tras recibir la información completa y adecuada en el efector de salud.</t>
  </si>
  <si>
    <t>* b) Elegidos voluntariamente por las/los beneficiarios luego de recibir información completa y adecuada por parte del profesional.</t>
  </si>
  <si>
    <t>c) En caso de ser menores de 18 años, los padres o parejas mayores de edad, deben firmar el consentimiento informado al suministrársele el método elegido.</t>
  </si>
  <si>
    <t>d) La adopción de un método anticonceptivo está sujeto a la disponibilidad de recursos en el efector donde se brinda información.</t>
  </si>
  <si>
    <t>* a) En ningún caso se puede individualizar a las personas a través de fichas, registros o almacenamiento de datos, los cuales deberán llevarse en forma codificada.</t>
  </si>
  <si>
    <t>b) Cada caso sospechoso que aparece y se confirma debe registrarse, identificarse y realizar la correspondiente denuncia epidemiológica al organismo nacional correspondiente.</t>
  </si>
  <si>
    <t>c) Siempre que aparezca un caso sospechoso debe citárselo o buscárselo con la fuerza pública para realizar las pruebas correspondientes para su confirmación y registro público epidemiológico.</t>
  </si>
  <si>
    <t>d) Sólo podrán llevar un registro personalizado de los casos que aparecen siempre que los datos se encuentren informatizados y con clave de acceso secreto y restringido.</t>
  </si>
  <si>
    <t>a) Generar acciones que protejan a los 4 niños que quedan sin cuidado materno.</t>
  </si>
  <si>
    <t>* b) Posibilitar la permanencia del neonato junto con la madre.</t>
  </si>
  <si>
    <t>c) Restringir el contacto con adultos por posibles gérmenes y bacterias.</t>
  </si>
  <si>
    <t>d) Subsidiar los traslados de los padres de los niños internados.</t>
  </si>
  <si>
    <t>a) Los estudiantes avanzados y los matriculados de las carreras terciarias y universitarias vinculadas al Servicio Social o Trabajo Social.</t>
  </si>
  <si>
    <t>b) Todos los matriculados que no tengan llamados de atención, multa e incumplimiento de pago de matrícula mayor de dos años.</t>
  </si>
  <si>
    <t>* c) Todos los matriculados que no se hallen cumpliendo sanciones previstas en los incisos d) y e) del artículo 32.</t>
  </si>
  <si>
    <t>d) Todos los matriculados que tengan mas de un año de matriculación y no sean alcanzados por las sanciones del artículo 31.</t>
  </si>
  <si>
    <t xml:space="preserve">a) Coordinadores de todos los programas de residencias del hospital, los jefes de residentes y un residente representante de cada </t>
  </si>
  <si>
    <t>b) Director del Hospital, Secretario del Comité de Docencia y Jefes de Residentes de cadauna de las especialidades en el hospital.</t>
  </si>
  <si>
    <t>c) Residentes y Jefes de residentes.</t>
  </si>
  <si>
    <t>* d) Secretario del Comité de Docencia, cuatro representantes de residentes o jefes de residentes y cuatro coordinadores de programas de residencias.</t>
  </si>
  <si>
    <t>a) Cuando el paciente vuelva a retirar los resultados.</t>
  </si>
  <si>
    <t>* b) Dentro de las 48 hs.</t>
  </si>
  <si>
    <t>c) En las 72 horas siguientes.</t>
  </si>
  <si>
    <t>d) No tiene un límite de tiempo.</t>
  </si>
  <si>
    <t>a) Cada persona será atendida dentro de los efectores del subsector al que esté vinculado en cualquier tipo de situación que acontezca.</t>
  </si>
  <si>
    <t>b) El primer lugar donde recibirá primeros auxilios una persona en situación de emergencia y sin cobertura de pre paga u obra social, será el hospital público.</t>
  </si>
  <si>
    <t>* c) En caso de urgencia, tiene derecho a recibir los primeros auxilios en el efector más cercano, perteneciente a cualquiera de los subsectores.</t>
  </si>
  <si>
    <t>d) Las personas sin cobertura médico social podrán ser atendidas, en caso de urgencia, en los sanatorios mas cercanos, siempre que esté conveniado con el subsistema público de salud del GBA.</t>
  </si>
  <si>
    <t>a) El primer hijo de la descendencia está obligado legalmente a atender a sus padres en situación de enfermedad o necesidad.</t>
  </si>
  <si>
    <t>b) La obligación legal de cuidar a los padres en su ancianidad y en estado de demencia o enfermedad cesa si los hijos tienen su propia descendencia.</t>
  </si>
  <si>
    <t>* c) Los hijos están obligados a cuidar a sus padres en su ancianidad y en estado de demencia o enfermedad y a proveer a sus necesidades.</t>
  </si>
  <si>
    <t>d) No existe obligación legal de atender a los padres en situación de enfermedad o necesidad.</t>
  </si>
  <si>
    <t>a) En la distribución de los recursos en salud por comunas y área programáticas.</t>
  </si>
  <si>
    <t>b) En los criterios de igualdad y equidad en el acceso a la atención de la salud.</t>
  </si>
  <si>
    <t>c) En los resultados epidemiológicos de la morbimortalidad que presenta la Ciudad.</t>
  </si>
  <si>
    <t>* d) En tres niveles de atención categorizados por capacidades de resolución.</t>
  </si>
  <si>
    <t>concepto con marca de respuesta</t>
  </si>
  <si>
    <t>concepto sin marca de respuesta</t>
  </si>
  <si>
    <t>Primer carácter</t>
  </si>
  <si>
    <t>Modalidad</t>
  </si>
  <si>
    <t>Fácil</t>
  </si>
  <si>
    <t>Difícil</t>
  </si>
  <si>
    <r>
      <rPr>
        <sz val="11"/>
        <color rgb="FFFF0000"/>
        <rFont val="Calibri"/>
        <family val="2"/>
      </rPr>
      <t>Leonardo A. Caravaggio</t>
    </r>
    <r>
      <rPr>
        <sz val="24"/>
        <color rgb="FFFF0000"/>
        <rFont val="Calibri"/>
        <family val="2"/>
      </rPr>
      <t>®</t>
    </r>
  </si>
  <si>
    <t>(no olvide habilitar las macros)</t>
  </si>
  <si>
    <t>Cantidad de Preguntas</t>
  </si>
  <si>
    <t>Según Basaglia, en las instituciones de Salud Mental. ¿Qué llega a hacer aceptar el perfeccionismo técnico especializado?</t>
  </si>
  <si>
    <t>Según Bourdieu y Wacquant ¿Cúales son las fuerzas que son activas en el campo y que, por lo mismo, el analista selecciona como pertinentes, porque producen las diferencias más importantes?</t>
  </si>
  <si>
    <t>Para Gustavo Parra, los elementos en la génesis de la profesión, marcaron y acompañaron su desarrollo histórico, entre ellos un posicionamiento ideológico, una legitimación de la práctica profesional que provenía fundamentalmente de las clases dominantes. ¿Cúal es el otro elemento que menciona Parra?</t>
  </si>
  <si>
    <t>Según Gustavo Parra, la Iglesia ante el proceso de secularización capitalista y su pérdida de hegemonía, intentó recuperar poder junto al Estado. A través de diversas Encíclicas se hizo un llamamiento a los católicos y se presentó una programática para atender a los problemas sociales. ¿Como qué era entendida en estos documentos la cuestión social?</t>
  </si>
  <si>
    <t>Según Edith Fuentes, en el ámbito hospitalario, ¿Para qué se utiliza el recurso de la internación en los niños en situación de vulnerabilidad?</t>
  </si>
  <si>
    <t>Maria Eugenia Royer, plantea la definición de los problemas de salud desde una perspectiva poblacional sustentada en los aportes de la  epidemiología y demografía. ¿Cúales son las principales variables de la dinámica demográfica citadas por la autora?</t>
  </si>
  <si>
    <t>El equipo del Ministerio de Salud debe definir prioridades en la salud de la población para ejecutar su presupuesto. En las estadísticas de los últimos años observa que la denuncia de embarazo adolescente ha ido creciendo un 2% anual. ¿A qué tasa nos referimos cuando decimos que crece un 2% por año?</t>
  </si>
  <si>
    <t>Para Carballeda. ¿Qué permiten, durante la intervención, las entrevistas signadas por relatos de historias de vida, biografías o acontecimientos significativos?</t>
  </si>
  <si>
    <t>¿Cúal es, según Estela Grassi la racionalidad dominante, como guía de la acción, la organización y la gestión que subyace a la modalidad gerencial?</t>
  </si>
  <si>
    <t>Cuando Gattino y Flores, dicen que la familia cuenta con tres fuentes de provisión de recursos para la satifacción de sus necesidades, ¿A qué se refieren cuando hablan de "las transferencias informales"?</t>
  </si>
  <si>
    <t>Sonia Fleury describe a los tres modelos de política social , según la tipología de Titmus. ¿Cómo se denomina el modelo de Política Social que se caracteriza por la solución de las necesidades sociales a partir de las posibilidades del mercado, en términos individuales o en pequeños grupos siendo la familia el grupo fundamental?</t>
  </si>
  <si>
    <t>En su artículo Sonia Fleury, hace mención a los desafíos actuales que enfrenta el Welfare: en la línea de los teóricos integracionistas serían: el envejecimiento de la población, los cambios sexuales en la división del trabajo y la necesidad de nuevos contratos inter generación y los sexos. ¿Cúal sería el tercero?</t>
  </si>
  <si>
    <t>En su artículo Mabel Grimberg, refiere que tanto en la problemática de prevención al VIH-Sida,como en programas preventivos y en gran parte de la bibliografía clínica, epidemiológica y de las ciencias sociales, existe todavía una concepción predominante sobre la juventud y los jóvenes como "problema social". ¿Cómo es esa concepción?</t>
  </si>
  <si>
    <t>Desde el punto de vista metodológico. ¿Qué tipo de estudio realiza Mabel Grimberg para llegar a sus conclusiones?</t>
  </si>
  <si>
    <t>Para Claudia Danani ¿Cúal es la noción en la que confluyen los problemas de la política social y el de la economía social como alternativa socio económica?</t>
  </si>
  <si>
    <t>Según Claudia Danani, ¿Cúal es el origen donde se desarrolla las idea de Economía Social como estrategia dirigida a los sectores populares (...) con vistas a disminuir el coste social de su reproducción para obtener un número deseable de trabajadores con un mínimo de gasto público?</t>
  </si>
  <si>
    <t>Cuando Giddens habla de "relaciones de fiabilidad sostenidas por, o expresadas en, las conexiones establecidas dentro de las circunstancias de presencia mutua". ¿A qué esta haciendo referencia?</t>
  </si>
  <si>
    <t>Cuando Giddens aborda el tema de la fiabilidad, el "ser" o el "ser-en-el-mundo". ¿Con qué tiene que ver?</t>
  </si>
  <si>
    <t>Cuando Aguilar Idañez enuncia los principios que deben orientar la evaluación del rendimiento. ¿A cúal de ellos cita al referirse a la necesidad de evaluar los aspectos más importantes y decisivos del rendimiento?</t>
  </si>
  <si>
    <t>Para E. Garcia Fuster. ¿Cúales son los factores críticos que se deben considerar en el período de afrontamiento, para que la persona mayor viva una vida satisfactoria, manteniendo la dignidad y la autoestima después de cada pérdida?</t>
  </si>
  <si>
    <t>Para Garcia Fuster. ¿Cúal continúa siendo la fuente de apoyo más importante para la población anciana mas dependiente y necesitada?</t>
  </si>
  <si>
    <t>Para Silverman, en Garcia Fuster, el proceso de adaptación que deben transitar las personas que enviudan, además de la capacidad de volver a configurar su propia vida. ¿Qué implica?</t>
  </si>
  <si>
    <t>Según Carballeda, ¿Cómo debía ser el poder que Sarmiento pretende constituir mediante la educación, vinculado con la "ductilidad femenina", para lograr la efectividad requerida?</t>
  </si>
  <si>
    <t>Para Dabas y Perrone, las mejores intervenciones en la estrategia de trabajo en red se realizan cuando se produce una opción sobre articulaciones y vínculos preexistentes. Desde esta perspectiva ¿Qué impacto tendrá sobre el funcionamiento nuestro accionar?</t>
  </si>
  <si>
    <t>Para Dabas y Perrone , muchas respuestas gerenciales, son con frecuencia el resultado de presiones interactivas, ilógicas e irracionales de la vida organizacional o del contexto. En la actual realidad caótica y compleja. ¿Qué hay que aplicar en lo que se hace?</t>
  </si>
  <si>
    <t>Para Silvia Faraone, avanzar en la construcción de los modelos alternativos implica la creación de redes vinculares con significaciones diferentes a las que existían antes de producirse la "enfermedad" y que son constitutivas de la misma. Por tal motivo ¿En qué estaría centrada la intervención?</t>
  </si>
  <si>
    <t>Para Graciela Touzé, la fuerza del paradigma abstencionista retrasó significativamente la aceptación y el desarrollo de otros modelos de trabajo. Especialmente, ¿A qué modelo se refiere la autora?</t>
  </si>
  <si>
    <t>Para Graciela Touze ¿En qué situaciones se encuentran dos instancias especializadas como la Justicia y la Medicina, respecto al heterocontrol de la toxicomanía?</t>
  </si>
  <si>
    <t>Para Natalio Kisnerman, la práctica tiene contenidos que deben ser tenidos en cuenta en la supervisión. Cita el contenido objetivo, el convencional y, ¿Cúal es el otro mencionado por el autor?</t>
  </si>
  <si>
    <t>Según Natalio Kisnerman, ¿Cómo se denominan aquellos momentos, imágenes conflictivas de nuestra vida que reaparecen en situaciones grupales?</t>
  </si>
  <si>
    <t>Para Kisnerman el conocimiento no es el producto de un sujeto. Para el autor ¿De dónde surge el conocimiento?</t>
  </si>
  <si>
    <t>Según Natalio Kisnerman, desde un enfoque constructivista, ¿Qué capacidad alcanzada debe evaluarse en el supervisado para participar provechosamente en situaciones de interacción y aprendizaje?</t>
  </si>
  <si>
    <t>Silvia Faraone, refiere que si bien la institución manicomial manifiesta trabajar para la cura del paciente.¿Al servicio de qué esta puesto su mayor esfuerzo?</t>
  </si>
  <si>
    <t>Para Graciela Tonón, tomando la entrevista como relación social. ¿Cómo se denomina el despliegue de conductas, discursos, enunciados, verbalizaciones, simbolizaciones y representaciones sociales que desarrolla el entrevistado durante la misma?</t>
  </si>
  <si>
    <t>Para Graciela Tonón, la conceptualización del encuadre y su operacionalización se consideran cuestiones nodales en el proceso de actuación profesional. ¿Para qué es esto indispensable en relación a determinados emergentes de las entrevistas?</t>
  </si>
  <si>
    <t xml:space="preserve">Según Dabas y Perrone, ¿Qué paradigma modifica la multicentralidad de la red? </t>
  </si>
  <si>
    <t>Para Mario Rovere, ¿Con qué tipo de mecanismo aparece generalmente el nivel de fusión dentro de la construcción de redes?</t>
  </si>
  <si>
    <t>Según Mario Róvere, ¿Cómo se reduce la demanda de organización piramidal?</t>
  </si>
  <si>
    <t>Pichardo Muñiz al definir Planificación Estratégica pretende rescatar esa concepción de estrategia al plantearla como una lucha entre oponentes para el logro de determinados objetivos. Según la autora. ¿En qué debe apoyarse la formulación de la estrategia?</t>
  </si>
  <si>
    <t>Según Donzelot, el diagnóstico social es el procedimiento técnico que se encuadra en el punto de confluencia de la asistencia y la represión. ¿Qué se intenta eliminar de ambas mediante el diagnóstico?</t>
  </si>
  <si>
    <t>Para Bourdieu Wacquant, cuando se observa coherencia en el estado dado de un campo. ¿De qué es resultado esta coherencia?</t>
  </si>
  <si>
    <t xml:space="preserve">En su definición de "campo". ¿A qué noción se opone abiertamente Bourdieu? </t>
  </si>
  <si>
    <t>La teoría de los grupos operativos refiere que los grupos atraviesan diferentes etapas. Según Bauleo, Charur Zarzar cuando el grupo empieza a tomar sobre sí las funciones de organización, toma de decisiones y de control. ¿En qué etapa se encontraría?</t>
  </si>
  <si>
    <t>Según Charur Zarzar. ¿Cómo se denominan los roles que están determinados por la posición que ocupa un sujeto en una determinada organización o institución?</t>
  </si>
  <si>
    <t>Ante la presunción de un caso de maltrato infantil, Graciela Tonon, refiere la necesidad de validarlo, es decir saber si efectivamente se ha producido, para ello hay que efectuar la valoración del caso. ¿Qué tipo de valoración describe la autora?</t>
  </si>
  <si>
    <t>¿A qué hace referencia Graciela Tonón cuando, siguiendo a Morin , dice..."delimita un campo de competencia y construye un objeto de estudio"?</t>
  </si>
  <si>
    <t>Según Rodriguez Gómez y otros, de forma general el estudio de caso se basa en el razonamiento inductivo. ¿Cúal es otra de sus características?</t>
  </si>
  <si>
    <t>En la hipótesis, "Luego de la última crisis económica, entre las mujeres se encontró mayor nivel de adecuación a los nuevos perfiles laborales que entre los varones". ¿Qué tipo de variable es el sexo?.</t>
  </si>
  <si>
    <t>En la hipótesis, "El estudio en grupo contribuye a la obtención de mejores calificaciones", la variable "la obtención de mejores calificaciones". ¿Qué tipo de variable es?</t>
  </si>
  <si>
    <t>En la hipótesis. "El aumento de la violencia en el fútbol, disminuyó la asistencia de público a los estadios" ¿Cómo se denomina la variable "asistencia de público a los estadios"?</t>
  </si>
  <si>
    <t>En la hipótesis "El manejar acompañado por una persona adulta en la ruta, disminuye las posibilidades de sufrir accidentes al conducir" ¿Qué tipo de varible es "edad del acompañante" ?</t>
  </si>
  <si>
    <t>Una pareja de extranjeros que esta en el país de manera temporaria, consulta al Servicio Social de un Hospital Materno Infantil del G.C.B.A por la posibilidad de adopción de un niño que se encuentra internado en dicho efector. ¿Cúal es la orientación que la trabajadora social debe dar según la reserva realizada por la Argentina de la Convención Internacional de los derechos de niños niñas y adolescentes, en relación a la adopción internacional?</t>
  </si>
  <si>
    <t>Un residente de pediatría de un hospital del G.C.B.A acude al Servicio Social del mismo a fin de consultar acerca de un niño de 5 años internado hace 15 días. Refiere que sus padres concurren esporádicamente por dificultades laborales y vinculares. Según el artículo 18 de la Convención Internacional de los derechos de niños niñas y adolescentes. ¿A quién compete la crianza y el desarollo del niño?</t>
  </si>
  <si>
    <t>La mamá de Juan, un joven de 25 años, consulta al Servicio Social del CESAC de su domicilio para asesorarse sobre la posibilidad de internarlo en un Hospital Psiquiátrico por reiterados brotes psicóticos, poniendo en riesgo su vida y la de terceros. La trabajadora social la asesora según la Ley 448 de Salud Mental sobre las diferentes formas de acceder al régimen de internación. ¿Cuáles son estas formas?</t>
  </si>
  <si>
    <t xml:space="preserve">Manuel, un paciente de 40 años, se encuentra en condiciones de egresar de un Hospital Psiquiátrico del G.C.B.A. El equipo interdisciplinario interviniente evalúa ante la falta de red social y familiar continente, otras posibilidades de egreso. Según consta en el Artículo 15 de la Ley de Salud Mental 448. ¿Cúal es la estrategia de intervención a implementar en estos casos? </t>
  </si>
  <si>
    <t>Raquel, la mamá de Pedro, quien padece una discapacidad motora consulta al Servicio Social del centro de salud de referencia, dado que por diversas circunstancias no puede usufructuar el traslado gratuito de transporte colectivo entre su domicilio y el establecimiento educacional del niño. En base a la Ley 24.901 y considerando que Pedro tiene obra social. ¿Qué orientación le debe dar la trabajadora social acerca del beneficio correspondiente?</t>
  </si>
  <si>
    <t>El señor Lopez tiene dos hijos, uno de 12 años que cursa la escuela primaria y el otro de 23 declarado discapacitado, este concurre a un establecimiento oficial en el cual se le brindan servicios de rehabilitación. Según el artículo 14 Bis de la Ley 22.431. ¿Qué tiene derecho a percibir el señor Lopez junto con su salario, por su hijo discapacitado?</t>
  </si>
  <si>
    <t>Julieta tiene una discapacidad motora, es empleada en relación de dependencia en una empresa gastronómica. De acuerdo al Artículo 10 de la Ley 22.431. ¿Por su discapacidad, qué beneficios tiene Julieta?</t>
  </si>
  <si>
    <t>Una adolescente de 15 años de edad cuya familia de origen reside en la provincia de Tucumán, tuvo a su hijo en un hospital público de la Ciudad de Buenos Aires. Tanto ella como su hijo se encuentran en condiciones de alta. Según la resolución 1342/05 de la Secretaría de Salud ¿Cómo debe proceder el equipo de salud del hospital?</t>
  </si>
  <si>
    <t>Una joven de 18 años, con DNI en mal estado acude al Servicio de Salud Sexual y Reproductiva de un Centro de Salud dependiente del G.C.B.A. Solicita asesoramiento y la provisión de un método anticonceptivo. Según la resolución 1253/05, Artículo 1 de la Secretaría de Salud ¿Cómo debe proceder el profesional interviniente?</t>
  </si>
  <si>
    <t>Desde el Centro de Salud y Acción Comunitaria Nº 12, se plantea realizar talleres de promoción de la Ley 418 de Salud Sexual y Reproductiva, en diferentes espacios comunitarios. En concordancia con la población destinataria de dicha ley. ¿ A quiénes estarían dirigidas las acciones?</t>
  </si>
  <si>
    <t>Vanina tiene 23 años, vive en Barrio Mitre junto a su pareja y sus dos hermanos de 8 y 12 años. Desde hace 3 años asumió la crianza de los hermanos luego del fallecimiento de sus padres. No tiene un trabajo estable y las changas que realiza son el único ingreso del hogar. En ocasión de un control de salud de los niños Vanina consulta en el Servicio Social sobre la posibilidad de adoptar a sus hermanos. ¿Cuál es el motivo por el cual la trabajadora social le informa que esto no será posible?</t>
  </si>
  <si>
    <t xml:space="preserve">Juan y Ana tienen 27 y 25 años respectivamente, se casaron recientemente y desean adoptar un bebé. ¿Qué podrán hacer de acuerdo a lo estipulado por la Ley 24779? </t>
  </si>
  <si>
    <t>Se presenta una joven de 18 años en el Servicio Social de un hospital solicitando asesoramiento respecto a la posibilidad de contraer matrimonio con su novio de la misma edad. Si se considera lo dispuesto por la Ley 23.515 ¿Con el consentimiento de quiénes podrán hacerlo?</t>
  </si>
  <si>
    <t>Laura vive sola con su hijo de 1 año y ambos se atienden en un centro de salud de la zona. Allí mantiene una entrevista con una trabajadora social en la que relata que desde pequeña padece una enfermedad muscular que le impide trabajar pero que esto se torna un problema luego de su divorcio, ya que antes resolvía su subsistencia a partir de los ingresos de su marido. ¿Sobre qué debería ser asesorada si se tiene en cuenta la Ley 23.515?</t>
  </si>
  <si>
    <t>Una trabajadora social de un hospital ha sido sancionada por negligencia frecuente en el cumplimiento de sus deberes profesionales. Según el artículo 32 de la Ley de Ejercicio Profesional.¿Cúal de estas medidas disciplinarias no le compete apoptar al Consejo Profesional?</t>
  </si>
  <si>
    <t>Una mujer adulta concurre con su pareja a retirar el resultado de un testeo de VIH en el Hospital Santojanni, obteniendo un resultado positivo. Ante este hecho. ¿Cúales son las acciones que no está obligado a realizar el personal de ese efector según la Ley 23.798?</t>
  </si>
  <si>
    <t>En el marco de actividades de un Cepad (Centro de Prevención, Asesoramiento y Diagnóstico), un profesional está manteniendo una entrevista con un adolescente que ha decidido realizar un test de VIH. Según la Ley 23.798. ¿Qué acciones deberá realizar este profesional?</t>
  </si>
  <si>
    <t>Esteban de 14 años se encuentra internado en el Servicio de Pediatría del Hospital Durand, ingresa por guardia al sufrir una intoxicación por consumo de pasta base. De la entrevista social surge que el niño se encuentra en situación de calle, sin acompañamiento de un referente adulto y sin un medio familiar continente. Según la Ley Nacional 26.061. ¿A quién deberá comunicar el equipo de salud, esta circunstancia que constituye una situación de vulneración de derechos?</t>
  </si>
  <si>
    <t>Juana de 32 años se acerca al Servicio Social del Centro de Salud de su barrio; se encuentra con sus tres hijos pequeños de 9, 6 y 3 años y en un estado de gran angustia. En la entrevista social la joven mujer comenta estar desocupada hace varios meses, al igual que su marido y no disponer de recursos para atender a las necesidades mas básicas de sus niños, como ser la alimentación. Asimismo, expresa encontrarse ante un inminente desalojo de la precaria vivienda en donde habitan. Según la Ley 26.061 ¿Qué medidas de protección deben adoptarse ante esta situación?</t>
  </si>
  <si>
    <t>Sandra de 29 años de edad, concurre a un Centro de Salud del Gobierno de la Ciudad, en la entrevista con la trabajadora social, Sandra expresa ser víctima, desde hace aproximadamente un año, de violencia física y verbal por parte de su pareja conviviente. Explica que las agresiones se han agudizado en los últimos meses, encontrándose, actualmente preocupada y con temor por su seguridad física. Sandra desea saber las acciones que se podrían llevar a cabo para detener rapidamente la violencia, de su pareja. Según la Ley 24.417, una vez realizada la denuncia correspondiente. ¿Qué medida cautelar deberá adoptar el Juez para resguardar la integridad física del damnificado?</t>
  </si>
  <si>
    <t xml:space="preserve">Fátima de 11 años de edad ingresa a la guardia pediátrica del Hospital Fernández, trasladada por el SAME y acompañada por su maestra de grado quien manifiesta que la niña da muestras claras de haber sufrido abuso sexual. Luego de la revisación médica el profesional de la salud constata la presencia de signos y síntomas de abuso. Según la Ley 24.417. ¿Qué procedimiento deberán efectuar tanto los profesionales de la salud como los representantes de las instituciones educativas ante esta situación? </t>
  </si>
  <si>
    <t>Según la Ordenanza N 40.997/85 (MCBA) del Sistema Municipal de Residencias del Equipo de Salud, ¿Cúal es la función primordial del Jefe de Residentes?</t>
  </si>
  <si>
    <t>De acuerdo a la Ordenanza N 40.997/85 (MCBA) del sistema Municipal de Residencias del Equipo de Salud, ¿Cúantos días de licencia anual ordinaria por período de contrato corresponde a los residentes?</t>
  </si>
  <si>
    <t>Guillermo de 29 años, ha sido procesado por tenencia de estupefacientes para consumo personal. Según el artículo 21 de la Ley 23737, ¿En qué casos el Juez de la causa podrá, por única vez, sustituir la pena por una medida de seguridad educativa en la forma y modo que judicialmente se determine?</t>
  </si>
  <si>
    <t>Luisa, de 59 años, ha sido procesada por tenencia de estupefacientes según lo indicado por la Ley N° 23.737. Durante el juicio se acredita que la tenencia es para uso personal, se declara su culpabilidad y su dependencia física y psíquica a los estupefacientes. Según el artículo 17 de esta Ley, ¿Con qué alternativa cuenta el Juez en caso que decida dejar en suspenso la aplicación de la pena?</t>
  </si>
  <si>
    <t>Desde hace tres meses Natalia de 29 años se encuentra internada en un hospital psiquiátrico en la Ciudad de Buenos Aires. Su familia considera que el tratamiento y el cuidado que recibe en la institución no son pertinentes. Según el inciso C del artículo 12 de la Ley N° 22.914 ¿Quién es el responsable de controlar el trámite de las actuaciones en que interviene, requiriendo las medidas conducentes al mejor tratamiento y cuidado de los internados, así como la administración y custodia de sus bienes y, tan pronto como sea pertinente solicitar el cese de la internación?</t>
  </si>
  <si>
    <t>Según la Ley 23.264 ¿A cuál de los padres incumbe en caso de divorcio vincular, separación personal, separación de hecho, o nulidad de matrimonio- el deber de dar alimento a sus hijos y educarlos; no obstante que la tenencia sea ejercida por uno de ellos?</t>
  </si>
  <si>
    <t xml:space="preserve">Según la Ley 23.264 Adrián de 15 años, necesita consentimiento expreso de ambos padres para ingresar a una comunidad religiosa. Sobre la posibilidad del ingreso del joven a dicha institución existe un desacuerdo entre el padre y la madre. Uno de ellos acude al Juez competente planteándole el entredicho y solicitándole una solución. De acuerdo al artículo 264 de esta misma Ley ¿Cómo debería actuar el Juez ante esta situación? </t>
  </si>
  <si>
    <t>Ingresa a un Hospital de Agudos del Gobierno de la Ciudad un niño de 4 años de edad presentando un cuadro de desnutrición aguda por déficit alimentario. La familia plantea que no cuenta con recursos materiales para cubrir las necesidades básicas. ¿Cómo deberá proceder el equipo de salud teniendo en cuenta el marco de la Ley 114?</t>
  </si>
  <si>
    <t>Una mujer ingresa a un Hospital de Agudos del Gobierno de la Ciudad como consecuencia de un aborto. La pareja de la mujer desconoce el motivo que da origen a la internación y se dirige al médico tratante a fin de averiguarlo. De acuerdo a la Ley Básica de Salud ¿Cómo debe intervenir el médico?</t>
  </si>
  <si>
    <t>Un hombre se encuentra internado en un hospital del Gobierno de la Ciudad padeciendo una enfermedad terminal. La familia solicita al médico no informar al paciente acerca de su diagnóstico, en tanto que su paciente solicita conocer su estado de salud. ¿Cómo debe proceder el médico según la Ley Básica de Salud?</t>
  </si>
  <si>
    <t>Según Mastrángelo de Pamphilis ¿Cómo comienza la construcción del objeto de estudio y objeto modelo?</t>
  </si>
  <si>
    <t>Cuando Mastrángelo Pamphilis expresa algo más que números, marcas o indicios; "predica" cosas, sintetiza, concluye, aporta ideas y resultados de la indagación sobre algunas dimensiones del objeto de estudio ¿A qué concepto se está refiriendo?</t>
  </si>
  <si>
    <t>Según Cáceres y otros, en Trabajo Social tanto el entrevistador como el entrevistado desarrollan su respectivo protagonismo, son capaces de asumir tareas de acción alrededor de lo tratado en la entrevista. Para los autores ¿De dónde se parte para que esto sea posible?</t>
  </si>
  <si>
    <t>Cuando Cáceres y otros refieren que las limitaciones desde el entrevistador pueden ser actitudes que generan desconfianza, aluden a mostrar apuro, a mirar constantemente el reloj ¿Qué otra actitud mencionan al respecto?</t>
  </si>
  <si>
    <t>Para Rosana Guber los objetivos de la entrevista se plasman en la obtención de una profusa información. Para que esto sea posible.¿Qué es imprescindible cuidar de las verdaderas fuentes de información?</t>
  </si>
  <si>
    <t>Para Guber ¿Cuál es el peligro de desarrollar una relación de conquista desde la entrevista y desplazar el vínculo de orden social y cultural a una cuestión de encantos personales?</t>
  </si>
  <si>
    <t>Cuando Cáceres y otros hablan de la entrevista plantean los principios y postulados profesionales de Trabajo Social. Entre los tres postulados éticos plantean el respeto a la dignidad humana, perfectibilidad humana y ¿Cuál es el tercero?</t>
  </si>
  <si>
    <t>Para Cáceres y otros, ¿Cuáles son las dos dimensiones de la entrevista?</t>
  </si>
  <si>
    <t>Para Carballeda la visión de lo social como algo constitutivo de la vida cotidiana exige considerar la construcción de intercambios y reciprocidades dentro de un grupo, familia o barrio. Desde esta perspectiva ¿En términos de qué es organizada la vida social para el autor?</t>
  </si>
  <si>
    <t>Según Garcia Fuster ¿A qué se encuentra mas estrechamente asociado la institucionalización de la persona anciana?</t>
  </si>
  <si>
    <t>Para Graciela Tonon. ¿Cúal es la etapa de la Estrategia Metodológica de intervención en situaciones de maltrato infantil en la cual se identifican el nivel de riesgo y el nivel de severidad de la situación?</t>
  </si>
  <si>
    <t>Siguiendo a Foucault, el control de la sociedad sobre los individuos se opera por la conciencia y se ejerce en el cuerpo. Por lo tanto para este autor el cuerpo es:</t>
  </si>
  <si>
    <t xml:space="preserve">Para Torcigliani y Campana ¿Cómo se denomina el tipo de comunicación del proceso grupal que se inicia mediante un vínculo estructurado a partir de un emergente de apertura intencionada? </t>
  </si>
  <si>
    <t xml:space="preserve">Para Torcigliani y Campana ¿cuáles son las constantes que caracterizan el trabajo con grupo? </t>
  </si>
  <si>
    <t>Para Torcigliani y Campana ¿En qué ámbito se constituyen las representaciones sociales?</t>
  </si>
  <si>
    <t>Jelin hace referencia al proceso histórico de migración rural- urbana y las redes de parentesco en América Latina. Según la autora ¿qué tipo de contexto otorgan estas redes a la experiencia migratoria?</t>
  </si>
  <si>
    <t>Para Graciela Tonon ¿Cómo se denomina a las relaciones interpesonales en las cuales se ofrecen o intercambian ayudas del tipo material, emocional o instrumental, produciendo sensación de bienestar al receptor?</t>
  </si>
  <si>
    <t>Según Jelin, ¿Cúales son los criterios básicos que determinan la diferenciación del trabajo cotidiano entre los miembros de la familia?</t>
  </si>
  <si>
    <t>Maria Eugenia Royer, plantea la definición de los problemas de salud desde una perspectiva poblacional sustentada en los aportes de la epidemiología y demografía. ¿Cúales son las principales variables de la dinámica demográfica citadas por la autora?</t>
  </si>
  <si>
    <t xml:space="preserve">Para Carballeda. ¿Qué permiten, durante la intervención, las entrevistas signadas por relatos de historias de vida, biografías o acontecimientos significativos? </t>
  </si>
  <si>
    <t xml:space="preserve">¿Cúal es, según Estela Grassi la racionalidad dominante, como guía de la acción, la organización y la gestión que subyace a la modalidad gerencial? </t>
  </si>
  <si>
    <t>En su artículo Mabel Grimberg, refiere que tanto en la problemática de prevención al VIH-Sida, como en programas preventivos y en gran parte de la bibliografía clínica, epidemiológica y de las ciencias sociales, existe todavía una concepción predominante sobre la juventud y los jóvenes como "problema social". ¿Cómo es esa concepción?</t>
  </si>
  <si>
    <t xml:space="preserve">Para E. Garcia Fuster. ¿Cúales son los factores críticos que se deben considerar en el período de afrontamiento, para que la persona mayor viva una vida satisfactoria, manteniendo la dignidad y la autoestima después de cada pérdida? </t>
  </si>
  <si>
    <t>Para Graciela Touze ¿En qué situaciones se encuentran dos instancias especializadas como la Justicia y la Medicina, respecto al heterocontrol de  la toxicomanía?</t>
  </si>
  <si>
    <t>Según Dabas y Perrone, ¿Qué paradigma modifica la multicentralidad de la red?</t>
  </si>
  <si>
    <t xml:space="preserve">Según Mario Róvere, ¿Cómo se reduce la demanda de organización piramidal? </t>
  </si>
  <si>
    <t>En su definición de "campo". ¿A qué noción se opone abiertamente Bourdieu?</t>
  </si>
  <si>
    <t>Juan y Ana tienen 27 y 25 años respectivamente, se casaron recientemente y desean adoptar un bebé. ¿Qué podrán hacer de acuerdo a lo estipulado por la Ley 24779?</t>
  </si>
  <si>
    <t>Fátima de 11 años de edad ingresa a la guardia pediátrica del Hospital Fernández, trasladada por el SAME y acompañada por su maestra de grado quien manifiesta que la niña da muestras claras de haber sufrido abuso sexual. Luego de la revisación médica el profesional de la salud constata la presencia de signos y síntomas de abuso. Según la Ley 24.417. ¿Qué procedimiento deberán efectuar tanto los profesionales de la salud como los representantes de las instituciones educativas ante esta situación?</t>
  </si>
  <si>
    <t xml:space="preserve">Según la Ordenanza N 40.997/85 (MCBA) del Sistema Municipal de Residencias del Equipo de Salud, ¿Cúal es la función primordial del Jefe de Residentes? </t>
  </si>
  <si>
    <t xml:space="preserve">Guillermo de 29 años, ha sido procesado por tenencia de estupefacientes para consumo personal. Según el artículo 21 de la Ley 23737, ¿En qué casos el Juez de la causa podrá, por única vez, sustituir la pena por una medida de seguridad educativa en la forma y modo que judicialmente se determine? </t>
  </si>
  <si>
    <t>Según la Ley 23.264 Adrián de 15 años, necesita consentimiento expreso de ambos padres para ingresar a una comunidad religiosa. Sobre la posibilidad del ingreso del joven a dicha institución existe un desacuerdo entre el padre y la madre. Uno de ellos acude al Juez competente planteándole el entredicho y solicitándole una solución. De acuerdo al artículo 264 de esta misma Ley ¿Cómo debería actuar el Juez ante esta situación?</t>
  </si>
  <si>
    <t xml:space="preserve">Para Cáceres y otros, ¿Cuáles son las dos dimensiones de la entrevista? </t>
  </si>
  <si>
    <t>Para Torcigliani y Campana ¿Cómo se denomina el tipo de comunicación del proceso grupal que se inicia mediante un vínculo estructurado a partir de un emergente de apertura intencionada?</t>
  </si>
  <si>
    <t>Para Torcigliani y Campana ¿cuáles son las constantes que caracterizan el trabajo con grupo?</t>
  </si>
  <si>
    <t>Según Basaglia, la violencia y la exclusión se encuentran en instituciones basadas en una clara distribución de papeles y división del trabajo: como la escuela, la familia y las fábricas. Para el autor, la violencia y la exclusión: ¿En qué tipo de relaciones se desarrollan?</t>
  </si>
  <si>
    <t>Según Basaglia. ¿Cúal es la única explicación de orden socio-económico por la cual nuestro sistema social no tiene ningún interés en rehabilitar al enfermo mental?</t>
  </si>
  <si>
    <t>Cuando Bourdieu y Wacquant, desarrollan su definición de "campo", ¿A qué noción se oponen abiertamente?</t>
  </si>
  <si>
    <t>Según Carballeda: en "Del desorden de los cuerpos al orden de la sociedad", la visión de la guerra de Sarmiento empezaba a anunciar que, luego de  su finalización en el terreno de lo formal, la misma empezaría a correrse hacia la periferia y delinearia su continuidad en la paz. ¿De qué forma se expresaría esta continuidad?</t>
  </si>
  <si>
    <t>Según Carballeda en "Del desorden de los cuerpos al orden de la sociedad", dada la influencia de las ciencias naturales para interpretar lo económico y lo social. ¿Desde qué perspectiva leerá la sociedad el Positivismo Argentino?</t>
  </si>
  <si>
    <t>Danani plantea que como nada es permanente y universal; se retome la cuestión social de la Economía Social, como propuesta de construcción de un sistema que permita satisfacer las necesidades legítimas de todos sus miembros. ¿Cómo se llama ese sistema?</t>
  </si>
  <si>
    <t>¿Porqué para Danani, solo las formas de pensar la solidaridad, las necesidades y la convivencia social nos harán libres?</t>
  </si>
  <si>
    <t>Para Giddens, la seguridad ontológica tiene que ver con el ser o en términos fenomenológicos con el "ser - en - el - mundo". Para el autor: ¿Donde esta enraizado este fenómeno anímico?</t>
  </si>
  <si>
    <t>Cuando Estela Grassi habla de la acción estatal que expresa la orientación normativa general, en lo atinente a la reproducción de la vida social y sus miembros en particular. ¿A qué esta haciendo referencia?</t>
  </si>
  <si>
    <t>¿Cúal es, según Estela Grassi, la tensión subyacente que suponen las explicaciones y argumentos que se esgrimen y confrontan entre sí, y que contribuyen a la manera en que se constituye la cuestión social en cada época?</t>
  </si>
  <si>
    <t>Sonia Fleury afirma que Welfare State es una invención europea en el mismo sentido que el Estado Nacional, la Democracia de Masas y el Capitalismo Industrial. Para la autora: ¿Qué dió lugar a su nacimiento?</t>
  </si>
  <si>
    <t>¿Como denomina Sonia Fleury al tercer tipo de modelo de la política social, en el que se rompe con la determinación del mercado prevalente en busca de una acción institucional de carácter público, contemplando la garantía de los bienes, servicios y renta mínima a todos los ciudadanos?</t>
  </si>
  <si>
    <t>Para Altamirano, Armanini y Gonzalez es posible señalar que si "el deseo maternal" no esta determinado por un instinto innato, sino que constituye el producto de un "saber - hacer - heredado". Su elección y concreción dependen de diversos condicionantes de indole socio-cultural. Para los autores: ¿Cómo se denominan estos recursos?</t>
  </si>
  <si>
    <t>Para Bourdieu en el capítulo sobre "Espiritu de la Familia": ¿Qué enmascara la oposición tradicional entre lo público y lo privado?</t>
  </si>
  <si>
    <t>Para Donzelot: ¿Porqué para el Estado los individuos que la "ley de alianzas" rechaza se convierten en un peligro, pero también en una pérdida?</t>
  </si>
  <si>
    <t>Según Donzelot, en el siglo XVIII, ¿Cómo interviene el Estado para regular mediante la legislación la condición de los niños abandonados?</t>
  </si>
  <si>
    <t>Según Jelin, en la unidad doméstica obrera ¿Cómo deben ser los lazos afectivos para contrarrestrar las tendencias centrífugas e individualizadoras del mercado?</t>
  </si>
  <si>
    <t>Para Jelin, en el mundo urbano moderno la relación cotidiana entre los miembros de la familia es variable según su lugar en la estructura y dinámica familiar. ¿De qué variables depende esta ubicación?</t>
  </si>
  <si>
    <t>Según Gattino y Flores, ¿Cómo se denomina la noción que refiere a hechos que expresan en el plano de lo manifiesto los conflictos de la interacción familiar?</t>
  </si>
  <si>
    <t>Para Gattino y Flores, cuando hablamos del inter-juego entre mundo interno y mundo social del cual surgen diversas situaciones ¿A qué noción nos  referimos?</t>
  </si>
  <si>
    <t>Para Garcia Fuster: ¿Cúal es el objetivo fundamental de cualquier programa de intervención con personas ancianas?</t>
  </si>
  <si>
    <t>En Garcia Fuster, se consigna que en la tercera edad se produce un marcado cambio en la importancia que cobran las amistades como fuente de apoyo. ¿Cómo se denomina al tipo de apoyo del cual las amistades son una fuente importante?</t>
  </si>
  <si>
    <t>Para Grimberg, según el resultado de su estudio: ¿Qué constituyen para los varones las expectativas del rol de género, los estereotipos asociados a la "masculinidad" así como el marco global de las condiciones de realización de la relación sexual?</t>
  </si>
  <si>
    <t>Luego del estudio realizado por Grimberg en jóvenes de sectores populares: ¿Cómo califica la autora al uso de preservativos en el ambito de las prácticas sexuales efectivamente realizadas, tanto durante la iniciación como en las relaciones sexuales posteriores?</t>
  </si>
  <si>
    <t>La República Argentina al ratificar la Convención Internacional de los Derechos del Niño (Ley 23.849) formuló en su artículo 2 una serie de reservas y aclaraciones. ¿Cúal de los siguientes temas no fue mencionado en estas reservas y aclaraciones y no figuran en el artículo mencionado?</t>
  </si>
  <si>
    <t>Según el artículo 43 de la Ley 114, ante el conocimiento de una situación de carencia económica (necesidades básicas insatisfechas) que amenace el cumplimiento de los Derechos de los Niños, Niñas y Adolescentes.¿Cúales son las medidas de protección a aplicar?</t>
  </si>
  <si>
    <t>Juana no tiene documentos, tuvo un hijo en un Hospital de la Ciudad de Buenos Aires. Desea inscribir y documentar a su hijo. Según la Ley 114: ¿En qué caso la indocumentación de Juana sería un obstáculo para que se identifique al recién nacido?</t>
  </si>
  <si>
    <t>Un hombre de 25 años se encuentra internado en el Hospital Argerich en la sala de clínica médica. El paciente no acepta las indicaciones diagnóstico terapéuticas transmitidas por los médicos de la sala para su recuperación y egreso hospitalario. Según la Ley 153: ¿Qué debe hacer el paciente para cumplir su objetivo?</t>
  </si>
  <si>
    <t xml:space="preserve">Segun la Ley 153: Una mujer de 50 años sin cobertura social y afiliada al Plan Médico de Cabecera sufre un accidente en la via pública y debe recibir atención médica de urgencia. ¿En que efector podra recibir los primeros auxilios? </t>
  </si>
  <si>
    <t>Marcos de 17 años concurre a un Centro de salud y Atención Comunitaria solicitando información sobre métodos anticonceptivos. Según la Ley 418: ¿Qué debe hacer el profesional que interviene?</t>
  </si>
  <si>
    <t>Una adolescente de 16 años de edad concurre al consultorio de obstetricia para iniciar el control prenatal. Luego de la consulta médica se acerca al Servicio Social del Hospital Fernández y mantiene una entrevista con la trabajadora social referente del Programa de Embarazo Adolescente. Durante el encuentro la joven plantea dudas e inquietudes sobre el virus VIH - SIDA. Según la Ley 418: ¿Que intervención debería realizar la trabajadora social?</t>
  </si>
  <si>
    <t>Victoria de 23 años de edad fue internada en un Hospital Psiquiátrico de la GCBA a raíz de haber padecido un episodio psicótico agudo. Se encuentra desvinculada de su red familiar y vincular que habitan en la Provincia de Salta. Compensada en el cuadro que motivo su internación, al momento de la externación no cuenta con un grupo familiar continente ni con los recursos que le posibiliten vivir de forma autónoma. Según la ley 448: ¿Quién será el responsable de garantizar el albergue de esta persona?</t>
  </si>
  <si>
    <t>Según el Art.2 de la Ley 448 de la Ciudad de Buenos Aires: ¿Qué debe evitar la garantía del derecho a la Salud Mental?</t>
  </si>
  <si>
    <t>Un joven de 18 años de edad presenta una discapacidad motora y por su situación debe asistir periódicamente a un Hospital público para realizar un tratamiento ambulatorio. Al respecto realiza una consulta con Trabajo Social, ya que por su discapacidad no puede movilizarse en transporte público. Según lo mencionado en el Art.2 de la Ley 22.431: ¿Qué indicación le dará la Trabajadora Social?</t>
  </si>
  <si>
    <t>Según el artículo 22 de la Ley 22.431, tanto en la construcción como en la remodelación de los edificios públicos como en los de empresas privadas destinadas a servicios públicos y en los que se exhiban espectaculos públicos: ¿Qué deberá preveerse?</t>
  </si>
  <si>
    <t>Roberto de 45 años de edad concurre a la guardia de un hospital psiquiátrico de la Ciudad de Buenos Aires por primera vez en su vida, solicitando atención urgente a raíz de una crisis emocional. Luego de la evaluación realizada por el personal de la guardia, se decide la internación de Roberto bajo la modalidad : "a pedido del propio interesado o su representante legal". Según el art. 2 de la Ley 22.914: ¿En qué momento deberá el Director del hospital formular la comunicación al Ministerio de Menores e Incapaces sobre la internación efectuada?</t>
  </si>
  <si>
    <t>Juan esta preocupado porque su ex-esposa y madre de su hijo, obstaculiza el cumplimiento del régimen de visita, acordado en una instancia de mediación, argumentando que el juez le asignó a ella el ejercicio de la tenencia del niño. Además del derecho de Juan a supervisar la educación de su hijo, ¿Qué otro derecho manifestado expresamente en la Ley 23.264 de Filiación y Patria potestad se esta vulnerando?</t>
  </si>
  <si>
    <t>Guadalupe tiene 17 años, convive con su mamá quien se divorcio de su padre cuando Guadalupe tenía 8 años. A los 15 años su madre le confiesa que  quién figura como su padre no lo es verdaderamente.Actualmente Guadalupe, tiene deseos de impugnar la paternidad de la persona que figura en los documentos como su padre.De acuerdo a lo estipulado por la Ley 23.264 ¿Qué podrá hacer Guadalupe?</t>
  </si>
  <si>
    <t>Una nueva Agrupación aspira a presentarse a las elecciones de autoridades del Consejo Profesional de Graduados en Servcicio Social o Trabajo Social de la Ciudad de Buenos Aires, para ello deberá ser oficializada como tal. Sus candidatos cumplimentan lo previsto por los artículos 13, 14 y 15 de la Ley 23.377 además se requiere el apoyo por escrito de por lo menos:¿Cuántos matriculados?</t>
  </si>
  <si>
    <t>Sofía, de 35 años se presenta en el servicio social de un Centro de Salud. Plantea que desde hace siete años está casada con Sebastián de 40 años. Refiere que se encuentra separada de hecho desde hace mas de tres años, y que no tiene contacto ni voluntad de reanudar la cohabitación. Manifiesta tener deseos de divorciarse, pero las vecinas del barrio le han comentado que para ello necesita el consentimiento de su ex -pareja. Según la Ley 23.515 ¿Qué respuesta debería darle el trabajador social considerando su separación de hecho sin voluntad de unirse por un tiempo continuo mayor de tres años?</t>
  </si>
  <si>
    <t>Olivia y Ramiro de 35 y 40 años respectivamente se encuentran casados desde hace 10 años y tienen dos hijos, los últimos años de convivencia resultaron muy difíciles debido a sus frecuentes depresiones y reacciones violentas aparentemente inmotivadas de Ramiro. Agotada por la situación Olivia se acerca al servicio social del centro de salud de su barrio para solicitar asesoramiento a fin de iniciar una separación. Considerando la situación de este matrimonio, según Ley 23.515 ¿Con qué razón uno de los cónyuges puede pedir la separación personal?</t>
  </si>
  <si>
    <t>Mónica concurre al servicio de guardia de un efector público de salud acompañando a su madre de 67 años con severos trastornos ocasionados por el consumo inadecuado de psicofarmacos. Refiere que la señora los obtiene en una farmacia de la zona sin contar con prescripción médica. Según la Ley 23.737 ¿Cómo será reprimido quién estando autorizado para la venta de sustancias medicinales lo haga sin exigir la presentación y archivo de la receta de aquellos productos que según las reglamentaciones vigentes no pueden ser comercializados sin ese requisito?</t>
  </si>
  <si>
    <t>En la sala de Clínica Médica se encuentra internada una paciente declarada insana. Durante la internación se realiza Test de HIV, previo consentimiento del curador. Según la LEY nª 23.798 ¿A quién deberá informar el resultado el equipo de salud?</t>
  </si>
  <si>
    <t>A la señora X. le diagnosticaron VIH positivo. Al carecer de Obra Social debe gestionar la medicación en el Ministerio de Salud. Su hijo es quién está colaborando con dichos trámites por el estado de salud de la madre. El mismo desconoce el diagnostico y la Sra X quiere mantenerlo en reserva. Según la Ley 23.798 ¿Qué debería hacer el equipo tratante al respecto?</t>
  </si>
  <si>
    <t>Julieta de 29 años concurre a la guardia de un hospital general bastante nerviosa. En la entrevista con la Trabajadora Social de Guardia, Julieta le comenta que su marido la ha golpeado en numerosas oportunidades y con mucha fuerza. Según la Ley 24.417 de Violencia Familiar. ¿Cuál es la orientación correcta que podrá darle la Trabajadora Social?</t>
  </si>
  <si>
    <t>Walter y Susana tienen 27 y 25 años respectivamente. Desean adoptar un bebé. De acuerdo a lo que estipula la Ley 24.779: ¿Con qué requisitos deberán contar para hacerlo?</t>
  </si>
  <si>
    <t>Mariana tiene 28 años, vive en la Villa 31 junto a sus dos hermanos de 8 y 13 años. Desde hace 3 años, luego del fallecimiento de sus padres asumió la crianza de sus hermanos. No tiene empleo estable, realiza changas, siendo este el único ingreso del hogar. En ocasión de un control de salud escolar de los niños, Mariana consulta en el Servicio Social sobre la posibilidad de adoptar a sus hermanos. Se le informa que según la Ley 24779 esto no será posible dado que:</t>
  </si>
  <si>
    <t>Según la Ley 24.901: ¿Qué tipo de cobertura odontológica tendrán garantizada las personas con algun tipo de discapacidad que se encuentren comprendidas dentro de esta ley?</t>
  </si>
  <si>
    <t>Brian tiene diez años de edad y ha llegado con su familia de Bolivia hace tres meses. Su madre Stefani se acerco a un colegio cercano a su domicilio para inscribir a Brian para que pueda asistir a clases el próximo año. En el colegio no lo inscribieron porque el niño no posee documento. La madre le comenta esta situación a la Trabajadora Social del Centro de Salud de su barrio para que este la oriente. La profesional asesora a Stefani de acuerdo a lo explicitado en el artículo 7 de la Ley 25.871 que indica:</t>
  </si>
  <si>
    <t>Una niña de 6 años llega a un servicio de pediatría de la Ciudad de Buenos Aires acompañada por su hermana mayor. La niña presenta hematomas en todo el cuerpo y refiere que ha sido fuertemente golpeada por su madre, no siendo la primera vez que esto ocurre. De acuerdo a lo estipulado en la Resolución Nº 1956: ¿Qué debe hacer el equipo de salud?</t>
  </si>
  <si>
    <t xml:space="preserve">En una escuela pública comenzó la campaña educativa de vacunación gratuita para la prevención de Hepatitis B. Morena tiene 9 años y va a 4to grado de dicha escuela. Su tía Nora, quien esta a cargo de su cuidado, no autoriza la vacunación de Morena. De acuerdo al dictamen de inmunizaciones Nº 104: ¿Cómo podría resolverse esta situación? </t>
  </si>
  <si>
    <t>Cuando Aguilar Idañez enuncia los principios básicos de la supervisión y dice, "la experiencia ha mostrado que su aplicación hace la supervisión mas satisfactoria y eficaz" : ¿A qué principio alude?</t>
  </si>
  <si>
    <t>Desde el punto de vista del aprendizaje:¿Cómo denomina Aguilar Idañez a la etapa del proceso de supervisión en la que cuando lo que antes era realmente nuevo, ahora ya es parte de la persona y el trabajador puede criticar su enfoque y cambiarlo si la situación asi lo exige?</t>
  </si>
  <si>
    <t>Para Nora Aquin, los procesos de vinculación entre necesidades y carencias por un lado y satisfacciones por el otro, tienen una dimensión material y una no material. ¿Qué incorpora esta última?</t>
  </si>
  <si>
    <t>Para Cáceres y Otros el entrevistador debe dar a conocer la reglas y el papel que cumple desde el inicio. Precisar el tiempo, las limitaciones y las posibilidades que tiene para enfrentar la situción evitando crear expectativas en el entrevistado. Según las autoras: ¿Cúal de estas expresiones  es correcta a utilizar?</t>
  </si>
  <si>
    <t>Para Cáceres y Otros: ¿Dónde se da la validación del conocimiento?</t>
  </si>
  <si>
    <t>Para Carballeda, un hospital, un centro de salud y una escuela pueden ser analizados partiendo de diferentes aspectos a partir de la reflexión acerca del tipo de relación social que construyen y las formas de relación predominante entre los diferentes actores y dispositivos institucionales.  ¿Cómo los considera el autor?</t>
  </si>
  <si>
    <t>¿Cómo denomina Carballeda a la existencia de comunidades de interventores en lo social que manejan ciertos niveles de acuerdos apoyados en los paradigmas preponderantes que orientan el sentido de la intervención?</t>
  </si>
  <si>
    <t>Para Carballeda en la supervisión como proceso de análisis: ¿Qué implica la mirada hacia la noción de sujeto?</t>
  </si>
  <si>
    <t>En Buenos Aires un grupo de planificadores en salud diseña una campaña de prevención del cólera, que incluye carteles y spots televisivos sobre la potabilización y el uso correcto del agua a través del uso de lavandina y el hervor a altas temperaturas. La misma va dirigida a los miembros de los pueblos originarios del NOA. Desde el enfoque de la teoría de la acción que explicita Ricardo Costa: ¿Cómo denominaremos esta formulación?</t>
  </si>
  <si>
    <t>Para Del Cueto y Fernandez: ¿Cómo se denomina al dispositivo por el cual una relación privada se tamiza por las convenciones públicas y viceversa?</t>
  </si>
  <si>
    <t>Según Del Cueto y Fernandez: ¿Cómo se denomina al miembro del grupo que denuncia al acontecer grupal?</t>
  </si>
  <si>
    <t>¿Qué otra denominación le da Rosana Guber a la entrevista antropológica o etnográfica?</t>
  </si>
  <si>
    <t>¿Cómo denomina Rosana Guber al procedimiento utilizado en la entrevista antropológica que consiste en no privilegiar de antemano ningún punto del discurso?</t>
  </si>
  <si>
    <t>Según Kisnerman: ¿Cómo debe ser entendida la objetividad que nos planteamos en un proceso de intervención y supervisión?</t>
  </si>
  <si>
    <t>Para Kisnerman, en toda iniciación de un proceso, surgen gestos, actitudes que constituyen un sistema de significados. Para el autor: ¿Cómo se llama lo que conforman?</t>
  </si>
  <si>
    <t>Para Rosa Mastrangelo de Pamphilis, dentro de la corriente etnográfica la recolección de datos y el desarrollo de éstos constituyen actividades diferentes. ¿Cómo considera la autora que son los procesos mencionados?</t>
  </si>
  <si>
    <t>Según Mastrangelo de Pamphilis, dentro de la corriente etnográfica: ¿Qué etapa sigue a la teorización y consiste en operaciones para integrar el análisis de los datos con la elaboración de constructos y el grado de validez de éstos en determinadas condiciones?</t>
  </si>
  <si>
    <t>Martinelli citado por Gustavo Parra, refería la existencia de tres elementos esenciales en los cuales era preciso acrecentar la preparación técnica para el adecuado ejercicio de la práctica social. ¿Cúales son dichos elementos?</t>
  </si>
  <si>
    <t>Gustavo Parra refiere que existen diferentes grupos hegemónicos que reconocen la existencia de la cuestión social, niegan sus verdaderas causas de aparición, justificando el sistema. Según el autor:¿Cómo ubican ellos el problema?</t>
  </si>
  <si>
    <t>Según Pichardo Muñiz: ¿Cómo se denomina a la evaluación que se realiza durante la ejecución?</t>
  </si>
  <si>
    <t>Para Mario Rovere, cuando los profesionales de dos instituciones son solidarios, comparten actividades y/o recursos: ¿En qué nivel de la construcción de redes podemos ubicarlos?</t>
  </si>
  <si>
    <t>¿Cómo denomina Margarita Rozas al saber instrumental validado en la práctica que ve al sujeto como algo dado y estructurado?</t>
  </si>
  <si>
    <t>Margarita Rozas refiere que la nueva cuestión social no pasa solamente por el enfrentamiento de la exclusión. ¿Cúal es el nudo de esta situación en la que acuerda con Castell?</t>
  </si>
  <si>
    <t>Para Graciela Tonon son necesarias las producciones escritas que interpretan las interacciones entre personas y que a la vez confluyen a reconceptualizar constantemente las teorias del trabajo social. ¿De qué forman parte los informes sociales que reflejan estas interacciones?</t>
  </si>
  <si>
    <t>Según Torcigliani y Campana: ¿Qué garantiza la relación sujeto- sujeto?</t>
  </si>
  <si>
    <t>En su artículo sobre la investigación diagnóstica en Trabajo Social, Bibiana Travi refiere que cuando la intervención profesional tiene lugar a partir de una demanda nos encontramos frente a un pedido. El discurso a través del cual se enuncia incluye: la evidencia de un problema o situación adversa, un pedido de solución y ¿Qué otro contenido?</t>
  </si>
  <si>
    <t>Según Bibiana Travi: ¿Cuál es para Mary Richmond, la técnica fundamental a la que podemos acudir en el proceso de conocimiento- intervención ante la imposibilidad de utlizar "métodos de laboratorio"?</t>
  </si>
  <si>
    <t>En la dimensión técnico-instrumental, Bibiana Travi señala acciones que son parte ineludible del registro y el análisis de la intervención profesional y sus resultados. Para Mary Richmond: ¿Cúales son estas acciones?</t>
  </si>
  <si>
    <t>Según Travi ¿Cómo llamó Gordon Hamilton a la tarea de comprender el significado de la demanda y la situación problema, el análisis de los datos, deducciones, inferencias e hipótesis que realiza el profesional?</t>
  </si>
  <si>
    <t xml:space="preserve">Para Watzlawick, la comunicación define el modo en que el emisor concibe su relación con el receptor. Para el autor: ¿Qué implica cualquier comunicación? </t>
  </si>
  <si>
    <t xml:space="preserve">Bautista tiene 18 años, precisa información sobre la problemática del VIH- SIDA y desea realizarse el test por primera vez. Según Bonazzola: ¿A qué institución sería mas adecuado que se dirija? </t>
  </si>
  <si>
    <t xml:space="preserve">Para Ramón Carrillo, la misión del médico tiene que ver con la cultura. Según el autor ¿Sobre qué fundamento se puede acentuar la obra de la medicina social y la de la ciencia de la salud pública? </t>
  </si>
  <si>
    <t>En el libro de Elina Dabas: ¿Cómo se denomina, según Sluzki, a la red que contribuye sustancialmente al reconocimiento del individuo como tal y constituye una de las claves centrales de la experiencia individual de identidad, bienestar, competencia y protagonismo, incluyendo los hábitos de cuidado de la salud y la capacidad de adaptación a la crisis?</t>
  </si>
  <si>
    <t>¿Cúales son las acciones que Silvia Faraone describe como necesarias para generar transformaciones en las Instituciones Psiquiátricas Asilares, además de construir una política institucional surgida desde los propios actores?</t>
  </si>
  <si>
    <t>Para Floreal Ferrara: ¿Cúal ha sido y sigue siendo la mejor pista y la mas eficaz para lograr mayor precisión en los alcances de la problemática de la salud, siempre que su lectura se efectúe desde una adecuada relación histórico-social?</t>
  </si>
  <si>
    <t>Según Floreal Ferrara la seguridad social en el esquema global de la sociedad contemporanea, ha resultado muy buen instrumento para aplacar expectativas. ¿Para qué mas ha servido desde el punto de vista del autor?</t>
  </si>
  <si>
    <t>Para Foucault, a diferencia de Alemania en donde la medicina social se apoyaba en la estructura de estado. En Francia: ¿En qué fenómeno se apoyó su desarrollo?</t>
  </si>
  <si>
    <t>Según Foucault, la medicina de los siglos XVII y XVIII era profundamente individualista. Se reconocía su condición a partir de transmisión de recetas mas o menos secretas o públicas. Para el autor: ¿Qúe era lo que no se incluía en la formación ritual del médico?</t>
  </si>
  <si>
    <t xml:space="preserve">Según Edith Fuentes, si los trabajadores de la salud, no estan suficientemente entrenados en el manejo de la violencia hospitalaria y no impiden la victimización secundaria: ¿Qué puede suceder? </t>
  </si>
  <si>
    <t>Para María Eugenia Royer hay que ser cauteloso en la interpretación de las tazas. Si queremos calcular la taza de mortalidad hospitalaria y determinar si dicha taza es aceptable o no, no se la puede comparar con distintas instituciones. ¿Qué tazas se deben usar para superar este problema?</t>
  </si>
  <si>
    <t>Según Susan Sontang: ¿Para que sirven las metáforas patológicas que aparecen una y otra vez en la retórica romántica?</t>
  </si>
  <si>
    <t>Según Touze, en los tratamientos para adictos ¿a qué mismo objetivo apuntan las intervenciones psicoanalíticas y de comunidades terapéuticas ?</t>
  </si>
  <si>
    <t xml:space="preserve">Según Touze, en definitiva: ¿Cuál es el objetivo central de los principios de reducción de daño? </t>
  </si>
  <si>
    <t>Para Graciela Tonon: ¿Cúal es la etapa de la estrategia metodológica de intervención en situaciones de maltrato infantil en las cuales se identifican el nivel de riesgo y el nivel de severidad de la situación?</t>
  </si>
  <si>
    <t>Para Graciela Tonon: ¿Cúal es el tiempo en el que se operativiza el diagnóstico de maltrato infantil?</t>
  </si>
  <si>
    <t>En la hipótesis "mientras mayor es la desnutrición de los obreros, mayor será la probabilidad de que sufran enfermedades y accidentes de trabajo". ¿Cómo se denomina la variable: "a mayor desnutrición de los obreros"?</t>
  </si>
  <si>
    <t>En la hipótesis: "la incidencia de la diarrea infantil se relaciona con la falta de higiene y conocimientos culinarios de las madres con baja escolaridad". ¿Qué tipo de variable es: "la incidencia de diarrea infantil"?</t>
  </si>
  <si>
    <t>Rodriguez Gomez y otros, en el libro "metodología de la Investigación Cualitativa", mencionan que no hay observaciones objetivas. ¿Qué indicadores utiliza para esta afirmación?</t>
  </si>
  <si>
    <t>Según Rodriguez Gomez y otros: entre las formas de selección secuencial de la recolección de datos, se encuentra la selección de casos negativos, que refutan o contradicen conceptos. ¿Cómo se denomina la selección de datos que permite modificarlos?</t>
  </si>
  <si>
    <t>¿Cómo nomina Franco Basaglia el tipo de relación donde el paciente dispone de un poder contractual que opone al poder técnico del médico?</t>
  </si>
  <si>
    <t>¿A qué hace referencia Franco Basaglia cuando señala: "El diagnóstico reviste el valor de un etiquetaje que codifica"?</t>
  </si>
  <si>
    <t>¿Cómo denominan Bourdieu y Wacquant a la configuración particular de características que se debe poseer para legitimar el derecho de ingresar a un campo?</t>
  </si>
  <si>
    <t>Según Bourdieu y Wacquant, ¿Qué es lo que define la especie de meta capital capaz de ejercer un poder sobre las otras especies de capital y en particular sobre las tasas de intercambio entre ellas y sobre las relaciones de fuerza de sus detentadores?</t>
  </si>
  <si>
    <t>Según Alfredo Carballeda en su texto "Del desorden de los cuerpos al orden de la sociedad": ¿Qué es lo que implicaba la educación para Ramos Mejía?</t>
  </si>
  <si>
    <t>Para Alfredo Carballeda en el caso de Argentina el positivismo tiene una clara expresión política que se traduce en la conformación del Estado moderno. Según el autor ¿qué es lo que esencialmente se construirá desde el positivismo?</t>
  </si>
  <si>
    <t>Para Claudia Danani, la Economía Social es una construcción cuyas condiciones y horizontes postulan e impulsan una sociabilidad más rica y ello incluye la satisfacción de otras necesidades definidas de otro modo. Por lo tanto ¿Qué es lo que también implica esta concepción para la autora?</t>
  </si>
  <si>
    <t>Para Giddens en las culturas premodernas tienden a predominar cuatro contextos localizados de confianza: el sistema de parentesco, la comunidad local, las cosmologías religiosas. ¿Cuál es para el autor el cuarto contexto?</t>
  </si>
  <si>
    <t xml:space="preserve">¿A qué denomina Giddens "perfil de riesgo"? </t>
  </si>
  <si>
    <t>¿A qué noción de Estado hace referencia Estela Grassi, cuando plantea que "supone un principio de igualdad de ciudadanos libres, partícipes de una comunidad política que delimita quienes gozan de tal condición o cuáles son los requisitos para acogerse a ella"?</t>
  </si>
  <si>
    <t>En Sonia Fleury, Flora propone dos dimensiones a la luz de las cuales elucidar diferencias en relación a las variaciones encontradas con el Wellfare State entre los países: el estatismo y la fragmentación. ¿Cómo es definida la fragmentación por esa autora?</t>
  </si>
  <si>
    <t>En Altamirano y otros, Fonseca analiza diversas frases populares ¿A qué hace alusión cuando cita "madre es la que cría"?</t>
  </si>
  <si>
    <t>En "La adopción, una mirada no hegemónica" Altamirano y otros analizan distintas percepciones en relación a la adopción ¿Cómo refieren que es percibida la familia pobre?</t>
  </si>
  <si>
    <t>En "Espíritu de familia" ¿Cuál es para Bourdieu el trabajo que incumbe muy particularmente a las mujeres?</t>
  </si>
  <si>
    <t>Para Donzelot en su texto "La policía de las Familias" ¿Qué es lo que implica la vigilancia continua de la familia en toda petición de ayuda?</t>
  </si>
  <si>
    <t>Para Elizabeth Jelín en "Pan y afectos. La transfomación de las familias" ¿En qué basa su existencia la unidad doméstica obrera?</t>
  </si>
  <si>
    <t>En "Teoría del Hospital" ¿Cuál es la afirmación de Ramón Carrillo en relación a la atención médica que se presta en nuestra patria?</t>
  </si>
  <si>
    <t>Según Gattino y Flores en "La familia y el Trabajo Social" ¿De qué factores es la resultante la dinámica propia de la estructura familiar?</t>
  </si>
  <si>
    <t>Para Gattino y Flores ¿En qué posición se ubica la familia cuando se habla de "sujeto-actor de su desarrollo y el de su comunidad"?</t>
  </si>
  <si>
    <t>Según García Fuster ¿Cuál es la importancia de las relaciones de amistad en la moral y sentimientos de bienestar de la persona mayor?</t>
  </si>
  <si>
    <t>¿Porqué llama García Fuster a las residencias para ancianos una institución culturalmente anómala?</t>
  </si>
  <si>
    <t>En la investigación desarrollada por Mabel Grimberg ¿Cuáles fueron las categorías identificadas para la conformación del conjunto estudiado en el trabajo de campo?</t>
  </si>
  <si>
    <t>Para Mabel Grimberg ¿Qué límite les genera a las mujeres las relaciones de poder que organizan las relaciones de género y su expresión en la sexualidad?</t>
  </si>
  <si>
    <t>¿Cómo nomina Aguilar Idáñez a la etapa en que el aprendiz está confuso y siente la necesidad de aferrarse a algo, de buscar en cada situación algo a lo que pueda responder... comienza a vislumbrar lo que la gente quiere de él, y si por casualidad da una respuesta y obtiene una reacción favorable, se siente alentado a proseguir?</t>
  </si>
  <si>
    <t>¿Cómo llama Nora Aquín a la suma de nuestros conocimientos acerca de la realidad que vivimos y que utilizamos de modo efectivo ya que guía nuestras acciones?</t>
  </si>
  <si>
    <t>¿A qué principio operacional se refieren Cáceres y otros, cuando expresan "el entrevistador, bajo este principio, tendrá presente que toda persona humana tiene una concepción del mundo, un estilo de ser, hacer y pensar"?</t>
  </si>
  <si>
    <t xml:space="preserve">Para Cáceres y otros, en cuanto al propósito de orientación, ¿A dónde se dirige la entrevista? </t>
  </si>
  <si>
    <t>En "Escuchar las prácticas" ¿Cómo llama Alfredo Carballeda al producto surgido de una tradición discursiva, construída desde la esfera del Estado, los medios de comunicación y la sociedad misma, que le confieren dirección y sentido a la intervención?</t>
  </si>
  <si>
    <t>Cuando Alfredo Carballeda desarrolla su análisis sobre la supervisión ¿Qué entiende como escenario de la intervención?</t>
  </si>
  <si>
    <t xml:space="preserve">Según Silvina Cavallieri, ¿A qué remite la noción de problemas sociales? </t>
  </si>
  <si>
    <t>Cuando Silvia Cavallieri se refiere a la intervención profesional, piensa en la articulación entre conocimiento y acción, y pone en relación diferentes dimensiones como la teórico- metodológica, la operativa-instrumental. ¿Cuál es la tercer dimensión que menciona la autora?</t>
  </si>
  <si>
    <t>¿Cómo denomina Carlos Zarzar Charur a la superación de los obstáculos que impiden el buen funcionamiento del grupo y el logro de los aprendizajes?</t>
  </si>
  <si>
    <t>Según Charur Zarzar y la teoría de los grupos operativos, ¿Cuándo un grupo se encuentra en la etapa de tarea?</t>
  </si>
  <si>
    <t>Del Cueto y Fernandez utilizan el aporte de Guattari para demarcar grupos- objeto y grupossujeto. En ese sentido ¿Cómo será visto todo desviante en los grupos-objeto?</t>
  </si>
  <si>
    <t>¿Cúales son los momentos que identifica Rosana Guber dentro de la dinámica general del trabajo de campo?</t>
  </si>
  <si>
    <t>Según Rosana Guber, la entrevista antropológica se vale de tres procedimientos: la atención flotante del investigador, la asociación libre del informante. ¿Cúal es el tercero?</t>
  </si>
  <si>
    <t>Cuando Mario Rovere refiere "expresar la aceptación del otro". ¿A qué nivel en la construcción de redes hace referencia?</t>
  </si>
  <si>
    <t>Para Margarita Rozas, ¿Qué es lo que permite a los trabajadores sociales ubicar la intervención profesional en el marco de las problemáticas derivadas de la producción y reproducción de la vida social como expresión de la cuestión social?</t>
  </si>
  <si>
    <t>De acuerdo con Margarita Rozas, el concepto de vida cotidiana fue variando con cada momento histórico. Según la autora, ¿En qué período de pensamiento la vida cotidiana fue considerada como el ámbito doméstico-privado?</t>
  </si>
  <si>
    <t>¿A qué momento del proceso metodológico en la intervención profesional se refiere Margarita Rozas cuando dice "combina dos actividades que consisten en ordenar la información obtenida, y reflexionar desde las categorías de análisis referidas a la problemática central?</t>
  </si>
  <si>
    <t>Según María Lucía Martinelli, el pauperismo creció tanto en Europa durante el siglo XIX que su atención ya no podía restringirse a las iniciativas de particulares o de la Iglesia, era preciso movilizar el propio Estado incorporando la práctica de la asistencia.¿Cómo se incorporó dicha práctica?</t>
  </si>
  <si>
    <t xml:space="preserve">Según Lucía Martinelli, ¿Cómo concebía Mary Richmond la tarea asistencial? </t>
  </si>
  <si>
    <t>En M. Lucía Martinelli, según la Sociedad de Organización de la Caridad, ¿Qué se podría asegurar cohibiendo las prácticas de la clase trabajadora, impidiendo sus manifestaciones colectivas y manteniendo un control sobre la "cuestión social"?</t>
  </si>
  <si>
    <t>En el texto "La investigación diagnóstica en Trabajo Social", según Bibiana Travi, ¿Con qué suelen confundir los trabajadores sociales, la demanda explícita que formula un sujeto?</t>
  </si>
  <si>
    <t>Para Bibiana Travi, cuando Mary Richmond denuncia el enfoque exclusivamente económico en loas modalidades de ayuda y organización de los servicios sociales ¿Cuál es la perspectiva quepropone?</t>
  </si>
  <si>
    <t>En el libro "La dimensión Técnico- instrumental en Trabajo Social", Bibiana Travia señala que en Estados Unidos los pragmáticos formaron parte de una generación y de un movimiento intelectual para los que la resolución de los problemas sociales no podía estar escindida de la investigación y de una práctica política y académica coherente con los principios ético-políticos. ¿Cuál era uno de estos principios que ellos citaban?</t>
  </si>
  <si>
    <t>Para Bibiana Travi en "La dimensión Técnico- Instrumental", las rupturas del Trabajo Social profesionalizado con las prácticas de beneficencia abarca distintas dimensiones constitutivas de la disciplina, ¿Cuál es, según la autora, la nueva concepción de los sujetos que se desarrolla?</t>
  </si>
  <si>
    <t>¿Cómo define Pichardo Muñiz al momento de configurar el objeto de intervención dentro de la elaboración de diagnósticos para la toma de decisiones?</t>
  </si>
  <si>
    <t>La propuesta de Aguilar Idáñez en cuanto al modo de establecer las relaciones de supervisión, seinspira en Carl Rogers y se resumen en tres características: Brindar aprecio, aceptación y confianza; Comprensión empática ¿Qué otra característica menciona la autora?</t>
  </si>
  <si>
    <t>En Cáceres y otros, según Van Foerster Heinz, ¿Qué determina la manera en que se formula una pregunta?</t>
  </si>
  <si>
    <t>Según Mastrangelo de De Pamphilis ¿Cuál es la estructura que se requiere construir para organizar los distintos elementos intervinientes en la investigación?</t>
  </si>
  <si>
    <t>En Tonón, según Bourdieu, para reducir al mínimo la violencia simbólica que puede ejercerse a través de la entrevista ¿Qué se pretende establecer?</t>
  </si>
  <si>
    <t>Según Kisnerman, ¿Cómo se denomina la acción que proporciona una manera de escuchar e interpretar la visión de los acontecimientos que comunican  las personas en el contexto de sus vidas cotidianas así como las resonancias que ellos tiene de los actores, incluyéndonos a nosotros mismos?</t>
  </si>
  <si>
    <t xml:space="preserve">Para Kisnerman, ¿Por qué debe estar determinada la duración de una reunión de supervisión? </t>
  </si>
  <si>
    <t>En Tonón, Velez Restrepo refiere que la noción de actuación inscribe al Trabajo Social dentro de una compleja trama socio institucional, planteando un giro metodológio y político importante para la profesión. Según la autora ¿Qué otro giro importante plantea?</t>
  </si>
  <si>
    <t>En la hipótesis: En el marco de una investigación en salud desarrollada por Trabajadores Sociales en el Centro de Saud Nº 83, la aplicación de técnicas cualitativas a la población de la zona permitirá conocer el grado de accesibilidad a la institución. ¿Qué tipo de variable es: "grado de accesibilidad institucional"?</t>
  </si>
  <si>
    <t>En la hipótesis: A mayores y mejores campañas de difusión y prevención contra el Dengue, menor será la incidencia de contagio de dengue en la población adulta. ¿Qué tipo de variable es "la incidencia de contagio de dengue?</t>
  </si>
  <si>
    <t>En la hipótesis: En los accidentes de moto, el uso de casco está relacionado con la gravedad de las lesiones que sufren los motociclistas. ¿Qué tipo de variable es "el uso de casco"?</t>
  </si>
  <si>
    <t>En la hipótesis: El trabajar en ámbitos de prestaciones de salud favorece el riesgo de exposición al contagio de Gripe A (H1N1). ¿Qué variable es "tipo de lugar de trabajo"?</t>
  </si>
  <si>
    <t>Carlos Sabino plantea que en el proceso de investigación existen diferentes tipos de escalas de acuerdo a la rigurosidad con que han sido construídas y al propio comportamiento que miden. Se acostrumbra a clasificarlas en cuatro tipos generales: escalas nominales, ordinales, de cocientes o razones.¿Cómo se denomina a la cuarta escala?</t>
  </si>
  <si>
    <t>Según Carlos Sabino, para estudiar la forma en que diversos elementos pueden determinarse entre sí, convendrá analizar los diferentes tipos de condicionamientos que pueden existir entre un hecho y otro hecho. Señala cuatro tipos de condiciones más importantes: necesarias, suficientes, ¿Cuáles son las otras dos condiciones que destaca el autor?</t>
  </si>
  <si>
    <t>Desde el desarrollo realizado por Victoria Barreda en su artículo " Prevención y Travestismo", ¿Qué es lo que cuestiona el travestismo?</t>
  </si>
  <si>
    <t>El Dr. Pablo Bonazzola destaca algunos puntos salientes de la Ley Básica de Salud de la Ciudad de Buenos Aires, que establece el marco general para el sistema de salud. ¿Cuál de los siguientes puntos es mencionado por el autor?</t>
  </si>
  <si>
    <t>En "Teoría del Hospital", Ramón Carrillo afirma que la medicina no sólo debe curar enfermos. Para el autor, ¿Qué debe enseñar la medicina al Pueblo?</t>
  </si>
  <si>
    <t>Según Ramón Carrillo ¿Qué tipo de política debe desarrollarse para que pueda existir una medicina destinada a la protección de la colectividad?</t>
  </si>
  <si>
    <t>Según Dabas y Perone en "Redes en Salud", ¿Qué promueven las prácticas interactivas que se desarrollan en el nivel de redes intersectoriales?</t>
  </si>
  <si>
    <t>En "Redes en Salud" según Dabas y Perone ¿Qué es necesario para operacionalizar la estrategia de APS en el nivel de redes comunitarias?</t>
  </si>
  <si>
    <t>Para Silvia Faraone, ¿A qué contribuye el conjunto de supuestos que constituyen las prácticas psiquiátricas instituídas, basadas en la legitimación del paradigma positivista?</t>
  </si>
  <si>
    <t>Para Silvia Faraone ¿Cómo se expresa desde lo discursivo formal lo que se lee como custodia institucional del paciente?</t>
  </si>
  <si>
    <t>¿Cómo concibe Floreal Ferrara a la salud, donde se combina en una estructura determinada lo biológico y lo social y se destruye la antigua concepción de la Atención Médica dedicada a la atención del enfermo?</t>
  </si>
  <si>
    <t>Maitena Fidalgo sostiene que para alcanzar la finalidad de atención de la salud de sus destinatarios, todo sistema de salud requiere un dole modelo simultáneo.¿A qué modelos hace referencia?</t>
  </si>
  <si>
    <t>Según Gonzalez García y Tobar, citados por Maitena Fidalgo, ¿Cuáles son los principios rectores en relación a los cuales los sistemas de salud suelen definir una postura implícita o explícita?</t>
  </si>
  <si>
    <t>Para Foucault en la Edad Media ¿Cuál era el mecanismo para la purificación del medio urbano ante un caso de lepra?</t>
  </si>
  <si>
    <t>Foucault refiere cuatro grandes procesos que caracterizan a la medicina del Siglo XVIII: -la aparición de una autoridad médica, -de un campo de intervención distinto de las enfermedades, -la introducción del hospital como aparato de medicalización colectiva, ¿Cuál es el cuarto proceso?</t>
  </si>
  <si>
    <t>Según Graciela Touzé en su artículo "Uso de drogas y VIH-SIDA", ¿Cuándo comienza a ser definido como anormal y como problema el uso de drogas?</t>
  </si>
  <si>
    <t>En "La enfermedad y sus metáforas"¿Cómo considera Susan Sontag a las fantasías inspiradas por la tuberculosis en el siglo pasado y por el cáncer  hoy, en una época en que la premisa de la medicina es que todas las enfermedades pueden curarse?</t>
  </si>
  <si>
    <t>Desde el Ministerio de Salud de San Pedrito, un equipo de gestión está evaluando un cambio importante en la política de salud. Como existe poca información sanitaria y están próximas las elecciones a concejales, deciden organizar y lanzar el Programa de Atención Personal Inmediata en Salud, para tener mayor impacto en la población. Según el texto de Nicolini, ¿Qué tipo de planificación está utilizando este equipo?</t>
  </si>
  <si>
    <t>¿Por qué, para María Eugenia Royer, la tasa de mortalidad infantil es usada como medida del estado de salud global de una población?</t>
  </si>
  <si>
    <t>En "Maltrato infantil intrafamiliar" Graciela Tonón menciona que la intervención específica del trabajador social remite a la posibilidad de integrar dos dimensiones, históricamente divididas en la realidad del trabajo con casos, ¿A qué dimesiones hace referencia la autora?</t>
  </si>
  <si>
    <t>Cuando media inexistencia o privación del grupo familiar de pertenencia ¿Qué otra forma alternativa de convivencia contempla la Ley 114 de Protección Integral de los Derechos de niños,niñas y adolescentes de la Ciudad de Buenos Aires, además de las líneas de parentesco por consaguinidad o por afinidad y miembros de la familia ampliada?</t>
  </si>
  <si>
    <t>Según la Ley 26.061 de Protección Integral de los niños, niñas y adolescentes, ¿Cuáles son los requisitos que debe reunir quien se postule como Defensor de los Derechos de las Niñas,niños y adolescentes?</t>
  </si>
  <si>
    <t>El Sr. Juan Sosa de 63 años, oriundo de la provincia de San Luis, visitaba a su hermana en la Ciudad de Buenos Aires, cuando sufrio una descompensación y fue internado en el Hospital Zubizarreta. Allí le realizan estudios y le informan que padece una enfermedad oncológica avanzada, que debe quedarse internado para comenzar el tratamiento en forma inmediata y que por el momento no podrá regresar a su provincia por los cuidados que implica dicho tratamiento. Triste y confundido el Sr. Sosa, junto con su hermana, se acercan al Servicio Social para buscar orientación, ya que desea volver a su ciudad para reunirse con su mujer, hijos y nietos y comenzar allí a atender su problema de salud. ¿Cómo puede orientar el Trabajador Social al Sr. Juan Sosa, según la Ley Básica de Salud?</t>
  </si>
  <si>
    <t>La Sra Susana Monti ingresa en ambulancia a la guardia del Hospital luego de que se desmayara en la vía pública, trayendo consigo sólo su DNI. Los médicos evalúan que debe someterse a una intervención quirúrgica menor y una vez compensada intentan explicarle pero resulta muy dificultoso entablar un diálogo con ella ya que es sordomuda y sólo se maneja con lenguaje de señas. En el marco de la Ley Básica de Salud Nº153, ¿Qué recomendación podrá realizar la Trabajadora Social al equipo de salud interviniente?</t>
  </si>
  <si>
    <t>Una joven de 15 años comienza una relación de pareja con un compañero de curso. Ambos deciden cuidarse y realizar una consulta pero no están seguros de adónde dirigirse y si deben ir solos o acompañados al Hospital o centro de salud. Para resolver una mejor orientación concurren al Servicio Social del Centro de Salud cercano a la escuela. En el marco de la Ley Nº418 de Salud Sexual y Reproductiva ¿Cuál será la intervención adecuada de la Trabajadora Social?</t>
  </si>
  <si>
    <t>Según la Ley 448 de Salud Mental de la Ciudad de Buenos Aires, ¿Cómo debe ser considera el alta de una persona afectada por un padecimiento mental?</t>
  </si>
  <si>
    <t>Esteban, de 25 años de edad, fue llevado por la policía e internado de urgencia en la guardia de un Hospital Psiquiátrico debido a la agudización de su cuadro, cumpliéndose con todos los requisitos y comunicaciones correspondientes a este tipo de internación. Al sexto día de internación,el equipo de salud interviniente evalúa que el paciente se encuentra en condiciones de ser dado de alta.No habiendo orden judicial que disponga la continuidad de internación, el director del establecimiento comunica tal situación al Ministerio de Menores e Incapaces. Dentro del tercer día siguiente a la última comunicación, no habiendo recibido la orden judicial referida,y habiendo desaparecido las causas que justificaron la internación, según la Ley 22.914 de Internación y Egreso de Establecimientos de Salud Mental ¿Quién puede disponer el cese de la internación?</t>
  </si>
  <si>
    <t>Juana tiene un hijo, Octavio de 6 años con parálisis en sus piernas. Hasta el momento y por consejo del médico siempre lo ha enviado a jardines especiales. A punto de comenzar la primaria, Juana no sabe adónde enviar a cursar primer grado a su hijo, pues teme que sea discriminado. Se acerca a la Dirección de Discapacidad del Gobierno de la Ciudad buscando orientación sobre el tema. Según la Ley 22.431 "Sistema de Protección integral de personas discapacitadas" ¿Dónde deben realizar la escolarización las personas con bajo grado de discapacidad?</t>
  </si>
  <si>
    <t>Olga y Rogelio residen en la Villa 1-11-14 desde hace siete años. Ellos son originarios de Perú y hace menos de un año acaban de dar a luz a una  niña llamada Abigail en el hospital Piñero, donde la inscribieron. Olga desea ir a visitar a su madre que reside en Perú, para ello planea viajar con su hija pero sin su marido, ya que por razones laborales él no la podrá acompañar. Se acerca al Servicio Social del CESAC pidiendo asesoramiento  sobre los requerimientos para viajar con su hija. Según la Ley 23264 de Filiación y Patria Potestad, ¿Qué orientación podrá realizar la Trabajadora Social del CESAC?</t>
  </si>
  <si>
    <t>Durante el período 2008-2010 por primera vez la Comisión Directiva del Consejo Profesional, estuvo conformada por los integrantes de la Lista Gris. Al finalizar los dos años de duración en sus funciones se convoca a una nueva elección. La Lista Gris decide presentarse a la próxima elección,a partir de la Ley 23.377 de Ejercicio Profesional de Servicio Social o Trabajo Social, ¿Qué podrán hacer los miembros de la Lista Gris?</t>
  </si>
  <si>
    <t>Edson y Andresa, nacidos en Brasil, contrajeron matrimonio en Argentina, país de residencia permanente de ambos, luego de siete años de convivencia. Los mismos concibieron a Thiago, quien actualmente cuenta con 6 años. Durante los últimos meses, y debido a las reiteradas discusiones y peleas, la pareja decidió iniciar los trámites de divorcio. Ya separados con sentencia firme, en las audiencias no pueden ponerse de acuerdo en relación al régimen de visitas y tenencia del niño. De acuerdo a la Ley 23.515 de Matrimonio en su artículo 206, ¿A cargo de quién quedará el niño?</t>
  </si>
  <si>
    <t xml:space="preserve">El Señor Juan Bautista está preocupado porque su hijo de 18 años fue detenido por la policía ya que por la noche habia sido encontrado con un grupo de amigos fumando marihuana en el hall de un edificio y en los bolsillos también tenía dos cigarrillos de la misma sustancia. Teniendo en cuenta que esta detención es la primera vez que le ocurre al hijo de Juan y que nunca antes había consumido ningún tipo de drogas, según la Ley 23.737 de Tenencia y Tráfico de Estupefacientes ¿Qué medida podrá adoptar el Juez o Jueza ante un consumidor de estupefacientes principiante o sin experimentación que no tenga dependencia psíquica ni física? </t>
  </si>
  <si>
    <t>Ivana de 34 años, concurre a la consulta con su médico, preocupada le comenta que mantuvo relaciones sexuales ocasionales sin protección con un joven. Refiere que luego de algunos meses se enteró que es portador de VIH. Según la Ley Nacional de SIDA Nº 23.798 en su artículo 8, ¿Cómo debería proceder el profesional?</t>
  </si>
  <si>
    <t>Francisca convive con José desde hace ocho años con quien tiene tres hijos. Desde el primer año de convivencia José ha maltratado a Francisca física y verbalmente en escala ascendente. Cansada de esta situación y temerosa por su vida y la de sus hijos, decide irse de su hogar y realizar la denuncia correspondiente. Según el artículo 4 de la Ley 24417 de Protección contra la Violencia Familiar, ¿Qué medida cautelar podrá adoptar el Juez?</t>
  </si>
  <si>
    <t>Soledad vivió en matrimonio durante ocho años con Joaquín. Hace un año se divorciaron debido a que él había comenzado otra relación de pareja. A los cuatro años de casados, Soledad y Joaquín, habían consumado la adopción simple de dos niños: Valentina y Lautaro de 6 y 4 años respectivamente. En la actualidad Joaquín no visita a sus hijos y dejó de aportar la cuota alimentaria a pesar de los correspondientes reclamos judiciales. Desde la Ley Nº 24.779 de Adopción ¿Por qué razón se podría solicitar la revocabilidad de la adopción simple de Joaquín hacia los niños?</t>
  </si>
  <si>
    <t>Ramón es un niño de un año con discapacidad auditiva. Aldana, su madre, ha tratamitado el Certificado de Discapacidad para su hijo y debe iniciar un tratamiento de rehabilitación en el Hospital Rocca. Ellos viven en la Villa 31 de Retiro y no tienen familiares que los ayuden. Aldana no tiene trabajo fijo que les permita un ingreso estable con el que solventar las necesidades del grupo familiar, y el tratamiento de rehabilitación dificulta las posibilidades de una inserción laboral estable.¿Qué tipo de prestación complementaria favorecería a Aldana y a su hijo según la Ley 24.901 Sistema de prestaciones básicas en habilitación y rehabilitación a favor de las personas con discapacidad?</t>
  </si>
  <si>
    <t>Anabel, oriunda de Bolivia, concurre al Servicio Social de un Hospital público de la Ciudad de Buenos Aires, y plantea que su marido de 34 años y de nacionalidad boliviana, tiene que ser operado de apéndice, pero no posee DNI y refiere que se lo requirieron para concretar la intervención quirúrgica. De acuedo a la Ley 25871 de Política Migratoria, ¿Cómo debería orientar la Trabajadora Social a Anabel?</t>
  </si>
  <si>
    <t>Según la Ordenanza Municipal 40.997 que reglamenta el Sistema Municipal de Residencias del Equipo de Salud, en su artículo 21 menciona las funciones que el Residente debe cumplir. ¿Cuál es una de esas funciones?</t>
  </si>
  <si>
    <t>Paloma finalizó sus estudios de grado como Licenciada en Trabajo Social hace tres meses y se matriculó en el Consejo Profesional de Graduados en Servicio Social a fin de postularse para el sistema de residencia. Se convoca a elecciones para renovación de la Comisión Directiva de dicho Consejo, según la Ley Nacional de Ejercicio Profesional Nº 23.377, ¿De qué manera podrá Paloma presentarse a la votación?</t>
  </si>
  <si>
    <t>Omar y Estela adoptaron a Juana de tres años bajo la modalidad de adopción simple. En la actualidad, Juana cumplió 20 años y decide modificar su apellido por el de su familia biológica. Según a Ley de Adopción 24.779 ¿Qué es lo que puede hacer Juana?</t>
  </si>
  <si>
    <t>Valentina, Juana, Tomás de ocho, siete y cinco años respectivamente, y sus medio hermanos por parte de madre, los mellizos Lautaro y Benito de tres años y Joaquín de un año, han quedado en una Organización No Gubernamental que se ocupa de ellos mientras su madre permanece internada en el Hospital. Luego de unas semanas Ana, la madre de los niños, fallece estando en el hospital a causa de una infección. Según la Ley 26.061 de Protección Integral de los derechos de las niñas, niños y adolescentes, ¿Qué acciones deberá desarrollar la Organización No Gubernamental que los cuida?</t>
  </si>
  <si>
    <t>Para Franco Basaglia, una vez que el paciente se ha desprendido de las superestructuras y de las incrustaciones institucionales, sigue siendo objeto de una violencia que la sociedad ejerció y sigue ejerciendo sobre él. Según el autor, ¿En qué medida esto sucede?</t>
  </si>
  <si>
    <t>Franco Basaglia se pregunta cómo podrá el médico conciliar la doble exigencia, contradictoria en sí misma, mientras la sociedad no establezca hacia cuál de los dos polos quiere orientar la asistencia psiquiátrica.¿A qué polos hace referencia el autor?</t>
  </si>
  <si>
    <t>Giddens hace referencia a tres grandes fuerzas dinámicas de la modernidad, una es la separación espacio temporal, otra los mecanismos de desanclaje.¿Cúal es la tercera fuerza que el autor señala?</t>
  </si>
  <si>
    <t>Para Alfredo Carballeda, la visión del positivismo argentino no implica una mirada a la estructura social, sino una visión de la cuestión social desde la perspectiva de la supervivencia del mas apto. ¿En qué se apoya la visión social del positivismo argentino?</t>
  </si>
  <si>
    <t>Carballeda refiere que la concepción del Estado y la sociedad que tenía Sarmiento, planteaba objetivos que iban más allá de finalizada la contienda donde Rosas fue derrotado. ¿Cuál era, según Carballeda, el objetivo de aplicar la estrategia del disciplinamiento?</t>
  </si>
  <si>
    <t xml:space="preserve">¿Cúal ha sido para Danani, la base necesaria de la mercantilización del trabajo? </t>
  </si>
  <si>
    <t>Para Grassi, los problemas de legitimidad del Estado Capitalista Moderno se ubican en el contexto de la lucha por:</t>
  </si>
  <si>
    <t xml:space="preserve">¿Qué es, para Estela Grassi, una política de Estado en un Estado democrático? </t>
  </si>
  <si>
    <t>Sonia Fleury cita la clásica definición de Briggs sobre el Estado de Bienestar como "un Estado en el cual se usa deliberadamente el poder organizado, a través de la política y de la administración de un esfuerzo por modificar las fuerzas del mercado en por lo menos tres direcciones: 1- restrigiendo el marco de inseguridad a ciertas contingencias sociales, 2- asegurando que a todos los ciudadanos sean ofrecidos una gama de servicios sociales, ¿Cúal es la tercera dirección?</t>
  </si>
  <si>
    <t>En "Estados sin ciudadanos", Sonia Fleury refiere que Esping- Andersen analiza encuadrar al Welfare State como producto de la lucha de clase, o más ampliamente, una articulación del conflicto distributivo, a partir de pensar su intervención ¿a través de qué esferas?</t>
  </si>
  <si>
    <t>Para Altamirano, Armanini y Gonzalez, si bien los derechos de los niños/as y adolescentes no se encuentran limitados a la garantía sólo de sus derechos económicos; el logro de su pleno desarrollo humano como proposición política ¿A qué factores se encuentra vinculado?</t>
  </si>
  <si>
    <t>Según Donzelot, a partir de la difusión de la medicina doméstica, se sustraía a los hijos de las clases burguesas, de la influencia negativa de los domésticos. En esta reorganización de los comportamientos educativos, dichos hijos quedan bajo:</t>
  </si>
  <si>
    <t>¿Por qué para Eloisa Jong, la familia es depositaria de los conflictos sociales generándose una crisis de inseguiridad por el hoy y el futuro de sus integrantes y no tiene mínimas garantías para la reproducción social de la vida?</t>
  </si>
  <si>
    <t>Según Eloisa de Jong, en la conformación de los modos de intervenir el trabajo social con familia, ¿Cómo se considera a la familia desde la visión positivista- funcionalista?</t>
  </si>
  <si>
    <t>Para Jacques Donzelot, todos los discursos de los economistas y de los filántropos se distribuyen en torno a la cuestión de una asistencia planteada en términos socialistas por un lado y la economía política cristiana por el otro. ¿Qué proponen los socialistas?</t>
  </si>
  <si>
    <t>Para Gattino y Flores, la noción de "mundo interno"-"mundo externo", nos lleva a la necesidad de conceptualizar. En el discurso de las ciencias sociales, ¿A qué se alude con las "determinaciones que se producen al margen de la conciencia y la acción social"?</t>
  </si>
  <si>
    <t>Gattino y Flores realizan una propuesta metodológica de intervención con familias y destacan dos momentos ineludibles en la propuesta. ¿Podría identificar cuáles son?</t>
  </si>
  <si>
    <t>¿Qué pueden generar, según Gracia Fuster, el estereotipo según el cual la población anciana es una carga para la sociedad, junto con actitudes y  valores culturales que apoyan el culto a la juventud?</t>
  </si>
  <si>
    <t xml:space="preserve">¿Qué supone para Enrique Gracia Fuster, ingresar en una residencia para ancianos? </t>
  </si>
  <si>
    <t>¿Cuál es según Enrique Gracia Fuster uno de los principales determinantes de la rotura del cuidado familiar y comunitario de la persona anciana?</t>
  </si>
  <si>
    <t xml:space="preserve">Si bien, en promedio, las mujeres tienden a utilizar los servicios de salud más frecuentemente que los hombres, tal tendencia, para Elsa Gómez Gómez, no conlleva necesariamente una ventaja. ¿Por qué esto es así para la autora? </t>
  </si>
  <si>
    <t xml:space="preserve">¿Qué significa para Gómez Gómez, abogar por la equidad de género en salud? </t>
  </si>
  <si>
    <t>En el texto de Mabel Grimberg, ¿A qué concepto se refiere cuando habla por un lado "de la sexualidad como proceso que no sólo se desenvuelve sino que se construye en una historia con otros, y por otro, de las singularidades de esas historias en los sujetos ..."?</t>
  </si>
  <si>
    <t>Según Maria del Carmen Ludi, en el proceso de envejecimiento, como proceso biológio, ¿Qué es lo que adquiere relevancia, mas allá del curso de vida pautado e institucionalizado?</t>
  </si>
  <si>
    <t>Para Ludi, "Tercera Edad" es una creación reciente de las sociedades occidentales contemporáneas. ¿Qué es lo que implica su invención?</t>
  </si>
  <si>
    <t>La gerontología y la geriatría según Ludi, han contribuido durante mucho tiempo en el trazado de un perfil de los viejos identificados sólo como:</t>
  </si>
  <si>
    <t>¿Cuáles son, según Maria José Aguilar Idañez, las funciones relativas a la supervisión de trabajadores sociales profesionales?</t>
  </si>
  <si>
    <t>Cuando Aguilar Idañez señala que "Para el buen desarrollo de la entrevista/ tutoría individual, el supervisado debe entregar al supervisor el material y los informes que serán la base de la entrevista y debería incluir una agenda de preguntas o problemas". ¿A qué fase de una supervisión individual está haciendo referencia?</t>
  </si>
  <si>
    <t>¿Cómo define Bourdieu y Wacquant a aquellas fuerzas que son activas en el campo y que el analista selecciona como pertinentes porque producen las diferencias más importantes?</t>
  </si>
  <si>
    <t>Según Cáceres, en una entrevista se explora la estructura cognitiva que el entrevistado tiene sobre la situación que lo lleva a esta interacción. ¿Qué otra estructura, sostiene el autor que se explora?</t>
  </si>
  <si>
    <t>Para Cáceres y otros, los significados que se atribuyen en el proceso de elaboración del conocimiento, pueden ser de dos tipos. ¿Cúales son dichos significados?</t>
  </si>
  <si>
    <t>¿Según Alfredo Carballeda en "Escuchar las prácticas", con qué se relacionaba anteriormente la labor de supervisar?</t>
  </si>
  <si>
    <t>En "Escuchar las prácticas" ¿Qué implican para Alfredo Carballedo, las miradas probabilística y determinista en el campo de la intervención?</t>
  </si>
  <si>
    <t>¿Qué concepto está definiendo Silvina Cavallieri al concluir que :" el término alude a manifestaciones de desigualdades y antagonismos económicos, culturales, políticos, ideológicos, aprehendidos desde la perspectiva de la totalidad?</t>
  </si>
  <si>
    <t>Según Silvina Cavallieri, Reinaldo Pontes entiende que: el proyecto profesional y el instrumental teórico técnico de intervención son dos de los  cuatro aspectos contenidos por la matriz que expresa el estatuto de profesionalidad. ¿Cuáles son los otros dos aspectos?</t>
  </si>
  <si>
    <t>Una trabajadora social del Centro de Salud de Villa Fátima, coordina un grupo de promotores de salud que trabajan en la prevención de adicciones desde hace cuatro meses. En función de ampliar el grupo y la temática, les propone incorporar a otros promotores de salud del barrio vecino. Algunos de los miembros aceptan la propuesta, pero otros se muestran inquietos, desconfiados, cuestionando cada intervención del coordinador. ¿Según Zarzar Charur, qué es lo que manifiesta el grupo ante la nueva situación planteada?</t>
  </si>
  <si>
    <t>Del Cueto y Fernandez citan a Freud para quien " .... es una creencia engendrada por el impulso a la satisfacción de un deseo prescindiendo de su relación con la realidad" ¿Qué está definiendo el autor?</t>
  </si>
  <si>
    <t>¿A qué concepto hace referencia Guber cuando habla del proceso gradual por el cual el investigador va incorporando información en sucesivas etapas de su trabajo de campo?</t>
  </si>
  <si>
    <t>Para Mastrángelo de De Pamphilis el Trabajo Social es vulnerable al predominio de otras disciplinas, tanto respecto del marco conceptual como de  los aspectos operativos de la propia acción. Según la autora ¿Cuál es la causa de esta vulnerabilidad?</t>
  </si>
  <si>
    <t>Según Mastrángelo de De Pamphilis ¿Cuáles son las dos corrientes epistemológicas en pugna que históricamente se han disputado la construcción del objeto de estudio?</t>
  </si>
  <si>
    <t>Para Natalio Kisnerman, las personas como sujetos de necesidades las presentamos en forma individual, grupal o vecinal. ¿En qué se constituyen esas unidades de atención?</t>
  </si>
  <si>
    <t>María Lucía Martinelli sostiene que en la nueva fase del capitalismo (conocida como capitalismo monopolista), los monopolios fueron fortaleciéndose y con ellos las alianzas de:</t>
  </si>
  <si>
    <t>Para María Lucía Martinelli, bajo la influencia de la "Sociedad de Organización de la Caridad" la visita domiciliaria, era la práctica mas usual, colocándose como un instrumento que permitía alcanzar un doble objetivo: por un lado conocer in loco las condiciones de habitación y de salud de la clase trabajadora, ¿Cúal era el otro?</t>
  </si>
  <si>
    <t>¿A qué hace referencia Guber, en su capítulo sobre Entrevista Antropológica, con la expresión "dinámica particular"?</t>
  </si>
  <si>
    <t>Andrea Oliva refiere que las damas inspectoras realizaban visitas domiciliarias a modo de inspección de las condiciones de vida, observando la higiene y el orden del hogar. ¿Cúal era el propósito según la autora, de obtener esta información?</t>
  </si>
  <si>
    <t>Según Andrea Oliva, en la medida que las demandas son mayores, la elaboración de recursos escritos de tipo informativo y administrativo, se constituye en una tarea frecuente en las instituciones creadas para cubrir necesidades disociadas del salario. ¿Con qué fin se realizaban?</t>
  </si>
  <si>
    <t>En 1937 se inicia la primer publicación periódica del trabajo social en Argentina, editada por el MSA- UBA. ¿Qué orientación se puede apreciar según Andrea Oliva, en las producciones escritas de lo primeros graduados, estudiantes y docentes de la escuela del MSA-UBA?</t>
  </si>
  <si>
    <t>Según Pichardo Muñiz, un punto de partida interesante para el estudio de los problemas dentro de la dinámica de la organización social en la que estén inmersos, puede ser el reconocimiento y aceptación de dos premisas: la primera la concepción unificada de la realidad, ¿Cúal es la segunda?</t>
  </si>
  <si>
    <t>Para Pichardo Muñiz, conceptualizar, configurar el objeto de intervención y delimitar la situación, son los tres momentos ¿De qué estrategia?</t>
  </si>
  <si>
    <t xml:space="preserve">En la Sala de Pediatría del Hospital Santojanni, se encuentra internado Juan Manuel, un niño de 8 años que fue abusado sexualmente. La trabajadora social de la sala le informa al Jefe del Servicio que concurrirá a entrevistar al niño un abogado del equipo de la Guardia Permanente del Consejo de Derechos de Niños, niñas y adolescentes. El Jefe se muestra reticente de esta entrevista argumentando que el abogado no es un profesional del hospital. En función de la Resolución 1956, ¿Cómo orienta la Trabajadora Social al Jefe de Servicio? </t>
  </si>
  <si>
    <t>¿A qué nivel en la construcción de redes se refiere Mario Róvere, cuando lo describe como "una ayuda no sistemática, ni organizada sino espontánea que empiezan a estructurar una serie de mecanismos de reciprocidad?</t>
  </si>
  <si>
    <t>¿Cómo denomina Róvere a la manifestación vinculada al interés comercial que está siempre alerta, que se ocupa de expropiar todo lo que se hace?</t>
  </si>
  <si>
    <t xml:space="preserve">¿Qué objetivo le adjudica Margarita Rozas al segundo nivel de investigación en Trabajo Social? </t>
  </si>
  <si>
    <t>Según Margarita Rozas, ¿Qué es lo que le permite al Trabajo Social, explicar de manera precisa el contexto de construcción de su objeto de intervención entrecruzando diversas racionalidades de los actores que intervienen en la acción profesional?</t>
  </si>
  <si>
    <t>Para María de los Ángeles Aguilera en Tonón, la entrevista es un encuentro singular entre entrevistado/a y entrevistador/a, en el que el primero hace operativa una técnica con una finalidad determinada previamente. ¿Cómo es su operacionalización?</t>
  </si>
  <si>
    <t>En "Las técnicas de actuación profesional" Miguel Meza se refiere a la dimensión estética del informe social e identifica al arte como categoría central en la definición de estética. En referencia al Informe Social ¿Cómo entiende el autor al arte?</t>
  </si>
  <si>
    <t>Para Bibiana Tarvi una cuestión de absoluta vigencia en la actualidad, es el desarollo que hace Gordon Hamilton en el momento del planteo de la demanda. Según este autor ¿en qué es importante centrarse?</t>
  </si>
  <si>
    <t>Gordon Hamilton y Mary Richmond coinciden en que la primer entrevista, en tanto técnica de conocimiento e intervención, constituye una oportunidad que se ofrece para una completa y paciente atención. ¿Qué más puede obtenerse de ella, según los autores?</t>
  </si>
  <si>
    <t>Una joven adolescente se acerca al Centro de Salud mas cercano a su escuela ya que quiere tener información sobre métodos anticonceptivos, como es tímida se acerca al Servicio Social y plantea su inquietud a una profesional. La trabajadora social mantiene una entrevista con la adolescente quien luego de ser orientada se dirige al Servicio de Ginecología. Según Watzlawick, ¿Qué tipo de axioma se dió entre ambas?</t>
  </si>
  <si>
    <t>Según Forni y Gallart, los supuestos del análisis cuantitativo se basan en la representatividad estadística y en la posibilidad de generalizar los resultados encontrados en la muestra a una población dada. A diferencia de esto ¿en base a qué se efectúa el análisis cualitativo?</t>
  </si>
  <si>
    <t>Según Forni y Gallart, ¿Cuál es la noción central en el análisis cualitativo que permite interpretar los cambios observados en la realidad, involucrando la intencionalidad de los actores y las consecuencias de la acción, en el marco de las condiciones dadas?</t>
  </si>
  <si>
    <t>Según Vasilachis de Gialdino, todo el esfuerzo cualitativo depende de que se siga una secuencia ordenada de cuatro fases:</t>
  </si>
  <si>
    <t>Desde el Servicio Social de un Centro de Salud se llevará a cabo una investigación sobre embarazo adolescentes. Para tal fin, se prevé la aplicación de una encuesta a todas las embarazadas que concurren al consultorio de embarazo adolescente, y simultáneamente la realización de entrevistas en profunidad a algunas de ellas. Según Vasilachis de Gialdino, ¿Cómo se denomina esta triangulación para el estudio del mismo fenómeno?</t>
  </si>
  <si>
    <t>En una investigación sobre los factores que influyen en los postulantes a una residencia de la CABA al momento de adjudicar un cargo en la selección de la sede, la hipótesis es que: Los factores que los postulantes tienen en cuenta son el prestigio de la sede, su modalidad teórica, su modalidad de atención, teniendo en cuenta la proximidad geográfica con el domicilio del postulante. ¿Qué tipo de variable es "proximidad geográfica con el domicilio del postulante"?</t>
  </si>
  <si>
    <t>En 1995, desde la Dirección de Capacitación se realizó una investigación sobre la inserción laboral de los egresados del Sistema de Residencias del GCBA de los últimos 5 años. La hipótesis fue: La mayoría de los egresados de los últimos 5 años, se insertaron laboralmente en el sector privado, con una modalidad de contractual precaria y poco remunerada debido a los cambios negativos en el mercado laboral de la salud privada en los últimos años y las escasas posibilidades de ingreso en el sistema público. En esta investigación,¿qué tipo de variable es "cambios en el mercado laboral de la Salud Privada"?</t>
  </si>
  <si>
    <t xml:space="preserve">El Centro de Salud Nº 425 y las Escuelas Nº 7 y 24 del Distrito Escolar Sur de La Matanza, realizaron una investigación por la alta deserción escolar en los primeros años de escolaridad. Para desarrollarla se plantearon la siguiente hipótesis: El acompañamiento familiar de los niños entre 6 y 9 años que concurren a escuelas públicas de la zona sur de La Matanza, aumenta el rendimiento escolar. ¿Qué tipo de variable es "el rendimiento escolar"? </t>
  </si>
  <si>
    <t>Durante los meses de verano se producen muchos accidentes en las rutas nacionales, por lo tanto el Hospital Interzonal de la Costa, decidió realizar una investigación. La hipótesis que se plantea el equipo es: Los accidentes mortales en las rutas nacionales, aumentan según el grado de consumo de alcohol de los conductores. ¿Qué tipo de variable es "grado de ebriedad"?</t>
  </si>
  <si>
    <t>En el trabajo de Cecilia Acuña y Mónica Bolis, ¿Qué entienden las autoras como "la falta de acceso de ciertos grupos de personas a bienes, servicios y oportunidades que mejoran o preservan el estado de salud y que otros individuos y grupos de la sociedad disfrutan"?</t>
  </si>
  <si>
    <t>Para la caracterización del estigma como variable de exclusión, Cecilia Acuña y Mónica Bolis, analizaron tres escenarios.¿Cúales son ?</t>
  </si>
  <si>
    <t>Para Carrillo, el Estado ha organizado la atención de los enfermos con el concepto administrativo de realizar un servicio público, pero dentro de los conceptos de Justicia Social, corresponde llegar al ideal contemporáneo compatible con la dignidad humana. ¿Cómo denomina Ramón Carrillo la etapa a alcanzar?</t>
  </si>
  <si>
    <t>Según Ramón Carrillo, si antes no se podía ser un buen higienista sin ser, al mismo tiempo, bacteriólogo, ¿Cuáles son los criterios que se necesitan para afrontar los problemas de la medicina de las masas?</t>
  </si>
  <si>
    <t>Según Edith Fuentes, en los casos de violencia intrafamiliar ¿Qué garantiza el trabajo interdisciplinario?</t>
  </si>
  <si>
    <t>Según Silvia Faraone, desde el imaginario social, ¿Qué constituye el diagnóstico para la persona a quien se le imprime?</t>
  </si>
  <si>
    <t>De acuerdo con Silvia Faraone, en el marco de la desinstitucionalización, ¿Qué permite hablar de un cambio de paradigma?</t>
  </si>
  <si>
    <t>Según Floreal Ferrara, ¿Cómo deben identificarse las necesidades de salud?</t>
  </si>
  <si>
    <t xml:space="preserve">¿Cómo define Floreal Ferrara la relación paciente- médico? </t>
  </si>
  <si>
    <t>Según Michel Foucault, ¿Dónde y cuándo se desarrolla principalmente la "medicina de Estado"?</t>
  </si>
  <si>
    <t>Maitena Fidalgo plantea una periodización de cuatro momentos en la historia de la sanidad en la Argentina. ¿Cuál fue el rol del Estado durante el primer período marcado por la autora?</t>
  </si>
  <si>
    <t>Maitena Fidalgo, citando a Grassi, Hintze y Neufeld, señala que en la Argentina, la expasión de los derechos sociales no está ligada a la expansión de la ciudadanía, sino a la constitución misma de otra categoría, ¿A qué categoría hace referencia la autora?</t>
  </si>
  <si>
    <t>¿Cómo denomina Michel Foucault a la nueva dimensión de posibilidades médicas, donde el médico y el biólogo ya no trabajan en el círculo del individuo y de su descendencia, sino que empiezan a hacerlo en el nivel de la propia vida y de sus acaecimientos fundamentales?</t>
  </si>
  <si>
    <t>María de los Ángeles, de 23 años, acaba de tener a su primer hijo en el Hospital Piñero. Manifiesta a la trabajadora social de la sala de maternidad, que el bebé es fruto de una relación extramatrimonial y que el padre biológico dijo que no se haría cargo del niño. Manifiesta que de todas formas lo anotará en el Registro Civil del hospital, como hijo de ambos, para poder comprometer legalmente al padre. Considerando la Ley Nº 23.264 de Filiación y Patria Potestad, ¿Qué le informa la Trabajadora Social en relación al acto de reconocimiento de la filiación?</t>
  </si>
  <si>
    <t>Esther concurre al Centro de Salud Nº 7 a plantear su preocupación al Trabajador Social: refiere que se encuentra divorciada del padre de sus dos hijos de 8 y 5 años y que ha formado una nueva pareja. Teme que ante esta situación, y dado que ella tiene la tenencia de los dos niños, su ex marido le plantee que ya no tiene que continuar aportando económicamente para la crianza de los hijos. Según la Ley Nº 23.515 de Matrimonio, ¿Cúal es la información que se le debe transmitir a Esther?</t>
  </si>
  <si>
    <t>Lucía de 15 años, y su pareja Bautista, de 17 años, asisten al Centro de Salud Nº 18 a plantear una inquietud al Servicio Social. Ambos relatan que están de novios desde hace un año, que se encuentran muy enamorados y que desean contraer matrimonio. Manifiestan que aún no han comentado esta idea a sus padres ya que antes quisieran informarse sobre cuáles son las condiciones legales para poder concretar su proyecto. ¿Qué establece la Ley  de Matrimonio Nº 23.515 para estos casos?</t>
  </si>
  <si>
    <t>Juan Carlos de 35 años, se presenta en la guardia de un hospital de emergencias psiquiátricas, solicitando su internación en forma voluntaria ya  que se siente muy deprimido, hace días que no puede dormir bien y tiene ideas suicidas. El equipo interdisciplinario y los profesionales que lo atienden evalúan necesaria una internación breve. Se ponen en contacto con su grupo familiar y trabajan con el paciente la firma de su consentimiento informado. Luego de 10 días Juan Carlos, que no presenta riesgo cierto e inminente, refiere querer abandonar su internación. ¿Qué dice el artículo 18 de la Ley Nacional de Salud Mental con respecto a esta situación?</t>
  </si>
  <si>
    <t>María del Carmen de 40 años, es llevada a la guardia de un hospital general por la policía en la madrugada. Es atendida por profesionales del quipo de salud mental, quienes evalúan que presenta riesgo cierto e inminente para sí o para terceros. No se encuentra en condiciones de brindar consentimiento por estar delirante y con ideas de agresión. Se procede a una internación involuntaria. Según el artículo 21 de la Ley Nacional de Salud Mental Nº26657, ¿Cúal es el primer paso legal que debe cumplir el equipo?</t>
  </si>
  <si>
    <t>Se presenta en la guardia de un hospital general del GCBA, una mujer que impresiona desorientada en tiempo y espacio, con alucinaciones auditivas. En la admisión se considera necesario descartar una posible intoxicación u organicidad, mientras se evalúa una eventual internación. La mujer habla y entiende con dificultad el castellano, quien la acompaña y oficia de traductora refiere que es inmigrante, no posee DNI, ni regularizó su situación migratoria para obtener su documentación. Según la Ley Nacional de Migraciones, ¿A qué intervenciones tiene derecho?</t>
  </si>
  <si>
    <t>Alcira de 28 años de edad fue atacada sexualmente por su ex pareja. Concurre a la Guardia del Hospital Pirovano donde plantea su situación y sus  temores por la situación transitada. Pide orientación y asesoramiento al Trabajador Social de Guardia sobre una posible denuncia al agresor. Según el artículo 24 de la Ley 26485 de Protección Integral para prevenir la violencia contra las mujeres, ¿Quién esta legitimado para hacer la denuncia?</t>
  </si>
  <si>
    <t>María Ester denunció a Omar, su pareja y padre de tres hijos por maltratos físicos y agresiones verbales hacia su persona. Ha denunciado e iniciado un proceso contra Omar, sin embargo éste ha comenzado a vender parte de sus bienes adquiridos en común durante la convivencia. Temerosa de que quiera desalojarla para vender la casa, acude a un Centro de Gestión y Participación para buscar orientación en el Servicio Social. Según la Ley 26485 ¿Qué medidas preventivas podría ordenar el Juez?</t>
  </si>
  <si>
    <t>Gonzalo tiene 9 años y su hermano 11. Ambos sufrieron situaciones de violencia física y verbal por parte de la pareja de su madre. Su padre los abandonó de pequeños y su madre refiere no querer abandonar y desalojar a su pareja del hogar donde vive con los niños. La escuela dió intervención a la Defensoría local y al Consejo de Derechos de los Niños, niñas y adolescentes. Ambos organismos decidieron adoptar una medida excepcional separando a los niños de su núcleo familiar incluyéndolos en un hogar por un breve tiempo, hasta tanto se resuelva la situación con el agresor. Según la Ley 26.061, ¿Qué objetivos persigue la aplicación de este tipo de medidas excepcionales?</t>
  </si>
  <si>
    <t>La Ley 24.901 de Sistemas de Prestaciones básicas de discapacidad, contempla la incorporación de las personas con discapacidad a sistemas alternativos al grupo familiar cuando éstas no pudieran permanecer en el mismo.Según el Artículo 30 ¿Cúal de los siguientes sistemas alternativos sería el adecuado para una persona adulta con discapacidad que contara con suficiente y adecuado nivel de autovalimiento e independencia para abastecer necesidades básicas?</t>
  </si>
  <si>
    <t>Juan José tiene un pequeño microemprendimiento de respotería y panificados en el barrio. Necesita incorporar más empleados porque ha aumentado la demanda y por consiguiente el nivel de producción. Leticia, una trabajadora social del Centro Comunitario, le sugiere que contrate vecinos del barrio con algún tipo de discapacidad. ¿Qué beneficio otorga a los empleadores la Ley 22.431 de Protección Integral de personas discapacitadas?</t>
  </si>
  <si>
    <t>Ana Clara de 16 años, asiste con su pareja al Centro de Salud del barrio. Refiere su inquietud sobre formas de cuidarse e inmediatamente la derivan con la ginecóloga de la institución. Ese mismo día junto a su pareja reciben información y asesoramiento sobre todos los métodos anticonceptivos. Ana Clara se siente presionada en su elección por su novio quien le insiste en el uso de un dispositivo intrauterino refiriendo su molestia por el uso de preservativos. Según la Ley 418 de Salud Sexual y Reproductiva del GBA, ¿Cómo debe ser la adopción de un método anticonceptivo?</t>
  </si>
  <si>
    <t>En los efectores de salud del Municipio de San Vicente han empezado a diagnosticarse casos de VIH-Sida. Las autoridades sanitarias de la Secretaría de Salud han comenzado a planificar un sistema integrado de registro y seguimiento personalizado de los casos que aparecieron y sus familias. ¿Qué dice la Ley Nacional de Sida 23.798 con respecto a esta situación?</t>
  </si>
  <si>
    <t>Amalia es una joven sin pareja que vive en Quilmes, tiene cuatro hijos menores de 10 años y acaba de tener un parto prematuro en el Hospital Argerich. Dado que el recién nacido tiene bajo peso y algunos problemas respiratorios debió ser internado en el Servicio de Neonatología donde los horarios de visita son de 8 a 9,30 hs de la mañana y de 13 a 14,30 hs. La restricción de los horarios y el cuidado de los 4 hijos le dificulta la visita all pequeño. Amalia se acerca angustiada al Servicio Social del Hospital para plantear su situación y pedir una ampliación de los horarios de visita. Teniendo en cuenta la Ley 114 de Protección Integral de los Derechos de niños, niñas y adolescentes ¿Cuál es el fundamento de cualquier tipo  de acción o sugerencia?</t>
  </si>
  <si>
    <t>Según el Artículo 39 de la Ley Nº23.377 de Ejercicio Profesional, ¿Quiénes estarían en condiciones de ser electores de los órganos del Consejo Profesional de Graduados en Servicio Social o Trabajo Social?</t>
  </si>
  <si>
    <t>La Ordenanza Nº 40.997/85 (GCBA) del Sistema de Municipal de Residencias del Equipo de Salud, en su artículo 20 refiere la creación de la Subcomisión de Residencias en establecimientos asistenciales de la Municipalidad de Buenos Aires, donde se desarrolla el Sistema Municipal de Residencias del Equipo de Salud. ¿Cómo estará constituída esta comisión?</t>
  </si>
  <si>
    <t>Jacinto se realizó una test de VIH en un hospital público del Gobierno de la Ciudad en el Consultorio de HIV-SIDA. Han llegado los resultados del laboratorio al consultorio cuyo resultado es positivo. ¿Cuánto tiempo tienen los profesionales del Consultorio para notificarlo del diagnóstico?</t>
  </si>
  <si>
    <t>Adela, una mujer de 58 años, sin cobertura médica, sin domicilio fijo, a causa del frío de la noche y la falta de alimentación ha sufrido una descompensación aguda en la puerta del Sanatorio Privado Luis Pasteur de la Ciudad de Buenos Aires. Los guardias de seguridad del Sanatorio se debaten entre llamar una ambulancia del SAME o a los médicos de la institución. ¿Qué dice la Ley 153 Básica de Salud de la Ciudad de Buenos Aires frente a situaciones de urgencia?</t>
  </si>
  <si>
    <t>Vicente, de 67 años, se encuentra internado desde hace 6 meses en la sala de clínica médica. Padece una enfermedad oncológica, no tiene ningún tipo de ingreso así como tampoco un lugar donde vivir. Posee una red familiar constituída por tres hijos mayores de edad, quienes se encuentran en una buena posición económica; sin embargo los mismos hace un mes que no lo visitan, habiendo manifestado a los médicos que no se harán cargo del cuidado de su padre. Ante esta situación, los profesionales consultan a la trabajadora social, quien considerando la Ley Nº 23.264 responde:</t>
  </si>
  <si>
    <t>Según la Ley 153 Básica de Salud, ¿En qué se basa la organización y control de las prestaciones y servicios del subsector estatal que debe contemplar la autoridad de aplicación?</t>
  </si>
  <si>
    <t xml:space="preserve"> caravaggio@gmail.com</t>
  </si>
  <si>
    <t>x</t>
  </si>
  <si>
    <t>Respuesta correcta actual</t>
  </si>
  <si>
    <t>Según Franco Basaglia, el problema no es el de la enfermedad en sí, sino determinar el tipo derelación que se establece con el enfermo. De acuerdo a esto, ¿Qué caracteriza la relación de tipomutualista?</t>
  </si>
  <si>
    <t>a)El aumento vertiginoso del poder puro del médico y la disminución del poder del enfermo.</t>
  </si>
  <si>
    <t>b)La disminución del poder del médico y el aumento del poder del paciente como resultadode asociación con otros enfermos.</t>
  </si>
  <si>
    <t>c)La disposición por parte del paciente de un " poder" que oponer al "poder" técnico delmédico con conciencia de su fuerza.</t>
  </si>
  <si>
    <t>Según Franco Basaglia, el psiquiatra, con sus organizaciones ultramodernas y perfectamenteequipadas, o con teorías lógicas, perpetuaría con el paciente una relación de instrumento ainstrumento donde la reciprocidad seguiría siendo negada sistemáticamente, ¿cómo nomina elautor a dicha relación?</t>
  </si>
  <si>
    <t>a)Autoritaria.</t>
  </si>
  <si>
    <t>b)Asimétrica.</t>
  </si>
  <si>
    <t>d)Restrictiva.</t>
  </si>
  <si>
    <t>Para Bourdieu y Wacquant el principio de la dinámica de un campo radica en la configuraciónparticular de su estructura ¿Qué es lo que produce las diferencias más importantes y definen elcapital específico?</t>
  </si>
  <si>
    <t>b)Las fuerzas potenciales en tanto el campo es un campo de lucha.</t>
  </si>
  <si>
    <t>c)Las regularidades y las reglas de un campo particular.</t>
  </si>
  <si>
    <t>d)La distribución de los instrumentos incorporados a un espacio</t>
  </si>
  <si>
    <t>Según Alfredo Carballeda, en "El Trabajo Social desde una mirada histórica", ¿por qué secaracterizó la biopolítica a partir del S XVIII ?</t>
  </si>
  <si>
    <t>a)Por desarrollar estrategias de coerción individual a través de dispositivos colectivos.</t>
  </si>
  <si>
    <t>c)Por el control ejercido sobre las masas en forma legitimada desde el positivismo.</t>
  </si>
  <si>
    <t>d)Por el poder ejercido sobre el pueblo teniendo en cuenta la sumatoria de individuoscontrolados.</t>
  </si>
  <si>
    <t>Para Alfredo Carballeda ¿a partir de qué esferas desarrolladas por el Trabajo Social durante losúltimos años, se construye una nueva forma de intervención relacionada con la nueva cuestiónsocial?</t>
  </si>
  <si>
    <t>a)El diálogo, la atención, la promoción.</t>
  </si>
  <si>
    <t>b)La entrevista, la comprensión activa, la educación.</t>
  </si>
  <si>
    <t>c)La observación, la interpelación, la transformación.</t>
  </si>
  <si>
    <t>Según Alfredo Carballeda ¿qué cuestiones atraviesan a las instituciones de las últimas décadas delSiglo XIX y las primeras del Siglo XX, marcando con claridad la intervención en lo social desde unadeterminada modalidad?</t>
  </si>
  <si>
    <t>b)Aislamiento, vigilancia y control social.</t>
  </si>
  <si>
    <t>c)Caos, desprotección y violencia.</t>
  </si>
  <si>
    <t>d)Orden, progreso y moral.</t>
  </si>
  <si>
    <t>¿Cuáles son, según Danani, las políticas que regulan directamente los ingresos del capital y sedesenvuelven principalmente en la esfera de la distribución primaria?</t>
  </si>
  <si>
    <t>a)Culturales.</t>
  </si>
  <si>
    <t>b)Económicas.</t>
  </si>
  <si>
    <t>d)Sociales.</t>
  </si>
  <si>
    <t>¿Como denomina Anthony Giddens a uno de los comportamientos básicos de presencia que se daen los encuentros con extraños en las circunstancias de la modernidad?</t>
  </si>
  <si>
    <t>a)Conexión de acceso.</t>
  </si>
  <si>
    <t>c)Interacción informal.</t>
  </si>
  <si>
    <t>d)Interaccion formal.</t>
  </si>
  <si>
    <t>En el texto "Servicio Social: Identidad y alienación", según Martinelli ¿Con qué fin habría sidodesarrollada y engendrada la profesion del servicio social?</t>
  </si>
  <si>
    <t>a)Como una de las formas de beneficencia desarrollada por la Iglesia para el control moralde sus fieles.</t>
  </si>
  <si>
    <t>b)Como una estrategia de disciplinamiento cultural higienista al interior de las familiasacorde a las teorías positivistas de la época.</t>
  </si>
  <si>
    <t>d)Como una forma evolucionada de la caridad y la beneficencia desarrollada a lo largo delSiglo XVIII para influir en la conducta de la población pobre.</t>
  </si>
  <si>
    <t>Según Martinelli en el texto "Servicio Social: Identidad y alienación", la burguesía en los finales delSiglo XIX e inicio del Siglo XX se sentía amenazada por la cuestión social que se expresaba deforma contundente a través de dos faces: la política, representada por el avance del movimientode los trabajadores y ¿por cuál otra?</t>
  </si>
  <si>
    <t>a)La económica, representada por las fluctuaciones del mercado capitalista.</t>
  </si>
  <si>
    <t>b)La histórica, representada por las permanentes y continuas luchas obreras surgidas alcalor de la contradicción capital-trabajo</t>
  </si>
  <si>
    <t>c)La migratoria, representada por los grandes movimientos poblacionales del campo a laciudad, que generaban la superpoblación en las grandes ciudades.</t>
  </si>
  <si>
    <t>Según Andrea Oliva, Di Liscia refiere que la creación de las visitadoras responde a la lógica detransmitir los preceptos de la higiene a los pobres urbanos. ¿De qué manera?</t>
  </si>
  <si>
    <t>a)Convenciendo a cada familia de readecuar las condiciones de su hogar.</t>
  </si>
  <si>
    <t>c)Invirtiendo en equipamientos colectivos y subsidios familiares.</t>
  </si>
  <si>
    <t>d)Organizando estrategias de prevención al interior de la familia.</t>
  </si>
  <si>
    <t>Andrea Oliva recurre al autor Topalov para explicar el proceso por el cual el Estado emergecumpliendo un papel fundamental en la cobertura de necesidades disociadas del salario medianteel financiamiento público de equipamientos de uso colectivo. ¿Porqué afirma el autor que elfinanciamiento público nace de las contradicciones de base económica y sus formas concretas sonmuy variables?</t>
  </si>
  <si>
    <t>a)Porque deben cubrir necesidades diversas de la población trabajadora.</t>
  </si>
  <si>
    <t>b)Porque el capital necesita mano de obra pero no puede cubrir los costos reales de sureproducción.</t>
  </si>
  <si>
    <t>c)Porque son las pujas del capital concentrado y las luchas de poder.</t>
  </si>
  <si>
    <t>Según la autora Andrea Oliva, tanto la vivienda popular como los servicios de enseñanza y desalud son bienes y servicios que no responden a las necesidades inmediatas, uniformes yfraccionales de los trabajadores y donde la aparición del Estado es clave para su desarrollo. Enmateria de salud pública, ¿cuándo se institucionaliza la intervención del Estado?</t>
  </si>
  <si>
    <t>a)En 1880 con la creación por Ley del Departamento de Higiene.</t>
  </si>
  <si>
    <t>c)En 1906 con la creación de la Comisión Asesora de Asilos y Hospitales Regionales.</t>
  </si>
  <si>
    <t>d)En 1909 con la creación de la Sociedad Asistencia a domicilio de enfermos pobres.</t>
  </si>
  <si>
    <t>Según Sonia Fleury en "Estado sin ciudadanos" ¿Cómo se denomina al modelo de política socialque a través de una acción gubernamental centralizada y unificada, procura garantizar a latotalidad de los ciudadanos, un mínimo vital en términos de renta, bienes y servicios?:</t>
  </si>
  <si>
    <t>a)Acción social.</t>
  </si>
  <si>
    <t>b)Asistencia social.</t>
  </si>
  <si>
    <t>d)Seguro social.</t>
  </si>
  <si>
    <t>Según Altamirano, Armanini y Gonzalez en "La adopción, una mirada no hegemónica", ¿Qué riesgoacarrea la adopción utilizada en forma indiscriminada frente a situaciones de extrema pobreza?:</t>
  </si>
  <si>
    <t>a)Desconocer la responsabilidad del Estado en la aplicación de políticas públicas deinclusión social.</t>
  </si>
  <si>
    <t>c)Priorizar la situación económica a la capacidad de amor.</t>
  </si>
  <si>
    <t>d)Priorizar los derechos de los padres adoptivos sobre los del niño adoptado</t>
  </si>
  <si>
    <t>Para Eloísa de Jong, en la sociedad capitalista burguesa se transforma a la familia en el lugar dedepositación de la responsabilidad social por la conducta de sus miembros. ¿Qué efectoconsecuente se produce?</t>
  </si>
  <si>
    <t>a)El desarrollo de políticas focalizadas al interior de la familia y desligadas del contextosocial.</t>
  </si>
  <si>
    <t>b)El fortalecimiento de los derechos individuales y una reorginazación de las relacionessociales.</t>
  </si>
  <si>
    <t>c)La consolidación de la esfera de lo doméstico por un lado y la esfera comunitaria por otro.</t>
  </si>
  <si>
    <t>Según Eloísa De Jong en su trabajo "La famila en los albores del nuevo milenio", ¿Cómo seconsidera a la familia en la vertiente "crítica" del quehacer profesional?</t>
  </si>
  <si>
    <t>a)Una institución de carácter universal, natural y ahistórica.</t>
  </si>
  <si>
    <t>c)Una variable independiente del contexto social en el desarrollo de su existencia.</t>
  </si>
  <si>
    <t>d)Un objeto a ser observado desde múltiples criterios de abordaje terapeútico.</t>
  </si>
  <si>
    <t>Jacques Donzelot afirma que desde 1840 hasta finales del siglo XIX se multiplican las leyes quedecretan las normas proctectoras da la infancia. Según el autor, ¿De qué natulareza eran y qué sepretendía con esas medidas de normalización de la relación adulto- niño?</t>
  </si>
  <si>
    <t>b)Social y económica, pretendían mejorar las condiciones de vida de los niños de las clasestrabajadoras, futuros vendedores de fuerza de trabajo necesaria para la acumulación decapital.</t>
  </si>
  <si>
    <t>c)Social e histórica, destinadas a brindar protección por parte del Estado a los niños defamilias obreras, imposibilitando a sus padres extraer beneficio del trabajo de sus hijos.</t>
  </si>
  <si>
    <t>d)Educativa y moral, procuraban actuar en la vigilancia de la educación de la infancia porparte de las familias y reformar las prácticas inmorales y promiscuas.</t>
  </si>
  <si>
    <t>En el artículo de Enrique Gracia Fuster, ¿Cómo define Simos los problemas que plantea a la familiael cuidado de un persona mayor?</t>
  </si>
  <si>
    <t>a)Desigualdades y agobio en la responsabilidad asumida por cada miembro de la familia enel cuidado del anciano.</t>
  </si>
  <si>
    <t>b)El hacerse cargo de una persona mayor produce un proceso de desintegración familiardebido a las dificultades económicas que implica su cuidado.</t>
  </si>
  <si>
    <t>c)La pérdida de afecto hacia la persona mayor por parte de la familia debido a la "carga"que supone su cuidado.</t>
  </si>
  <si>
    <t>¿Dónde radica, según Gattino y Flores, la característica diferencial de la famila respecto a otrosespacios establecidos para la reproducción de la existencia social?</t>
  </si>
  <si>
    <t>a)En el imaginario social de "acogimiento" que se construye en la sociedad.</t>
  </si>
  <si>
    <t>b)En la percepción sobre los "lazos sociales" que tienen los integrantes de la misma.</t>
  </si>
  <si>
    <t>d)En la significación que le otorgan las diferentes generaciones.</t>
  </si>
  <si>
    <t>En el texto "Iniciación sexual, prácticas sexuales y prevención del HIV- SIDA... " ¿Qué dimensionestoma Mabel Grimberg para el análisis de la trayectoria sexual en los jóvenes de sectorespopulares?</t>
  </si>
  <si>
    <t>a)El desarrollo del autocuidado y la autopercepción; la educación e información; la cultura;y la conformación familiar y social.</t>
  </si>
  <si>
    <t>c)La modalidad de toma de decisiones; la frecuencia de exposición a riesgos; las relacionesde poder en la pareja; y la percepción del goce.</t>
  </si>
  <si>
    <t>d)Las formas de intercambio sexual; el complejo placer- deseo; los significados socialesasignados a la sexualidad; y los modelos de género.</t>
  </si>
  <si>
    <t>María del Carmen Ludi acuerda con Guita Debert que desde el punto de vista antropológico existentres aspectos sobre la vejez que ganan significados particulares en contextos históricos, sociales yculturales distintos. ¿Cúales son?</t>
  </si>
  <si>
    <t>a)El abordaje que realizan los profesionales del tema, las políticas que desarrollan losEstados y el cuidado de las familias.</t>
  </si>
  <si>
    <t>b)El tratamiento en los medios masivos de comunicación, los sistemas de protección socialy la autopercepción de los viejos.</t>
  </si>
  <si>
    <t>d)Los movimientos sociales sobre tercera edad, las conductas negativas y positivas de lasociedad en su conjunto.</t>
  </si>
  <si>
    <t>¿Cómo entiende la intervención profesional Carmen Ludi, en tanto proceso teórico- metodológico?</t>
  </si>
  <si>
    <t>b)Como un proceso de construcción dialéctica donde lo particular/ singular debe seridentificado y analizado en la cotidianeidad del sujeto.</t>
  </si>
  <si>
    <t>c)Como una serie de acciones puntuales donde la implementación de técnicas eintrumentos estará sujeta al andamiaje metodológico del profesional.</t>
  </si>
  <si>
    <t>d)Como una secuencia de acciones/intervenciones que permiten desarrollar un diagnósticopaulatino sobre el que se desarrollarán otras acciones que irán modificanco la situacióndel sujeto.</t>
  </si>
  <si>
    <t>Forni F y Gallart M, plantean que los análisis de los procesos sociales cotidianos puede contribuir alconocimiento de los fenómenos sociales ¿En qué teoría se fundamenta este tipo de aproximaciónmetodológica para los análisis cualitativos?</t>
  </si>
  <si>
    <t>a)Conflicto social.</t>
  </si>
  <si>
    <t>b)Complejidad.</t>
  </si>
  <si>
    <t>d)Singularidad.</t>
  </si>
  <si>
    <t>Según Vasilachis de Gialdino, los autores Glaser y Strauss utilizan el análisis comparativo paracrear dos tipos básicos de teoría: una desarrollada para un área empírica y otra para un áreaconceptual de investigación ¿Cuál es el nombre de estas teorías?</t>
  </si>
  <si>
    <t>a)Cuantitativa y cualitativa.</t>
  </si>
  <si>
    <t>b)Inductiva y analítica.</t>
  </si>
  <si>
    <t>c)Interpretativa y conceptual.</t>
  </si>
  <si>
    <t>Según Vasilachis de Gialdino, ¿Cómo denomina Kirk la medida en que un procedimiento demedición arroja el mismo resultado como quiera y donde quiera que sea llevado a cabo?</t>
  </si>
  <si>
    <t>a)Circunstancialidad.</t>
  </si>
  <si>
    <t>c)Neutralidad.</t>
  </si>
  <si>
    <t>d)Validez.</t>
  </si>
  <si>
    <t>Según Sabino, las explicaciones de tipo causal resultan inadecuadas por su rigidez para estudiarlos fenómenos sociales. Este modelo de causalidad mecánico es suplantado por otro que rescata laespecificidad de lo social y por lo tanto la noción estrecha de causa es suplantada por un conceptomás abierto, ¿A qué concepto se refiere el autor?</t>
  </si>
  <si>
    <t>a)Comprensión.</t>
  </si>
  <si>
    <t>b)Significación.</t>
  </si>
  <si>
    <t>c)Integración.</t>
  </si>
  <si>
    <t>En una investigación desarrollada desde el Programa de Municipios Saludables dependiente delMinisterio de Salud de Nación se han planteado la siguiente hipótesis: "entre los empleadosmunicipales de la Ciudad de Buenos Aires existen mayores niveles de consumo de tabaco queentre los empleados del municipio de San Pedro por el tipo de desarrollo urbano en el que seencuentran emplazados". ¿Qué tipo de variable es "consumo de tabaco"?</t>
  </si>
  <si>
    <t>a)Aleatoria.</t>
  </si>
  <si>
    <t>c)Independiente.</t>
  </si>
  <si>
    <t>d)Interviniente.</t>
  </si>
  <si>
    <t>En el Municipio de San Vicente la Secretaría de Salud ha desarrollado estrategias para disminuirlas cesáreas en mujeres parturientas, se han basado en una investigación desarrollada durante elúltimo año cuya hipótesis estaba formulada de la siguiente forma: "El acompañamiento de unreferente afectivo durante el parto de mujeres embarazadas disminuye la frecuencia de prácticasde cesáreas". ¿Qué tipo de variable es "acompañamiento"?</t>
  </si>
  <si>
    <t>a)Dependiente.</t>
  </si>
  <si>
    <t>b)Independiente.</t>
  </si>
  <si>
    <t>d)Concurrente.</t>
  </si>
  <si>
    <t>En la hipótesis: "los pobladores que viven en zonas endémicas de denghe tienen mayor exposicióna a la picadura del mosquito Aedes Aegiptus" ¿Qué tipo de variables es "lugar de residencia"?</t>
  </si>
  <si>
    <t>b)Interviniente.</t>
  </si>
  <si>
    <t>c)Dependiente.</t>
  </si>
  <si>
    <t>d)Relacional.</t>
  </si>
  <si>
    <t>En un Centro de Gestión y Participación de la Ciudad de Buenos Aires se ha desarrollado unainvestigación sobre los hombres adultos y su reinserción en el mercado laboral luego de la crisiseconómica del 2000, donde se observa que "el nivel educativo alcanzado mejora las posibilidadesde conseguir empleo" ¿Qué tipo de variable es "educación alcanzada"?</t>
  </si>
  <si>
    <t>Marta es Licenciada en Trabajo Social y esta realizando su investigación para la tesis de maestríaen Políticas de Igualdad de Género. Se contacta con el Magister Juan Gomez, experto en Políticasde Género, integrante de un Grupo de Investigación en la temática, autor de diversos libros en eltema, actualmente miembro del comité ejecutivo del Ministerio de la Mujer y asesor en el Senadode la nación en la comisión de familia, niñez y mujer. Marta acabada de contactarlo comorepresentante de la política gubernamental para desarrollar una entrevista que le sirva de insumoen su investigación. Según Cáceres y otros, ¿Qué tipo de entrevista llevará a cabo Marta?</t>
  </si>
  <si>
    <t>a)Cuestionario cerrado.</t>
  </si>
  <si>
    <t>b)De orientación.</t>
  </si>
  <si>
    <t>c)Focal de grupo.</t>
  </si>
  <si>
    <t>Según Cáceres y otros,¿Cuál es el principio fundamental en el momento de la entrevistadenominado desarrollo o contenido?</t>
  </si>
  <si>
    <t>b)Desarrollar preguntas dirigidas a explorar el sistema referencial operativo del entrevistadopara poder orientarlo según sus propias concepciones.</t>
  </si>
  <si>
    <t>c)Implementar un cuestionario o preguntas guía preparadas con anterioridad al encuentropara optimizar el tiempo de la entrevista y del entrevistado.</t>
  </si>
  <si>
    <t>d)Realizar preguntas sobre los aspectos relevantes de la problemática que plantea lapersona para orientarlo aunque no sea la institución que pueda resolver su demanda enforma directa.</t>
  </si>
  <si>
    <t>Para Alfredo Carballeda en "Escuchar las prácticas", una necesidad es un derecho no cumplido ypor ende una injusticia que genera padecimiento y resistencia producto de las desigualdades.Según el autor ¿Qué es lo que visibiliza esta concepción de necesidad?</t>
  </si>
  <si>
    <t>a)Las amenazas al sistema liberal.</t>
  </si>
  <si>
    <t>c)Las desviaciones del mercado como distribuidor de bienes.</t>
  </si>
  <si>
    <t>d)Una manifestación de la desintegración social.</t>
  </si>
  <si>
    <t>¿Qué son para Alfredo Carballeda, los "tipos ideales" en supervisión?</t>
  </si>
  <si>
    <t>a)Son perspectivas conceptuales que permiten desarrollar análisis mas amplios sobre laintervención.</t>
  </si>
  <si>
    <t>b)Son formas de organizar la información utilizadas para producción de conocimiento.</t>
  </si>
  <si>
    <t>d)Son construcciones sociales en tanto participan distintos actores en su concepción ydesarrollo.</t>
  </si>
  <si>
    <t>En el artículo de Silvia Cavallieri, ¿Cuál es el desarrollo que se retoma de Marilda Iamamoto sobreel concepto de personajes sociales?</t>
  </si>
  <si>
    <t>a)Actores sociales en cuyo actuar se refleja su ubicación en la escala social y su forma deconcebir el mundo.</t>
  </si>
  <si>
    <t>c)Sujetos de la intervención social en cuya singularidad se observan los entrecruzamientohistórico sociales y contextuales a partir de la cual el profesional recupera la subjetividad.</t>
  </si>
  <si>
    <t>d)Sujetos sociales cuyas particularidades es necesario capturar en la propia cotidianeidaddel quehacer profesional.</t>
  </si>
  <si>
    <t>Según Silvia Cavallieri en su artículo "Repensando el concepto de problemas sociales", ¿De qué dacuenta el concepto de "Universalidad"?</t>
  </si>
  <si>
    <t>b)De las dimensiones estructurales de las relaciones de producción y reproduccióncapitalista.</t>
  </si>
  <si>
    <t>c)De un nivel de análisis abarcativo y macro vinculado al plano cotidiano en forma directa.</t>
  </si>
  <si>
    <t>d)De una noción espistemológica y sociológica utilizada como categoría de análisis.</t>
  </si>
  <si>
    <t>Según Carlos Zarzar Charur en "La dináminca de los grupos de aprendizaje", ¿A qué hacereferencia cuando se habla de la dinámica de los grupos?</t>
  </si>
  <si>
    <t>a)A la participación activa de los miembros que componen el grupo incluyendo alcoordinador.</t>
  </si>
  <si>
    <t>c)A la aplicación de distintas técnicas de intervención grupal que facilitan la relación entreobjetivo y tarea.</t>
  </si>
  <si>
    <t>d)A la interacción entre la temática, la tarea explicíta y el encuadre.</t>
  </si>
  <si>
    <t>Para M. de los Ángeles Comisso, ¿Qué implica conocer el "hecho social"como hecho que seconstruye?</t>
  </si>
  <si>
    <t>b)Deconstruir la cadena de sentidos y símbolos que la población le atribuye a los hechossociales significativos.</t>
  </si>
  <si>
    <t>c)Explicitar los marcos referenciales y esquemas operativos del investigador.</t>
  </si>
  <si>
    <t>d)Explorar el universo de sentidos de los actores sociales involucrados en el hecho social aestudiar.</t>
  </si>
  <si>
    <t>Según María de los Ángeles Comisso, ¿Qué se propone la prevención no normatizante?</t>
  </si>
  <si>
    <t>a)Estimular el desarrollo de un patrón de vida saludable a alcanzar intentando recuperar elequilibrio u orden perdido.</t>
  </si>
  <si>
    <t>b)Desarrollar conductas no transgresoras en los individuos, estimulando lo que deben hacerbien por la salud.</t>
  </si>
  <si>
    <t>c)Deconstruir situaciones problemáticas y favorecer la generación de condicionesmateriales de vida saludables para el desarrollo del o los sujetos.</t>
  </si>
  <si>
    <t>Comisso analiza la relación entre enfermedad y sujeto, retomando el concepto de Clínica delSujeto desarrollado por Campos. Según la autora, ¿Qué incluye el objeto de la Clínica del Sujeto?</t>
  </si>
  <si>
    <t>a)La disminución del sufrimiento y las acciones sobre las enfermedades.</t>
  </si>
  <si>
    <t>c)La percepción del sujeto sobre su enfermedad.</t>
  </si>
  <si>
    <t>d)La salud, la situación contextual y al individuo.</t>
  </si>
  <si>
    <t>¿Cómo definen Del Cueto y Fernandez el rol de chivo emisario?</t>
  </si>
  <si>
    <t>a)El miembro que un momento denuncia el acontecer grupal, las fantasías que lo mueven,las ansiedades y necesidades de la totalidad del grupo.</t>
  </si>
  <si>
    <t>c)Será el integrante que un momento determinado asume el liderazgo de la resistencia alcambio.</t>
  </si>
  <si>
    <t>d)La depositación en un integrante del grupo de los aspectos positivos del grupo.</t>
  </si>
  <si>
    <t>Según Pichardo Muñiz, hacia el segundo quinquenio de 1940 en América Latina, comienza a actuarla Comisión Económica para América Latina (CEPAL), bajo la dirección del economista Raúl Prebich¿Cuál era, según la autora, la preocupación central de este organismo?</t>
  </si>
  <si>
    <t>a)Desarrollar auditorías que pusieran en evidencia el proceso de concentración de capitalpor parte de empresas monópolicas.</t>
  </si>
  <si>
    <t>c)Generar condiciones para la firma de créditos para el desarrollo políticas y programassociales con el BID.</t>
  </si>
  <si>
    <t>d)La investigación de variables socio económicas que producían el atraso en el tercermundo.</t>
  </si>
  <si>
    <t>¿Cómo define Pichardo Muñiz en "Planificación y Programación social", a las "Estrategias" dentrode la formulación como etapa de la planificación?</t>
  </si>
  <si>
    <t>a)Acciones planificadas para llevar adelante el proceso de concreción de la imagen-objetivo.</t>
  </si>
  <si>
    <t>b)El proceso de identificación, selección y diseño de acciones requeridas para llevar a lapráctica los objetivos.</t>
  </si>
  <si>
    <t>c)Líneas generales que orientarán las acciones, debe incluir los instrumentos que seutilizarán para la ejecución de las mismas.</t>
  </si>
  <si>
    <t>Según Hellen Harris Perlman en el libro "La dimensión técnico- instrumental en Trabajo Social",¿Qué implica el Case Work en tanto transacción progresiva entre el profesional y el cliente?</t>
  </si>
  <si>
    <t>a)Un proceso de conocimiento y contrato mutuo.</t>
  </si>
  <si>
    <t>b)Un reconocimiento constante de cambios adaptativos durante el proceso de intervención.</t>
  </si>
  <si>
    <t>c)Una serie de entrevistas de diagnóstico, intervenciones y resoluciones.</t>
  </si>
  <si>
    <t>Según Águeda Loretto y otros en el libro de Bibiana Travi, las prácticas discursivas constituyen unámbito privilegiado en el que se pueden visualizar al menos tres dimensiones específicas ¿Cuálesson?</t>
  </si>
  <si>
    <t>a)Construcción discursiva, construcción de sentidos y del meta relato.</t>
  </si>
  <si>
    <t>b)Emisor, receptor, mensaje.</t>
  </si>
  <si>
    <t>d)Producción del relato, ámbitos de circulación del discurso, decodificación del receptor.</t>
  </si>
  <si>
    <t>Según Rosenfeld, ¿Cómo define Sartre la praxis del grupo?</t>
  </si>
  <si>
    <t>a)Como una acción colectiva en pos del cambio.</t>
  </si>
  <si>
    <t>c)Como una participación activa en la toma de decisiones.</t>
  </si>
  <si>
    <t>d)Como un proceso de conocimiento de las determinaciones sociales.</t>
  </si>
  <si>
    <t>Para David Rosenfeld, con respecto al grupo de juramento ¿Qué se jura según el autor?</t>
  </si>
  <si>
    <t>a)Un contrato.</t>
  </si>
  <si>
    <t>b)Un interés común.</t>
  </si>
  <si>
    <t>c)Una tarea.</t>
  </si>
  <si>
    <t>En el libro de Graciela Tonón, Velez Restrepo para contribuir a la resignificación que, según él,tiene que operarse en el Trabajo Social contemporáneo, invita a designar el conjunto de actos,prácticas y procesos inmersos en el ejercicio profesional, con otro concepto. ¿Qué noción utiliza laautora?</t>
  </si>
  <si>
    <t>a)Intervención.</t>
  </si>
  <si>
    <t>c)Práctica.</t>
  </si>
  <si>
    <t>d)Praxis.</t>
  </si>
  <si>
    <t>Para Rosana Guber, la entrevista implica sociológica y epistemológicamente una relación. ¿A quétipo de relación hace mención la autora?</t>
  </si>
  <si>
    <t>b)Complementaria.</t>
  </si>
  <si>
    <t>c)Interpersonal</t>
  </si>
  <si>
    <t>d)Simétrica.</t>
  </si>
  <si>
    <t>Según Mario Róvere, ¿Qué tipo de organización implica el concepto de "sistemas"?</t>
  </si>
  <si>
    <t>a)Jerárquica.</t>
  </si>
  <si>
    <t>b)Múltiples nodos.</t>
  </si>
  <si>
    <t>d)Rizomática.</t>
  </si>
  <si>
    <t>Según Margarita Rozas en "Una perspectiva teórica metodológica de la intervención en trabajosocial"; ¿Cúal es el aspecto central que debe preocupar al trabajo social para estructurar al campoproblemático de su intervención?</t>
  </si>
  <si>
    <t>a)La historia personal y colectiva de las personas y su relación con el ámbito institucional.</t>
  </si>
  <si>
    <t>b)Los aportes previos realizados desde la profesión y otras disciplinas a la construcción desu objeto de intervención.</t>
  </si>
  <si>
    <t>c)Los aspectos histórico contextuales y las relaciones de producción y reproducción de lavida cotidiana de las personas.</t>
  </si>
  <si>
    <t>Según Berger y Luckman en Mastrángelo de Pamphilis, ¿hacia dónde va dirigida la actitudcientífica conciente e intencional?</t>
  </si>
  <si>
    <t>a)A desarrollar hipótesis que verifiquen o refuten hechos de la realidad social.</t>
  </si>
  <si>
    <t>b)A descubrir las reglas y leyes que rigen el mundo social.</t>
  </si>
  <si>
    <t>d)A discernir lo causal de lo aleatorio en las problemáticas sociales que se presentan.</t>
  </si>
  <si>
    <t>Para Mastrángelo de Pamphilis, la atención individual constituye la práctica más tradicional yempleada por los trabajadores sociales, ¿En qué aspectos básicos focaliza el estudio?</t>
  </si>
  <si>
    <t>b)El problema objeto de intervención y el sujeto demandante.</t>
  </si>
  <si>
    <t>c)En el usuario que llega a la institución y la demanda que plantea.</t>
  </si>
  <si>
    <t>d)La situación problemática implícita y el sujeto de la intervención.</t>
  </si>
  <si>
    <t>Para Kisnerman la supervisión procura que los servicios que prestan los supervisados seanéticamente eficaces. ¿Qué significa esto para el autor?</t>
  </si>
  <si>
    <t>a)Que la intervención profesional se desarrolle articulando la demanda con los recursosdisponibles.</t>
  </si>
  <si>
    <t>c)Que las respuestas dadas a la población sean acordes a las necesidades explicitadas porella.</t>
  </si>
  <si>
    <t>d)Que los profesionales puedan dar una respuesta rápida a la problemática planteada.</t>
  </si>
  <si>
    <t>A Del Cueto y Fernandez, les resulta mas preciso abordar la estructuración del grupo desde laproducción de sus formas propias. ¿Cómo denominan las autoras esta producción?</t>
  </si>
  <si>
    <t>a)Ilusión grupal.</t>
  </si>
  <si>
    <t>b)Interjuego de roles.</t>
  </si>
  <si>
    <t>d)Matriz básica de identificaciones.</t>
  </si>
  <si>
    <t>Maitena Fidalgo analizando el sistema de salud, argumenta que la singularidad del denominadosegundo período es que el crecimiento de subsector público fue acompañado por el desarrollo delsubsector de las obras sociales. ¿Cuáles son las tensiones que reflejan las políticas de salud de esemomento?</t>
  </si>
  <si>
    <t>a)Estatismo y liberalismo.</t>
  </si>
  <si>
    <t>b)Medicina popular y seguro social.</t>
  </si>
  <si>
    <t>c)Seguridad social y acción social.</t>
  </si>
  <si>
    <t>Según Maitena Fidalgo ¿A partir de qué momento el derecho a la salud se contempla en formaexplícita sin vinculación con la condición de trabajador?</t>
  </si>
  <si>
    <t>a)Con la creación de la Dirección Nacional de Salud Pública y Asistencia Social en 1943.</t>
  </si>
  <si>
    <t>c)Con la implementación de la Ley 18610.</t>
  </si>
  <si>
    <t>d)En 1946 con la asunción de Ramón Carrillo en la Secretaría de Salud.</t>
  </si>
  <si>
    <t>Según Ramón Carrillo en "Teoría del Hospital", ¿Cuáles son los factores que gravitan en el mundoactual para reducir el valor de la salud?</t>
  </si>
  <si>
    <t>b)El desarrollo urbano desmedido, el estres y la mala alimentación.</t>
  </si>
  <si>
    <t>c)La modernidad, el desarrollo tecnológico y la pobreza.</t>
  </si>
  <si>
    <t>d)El darwinismo social, las enfermedades infecto contagiosas y la mortalidad infantil.</t>
  </si>
  <si>
    <t>Según Galante, Rossi y otros, ciertos procesos se expresan en un conjunto de problemas que seinterrelacionan de modo complejo y dinámico con el uso de drogas. ¿A qué proceso se refieren losautores?</t>
  </si>
  <si>
    <t>a)Exclusión social.</t>
  </si>
  <si>
    <t>b)Marginación.</t>
  </si>
  <si>
    <t>c)Lumpenización.</t>
  </si>
  <si>
    <t>Según Galante, Rossi y otros, ¿Cuáles son los desafíos en el desarrollo de las políticas de reducciónde daños?</t>
  </si>
  <si>
    <t>a)Analizar las variables vinculadas a los procesos de vulnerabilidad social y su relación conlos usuarios de drogas.</t>
  </si>
  <si>
    <t>c)Implicar a las familias y a la comunidad en el tratamiento de las personas consumidorasde sustancias.</t>
  </si>
  <si>
    <t>d)Vincular las distintas instancias gubernamentales e intersectoriales que intervienen en laasistencia y tratamiento de los adictos.</t>
  </si>
  <si>
    <t>Según Galante y otros, ¿En base a qué supuesto se construyó el modelo de la tríada ecológica?</t>
  </si>
  <si>
    <t>a)El que se basa en la búsqueda de causas o asociaciones causales entre distintosfenómenos.</t>
  </si>
  <si>
    <t>c)El que explica que el capital produce la diferencia y la desigualdad es la capacidad o laoportunidad de moverse, mantener redes multiconectadas.</t>
  </si>
  <si>
    <t>d)El que sostiene que los procesos sociales transforman los procesos biológicos de un modocomplejo y dinámico.</t>
  </si>
  <si>
    <t>Para Acuña y Bolis las personas afectadas por problemas de salud mental son objeto de exclusióndebido a la naturaleza específica de sus problemas de salud. Según las autoras ¿A qué conduceesta situación?</t>
  </si>
  <si>
    <t>a)A un empobrecimiento de su economía que no les permite desarrollar tratamientoscurativos.</t>
  </si>
  <si>
    <t>b)A un progresivo autoaislamiento que obliga a las familias a redoblar esfuerzos en lacontención socio- afectiva.</t>
  </si>
  <si>
    <t>d)A vivenciar procesos de autoexclusión y dan como respuesta conductas violentas yagresivas de tipo defensivo.</t>
  </si>
  <si>
    <t>Para Acuña y Bolis, dentro del Sistema de salud ¿En qué se traduce la desvalorización de laatención de los trastornos de conducta?</t>
  </si>
  <si>
    <t>a)En la ausencia de políticas sociales capaces de articularse intersectorialmente con elsector salud para prevenir mayores situaciones de vulnerabilidad y exclusión social.</t>
  </si>
  <si>
    <t>c)En la mayor demanda de atención psicológica y psiquiátrica hacia los efectores demedicina prepaga y de obra social.</t>
  </si>
  <si>
    <t>d)En las pocas posibilidades que tienen las personas con transtornos mentales de incluirseplenamente en el sistema productivo y lograr autonomía de sus familiares.</t>
  </si>
  <si>
    <t>Según Pablo Bonazzola en su artículo "Ciudad de Buenos Aires: sistema de salud yterritorio:¿Cuáles son las dos formas básicas que adopta la descentralización?</t>
  </si>
  <si>
    <t>a)La de recursos económicos o financieros; la de recursos humanos o de personal.</t>
  </si>
  <si>
    <t>b)La territorial; la de recursos.</t>
  </si>
  <si>
    <t>c)La de proyectos de salud; la económica.</t>
  </si>
  <si>
    <t>Según Pablo Bonazzola, ¿Con qué elementos se debe contar para desarrollar políticas públicas quepermitan lograr respuestas mas efectivas?</t>
  </si>
  <si>
    <t>b)Con encuestas permanentes de satisfacción y de calidad de atención en los distintosefectores de políticas.</t>
  </si>
  <si>
    <t>c)Con diagnósticos poblacionales de tipo participativos, incluyendo las instituciones públicasde los barrios.</t>
  </si>
  <si>
    <t>d)Con políticos sensibles y con información clara y precisa sobre las problemáticas de saludde la población.</t>
  </si>
  <si>
    <t>Según Foucault, ¿Cúales son las razones por las cuales aparecieron a fines del SXVIII laindividualización del cadáver, del ataúd y de la tumba?</t>
  </si>
  <si>
    <t>a)Por cuestiones arquitectónico- políticas.</t>
  </si>
  <si>
    <t>c)Por reorganización administrativa urbana.</t>
  </si>
  <si>
    <t>d)Por razones teológico- religiosas.</t>
  </si>
  <si>
    <t>De acuerdo al texto "Prevención y travestismo" de Victoria Barreda, ¿Qué problema es recurrentesegún el discurso de las travestis?</t>
  </si>
  <si>
    <t>a)La desocupación y los obstáculos en la atención de la salud.</t>
  </si>
  <si>
    <t>b)La estigmatización y la exclusión social.</t>
  </si>
  <si>
    <t>c)La explotación sexual y las infecciones de transmisión sexual.</t>
  </si>
  <si>
    <t>Según Victoria Barreda, ¿qué factores impiden contar con datos cuali-cuantitativos o estudioscomportamentales sobre la población travesti respecto de la problemática del VIH-SIDA?</t>
  </si>
  <si>
    <t>b)La autoexclusión y las conductas de automarginación que desarrolla esta población conrespecto a los servicios de salud.</t>
  </si>
  <si>
    <t>c)La ausencia politica de organizaciones travestis que pusieran a esta población en laagenda pública como sujeto de derecho.</t>
  </si>
  <si>
    <t>d)Las dificultades socio culturales de un modelo médico que considerara las característicasparticulares de esta población.</t>
  </si>
  <si>
    <t>Para Elsa Gómez Gómez en "Equidad, género y salud" ¿Qué exigiría la equidad en elfinanciamiento de la atención de la salud?</t>
  </si>
  <si>
    <t>a)Que tanto hombres como mujeres contribuyan de igual manera por igual servicio.</t>
  </si>
  <si>
    <t>c)Que sólo las mujeres se atendieran en forma gratuita dado su rol de proveedora de saluddentro de la familia.</t>
  </si>
  <si>
    <t>d)Que tanto hombres como mujeres contribuyan según sus necesidades.</t>
  </si>
  <si>
    <t>Según Elsa Gomez Gomez ¿Cómo se traduciría, en términos operacionales, la equidad en salud?</t>
  </si>
  <si>
    <t>a)En la asignación de recursos económicos y financieros suficientes en salud, con capacidadde atención a la población de la zona de influciencia geográfica.</t>
  </si>
  <si>
    <t>b)En la maximización de la calidad en la atención de la salud a aquellos grupos de personasvulnerables.</t>
  </si>
  <si>
    <t>d)En la redistribución de la riqueza de tal modo que sea generen condiciones desustentabilidad económica y social para la salud.</t>
  </si>
  <si>
    <t>¿Qué significa para los autores Elina Dabas y Néstor Perrone "red nocional"?</t>
  </si>
  <si>
    <t>a)Es la posiblidad de encontrarse a partir de nociones comunes en un contexto que favoreceel intercambio social, cultural y teórico.</t>
  </si>
  <si>
    <t>c)Es una construcción teórica basada en el intercambio de ideas entre profesionales dediversas disciplinas.</t>
  </si>
  <si>
    <t>d)Es un concepto pragmático utilizado para dar cuenta de la plasticidad, flexibilidad yadaptación de las personas en el encuentro con otros.</t>
  </si>
  <si>
    <t>Según Silvia Faraone, desde el imaginario social, el diagnóstico psquiátrico constituye un símboloetiquetando al que lo recibe como distinto. ¿Qué produce este rótulo?</t>
  </si>
  <si>
    <t>b)Un proceso de discriminación y autoexclusión.</t>
  </si>
  <si>
    <t>c)Una autopercepción negativa.</t>
  </si>
  <si>
    <t>d)Vulneración social.</t>
  </si>
  <si>
    <t>¿Qué significa para Silvia Faraone el concepto de desinstitucionalización en tanto política dedeshospitalización?</t>
  </si>
  <si>
    <t>a)El cierre de los grandes hospitales asilares- custodiales y la apertura de dispositivos deatención reducidos y personalizados.</t>
  </si>
  <si>
    <t>b)El cambio en los procesos de atención de la salud mental y la reestructuración de lasinstituciones de atención sin reducción presupuestaria.</t>
  </si>
  <si>
    <t>c)La gestión de recursos económicos y humanos para la implementación descentralizada ycomunitaria de programas de salud mental.</t>
  </si>
  <si>
    <t>¿Cómo define Floreal Ferrara "la percepción del valor de uso del recurso" que va unido al conceptode percepción de necesidades de atención de la salud?</t>
  </si>
  <si>
    <t>a)Como las formas diferenciales de acceder y utilizar los servicios de atención pública porlos distintos grupos sociales.</t>
  </si>
  <si>
    <t>b)Como las formas que desarrollan los distintos estratos sociales de satisfacer lasnecesidades de atención médica.</t>
  </si>
  <si>
    <t>d)Como el resultado de la tasa de utilización de los recursos sanitarios de acuerdo a lasdistintas clases sociales.</t>
  </si>
  <si>
    <t>¿Cúales son para Foucault los fenómenos que caracterizan lo que podría denominarse "medicinade Estado"?</t>
  </si>
  <si>
    <t>a)La creación de un sistema estatal centralizado de planificación de la atención médica, laeducación universitaria orientada a la sanidad pública.</t>
  </si>
  <si>
    <t>c)La reorganización urbana acorde a criterios sanitarios de las comunas y la necesidad deorganizar la atención médica de las epidemias desde los hospitales estales.</t>
  </si>
  <si>
    <t>d)El desarrollo de un conocimiento sobre el Estado, su población y sus recursos naturales, yla preocupación sanitaria por la natalidad y mortalidad y el crecimiento poblacional.</t>
  </si>
  <si>
    <t>¿Por qué para Miguel Meza en "Técnicas de actuación profesional.." el informe social se presentacomo una de las técnicas del registro y documentación más relevantes en la actuación profesional?</t>
  </si>
  <si>
    <t>a)Por las posibilidades de generar y acumular datos de la realidad social que permitenproducir diagnósticos según las necesidades de la población.</t>
  </si>
  <si>
    <t>c)Porque el registro se transforma en documentación relevante en el momento de tomardecisiones a partir de la lectura e interpretación del texto.</t>
  </si>
  <si>
    <t>d)Porque los datos vertidos en el registro permiten planificar y organizar los procesos deintervención profesional siguientes.</t>
  </si>
  <si>
    <t>Según Paul Watzlawick, ¿Cúales son las tres áreas en las que puede subdividirse el estudio de lacomunicación humana?</t>
  </si>
  <si>
    <t>a)La relación significante- significado, la relación emisor- receptor y la semántica.</t>
  </si>
  <si>
    <t>b)La semiología, la semiótica y el pragmatismo.</t>
  </si>
  <si>
    <t>d)El relato, el metarelato y los medios de comunicación.</t>
  </si>
  <si>
    <t>Javier está realizando tratamiento ambulatorio desde hace un mes a causa de una infecciónpulmonar que le impide trabajar en el Sanatorio San Julián de la obra social de gastronómicos.Dado el tiempo transcurrido y la gravedad del caso desea realizar una interconsulta con otrosprofesionales especializados en un hospital público, para ello necesita una copia de su HistoriaClínica pero no sabe si en el sanatorio se la darán. Consulta a la trabajadora social de la Obrasocial. ¿Cómo orientará al paciente según el artículo 14 de la Ley 26529 "Derechos del paciente"?</t>
  </si>
  <si>
    <t>b)A su requerimiento deberá adjuntar una carta justificando el pedido, la historia clínica sedeberá entregar en mano a su titular, dentro de las 72 hs de haberla soliticitado.</t>
  </si>
  <si>
    <t>c)Debe ingresar un requerimiento por escrito por las vías administrativo legales, el directorpodrá tomarse hasta 72 hs para evaluar la solicitud y entregar una copia.</t>
  </si>
  <si>
    <t>d)Sólo podrá retirar una copia de su historia clínica en caso que hubiera estado internado ocon autorización consentida del equipo tratante.</t>
  </si>
  <si>
    <t>Leila y varias compañeras sufrieron un grave accidente cuando estaban en un micro rumbo a unviaje turístico. Al llegar la ambulancia Leila estaba inconciente, sin documentación que acreditarasu identidad ni posibilidad de contactar familiares. Su estado en la guardia se agrava y losmédicos dudan y se demoran en intervenirla quirúrgicamente porque no esta en condiciones defirmar el consentimiento informado. ¿Qué especifica el artículo 9 de la Ley del derecho delpaciente en relación al consentimiento informado?</t>
  </si>
  <si>
    <t>a)Los profesionales no podrán intervenir quirúrgicamente a ningún paciente sin que medieun consentimiento informado dado por él mismo o por terceros en tanto representanteslegales.</t>
  </si>
  <si>
    <t>b)El equipo de guardia deberá agotar en forma fehaciente todas las instancias de búsquedade familiares o representantes legales para la firma del consentimiento antes de realizaruna intervención que implique un riesgo para el paciente.</t>
  </si>
  <si>
    <t>c)No se pedirá consentimiento informado si el paciente es un débil mental y su familia no seconstituye en el lugar para el ejercicio de su patria potestad.</t>
  </si>
  <si>
    <t>Usted conforma un equipo de profesionales que desarrolla actividades en un Centro de Salud de laCiudad de Buenos Aires. En el marco de las actividades atiende a una mujer que luego de variasconsultas le comenta que sufre situaciones de violencia por parte de su pareja. Habiendocomprobado esta situación, Según la Ley Nacional 26485 de "Protección Integral para prevenir yerradicar la violencia...."¿Cuál debe ser su accionar ?</t>
  </si>
  <si>
    <t>a)Debe asesorar a la víctima para que realice la denuncia, ya que sólo ella o surepresentante legal pueden hacerlo.</t>
  </si>
  <si>
    <t>c)Debe realizar la derivación a un ente autorizado para efectuar denuncia.</t>
  </si>
  <si>
    <t>d)Debe informar a la Dirección de la Institución, quien es la única que puede realizar ladenuncia.</t>
  </si>
  <si>
    <t>Teresa una mujer de 24 años, oriunda de la provincia de Jujuy, asiste a un hospital para laatención de su parto. Durante la hospitalización sufre situaciones claramente descalificantes y dehumillación por su lenguaje y su vestimenta, por parte de algunos profesionales del equipo ya que,a pesar de explicitar no entender qué le sucede, a Teresa no le informan de los procedimientos, nile hablan en un lenguaje mas claro y sencillo para que ella pueda comprender. Según el Artículo 6de la Ley 26485 sobre "Protección Integral para prevenir la violencia..." esta situación, ¿podría serdenunciada como violencia?</t>
  </si>
  <si>
    <t>b)No, porque no media agresión física a la mujer.</t>
  </si>
  <si>
    <t>c)Sí, por constituir un caso que atenta contra la libertad reproductiva.</t>
  </si>
  <si>
    <t>d)No, por no estar contemplada esta situación como de violencia.</t>
  </si>
  <si>
    <t>Según la Ley orgánica de comunas Nº 1777 ¿Qué características tienen las competenciascomunales?</t>
  </si>
  <si>
    <t>a)Son inclusivas y concurrentes.</t>
  </si>
  <si>
    <t>b)Son discrecionales y exclusivas.</t>
  </si>
  <si>
    <t>d)Son inclusivas y discrecionales.</t>
  </si>
  <si>
    <t>La Ley 418 de Salud y Procreación Responsable enuncia tres objetivos generales: garantizar elacceso a varones y mujeres a la información y a las prestaciones y métodos para el ejercicioresponsable de sus derechos sexuales y reproductivos; garantizar a las mujeres la atenciónintegral durante el embarazo, parto y puerpuerio; ¿Cuál es el tercer objetivo de la Ley?</t>
  </si>
  <si>
    <t>a)Aumentar la tasa de natalidad.</t>
  </si>
  <si>
    <t>b)Desarrollar una amplia capacitación en los equipos de salud.</t>
  </si>
  <si>
    <t>c)Detener la práctica de los abortos ilegales.</t>
  </si>
  <si>
    <t>Maria Emilia está cursando su segundo mes de embarazo y ha iniciado los controles prenatales enel CESAC Nº 39. Se acerca al Servicio Social y comenta, algo angustiada, que el médico le habríaindicado que tanto ella como su pareja deben realizarse el test de HIV en forma obligatoria. En elmarco de la Ley Nacional de SIDA ¿Qué orientación le dará la trabajadora social en relación altesteo de HIV?</t>
  </si>
  <si>
    <t>a)Es voluntario para su pareja, pero de rutina para la embarazada.</t>
  </si>
  <si>
    <t>c)Es obligatorio por rutina a ambos progenitores.</t>
  </si>
  <si>
    <t>d)Es obligatorio para la mujer a los fines de evitar la transmisión vertical.</t>
  </si>
  <si>
    <t>Según la Ley 1777 de la Ciudad de Buenos Aires, ¿Cuál es la Naturaleza Jurídica de las Comunas?</t>
  </si>
  <si>
    <t>b)Son unidades descentralizadas de gestión político, técnico y administrativas concompetencias propias no delegativas.</t>
  </si>
  <si>
    <t>c)Son centros de gestión administrativa delimitados territorialmente para favorecer laparticipación ciudadana en la asignación de recursos presupuestados a nivel central.</t>
  </si>
  <si>
    <t>d)Son la delimitación zonal de distintos barrios de la Ciudad con característicassociodemográficas similares, con un gobierno local.</t>
  </si>
  <si>
    <t>Mariano, un joven de 23 años, llega a la guardia de un Hospital Monovalente de Salud Mental delGobierno de la Ciudad traído por sus padres ya que no puede trasladarse por sus propios medios.Durante la entrevista refiere haber consumido alcohol junto con otras drogas y teneralucionaciones visuales. En la guardia el equipo interviniente duda sobre la internación en esainstitución. De acuerdo a la Ley 26657 de "Salud Mental" ¿Cómo debe abordarse la situación?</t>
  </si>
  <si>
    <t>a)Las adicciones requieren un tipo especial de abordaje que sólo puede ser realizado eninstituciones especializadas tanto públicas como privadas.</t>
  </si>
  <si>
    <t>b)Los hospitales monovalentes sólo atenderán adicciones cuando los pacientes tambiénpresenten una franca patología psiquiátrica.</t>
  </si>
  <si>
    <t>d)Las adicciones deber ser tratadas clínicamente en hospitales generales hasta suestabilización y luego derivados a un hospital monovalente.</t>
  </si>
  <si>
    <t>Enrique Santos asumió recientemente como Secretario de Municipios Saludables del Ministerio deSalud de la Nación. Necesita incorporar empleados para ocupar un puesto de telefonista y otro desecretario bilingüe en su equipo de trabajo. Dado que en su plantel no se cumple el cupo previstopor Ley 22431 de "Protección Integral de personas discapacitadas", decide realizar unaconvocatoria dirigida a la población discapacitada para cubrir los puestos de trabajo. ¿Qué otrorequisito se establece para la efectivización de este derecho?</t>
  </si>
  <si>
    <t>a)Que el aspirante sea mayor de 21 años de edad.</t>
  </si>
  <si>
    <t>c)Que no cuente con ningún otro tipo de ingreso económico.</t>
  </si>
  <si>
    <t>d)Que se conforme un listado con los aspirantes en condiciones de ocupar el puesto y serealice un sorteo público.</t>
  </si>
  <si>
    <t>Carlos y Lucía de 28 y 27 años respectivamente, y llevan cuatro años de casados. Hace dos añostuvieron a su primer hijo Joaquín. Durante el último tiempo la pareja viene pensando en laposibilidad de adoptar a pesar que nada les impide tener otro hijo. Lucía se acerca al ServicioSocial del Hospital y comenta sus intenciones con el fin de ser orientada. De acuerdo a la Ley Nº24479 "Régimen de Adopción" ¿Cuál será la orientación del Trabajador Social?</t>
  </si>
  <si>
    <t>b)Dado que tienen más de tres años de casados, los orienta a realizar los trámites a unJuzgado de Familia.</t>
  </si>
  <si>
    <t>c)Deberán esperar a cumplir más de treinta años de edad para comenzar los trámites deadopción.</t>
  </si>
  <si>
    <t>d)Dado que ya tienen un hijo biológico deberán solicitar un permiso especial al Juez deFamilia de su jurisdicción.</t>
  </si>
  <si>
    <t>La Ley 114 de "Protección Integral de los Derechos de Niños, Niñas y Adolescentes" crea a lasDefensorías Zonales con el objeto de diseñar y desarrollar un sistema articulado de efectivización,defensa y resguardo de los derechos de los niños/as y adolescentes, debiendo ejecutar acciones ypolíticas públicas específicas. ¿De acuerdo con qué criterios deberán implementarse talesacciones?</t>
  </si>
  <si>
    <t>a)Integrales y progresivos.</t>
  </si>
  <si>
    <t>b)Estratégicos y plurales.</t>
  </si>
  <si>
    <t>d)Jurídicos y preventivos.</t>
  </si>
  <si>
    <t>Según la Ley 153 "Básica de Salud", el subsector estatal se organiza y desarrolla de acuerdo a laestrategia de APS con la constitucion de redes y tres niveles de atención. Las prestaciones y losservicios se articulan de acuerdo a la Ley 153, ¿Cúal es la característica esencial para categorizar aestos tres niveles?</t>
  </si>
  <si>
    <t>a)La atención integrada de todas las personas.</t>
  </si>
  <si>
    <t>c)La capacitación del recurso humano.</t>
  </si>
  <si>
    <t>d)La asignación del médico de cabecera correspondiente al barrio.</t>
  </si>
  <si>
    <t>¿Cómo define la Ley Nº 23377 de "Ejercicio de la profesión de Servicio Social o Trabajo Social" ensu Artículo 2 el ejercicio profesional?</t>
  </si>
  <si>
    <t>a)Toda acción desarrollada desde las Ciencias Sociales tendiente a alcanzar una mejorcalidad de vida para todos los habitantes del territorio argentino.</t>
  </si>
  <si>
    <t>b)La tarea socioeducativa destinada a todos los individuos, grupos y comunidades pobres,tendientes al logro de la integración social.</t>
  </si>
  <si>
    <t>d)La intervención profesional orientada a la estimulación de individuos, grupos ycomunidades tendiente a la adaptación de las normas institucionales y legales vigentes.</t>
  </si>
  <si>
    <t>Marita Rodríguez trabajadora social, matriculada en el Consejo Profesional de Graduados enServicio Social o Trabajo Social hace tres años, ha ganado un concurso para desarrollar unproyecto internacional en otro país. Dado que estará ausente por un año y medio, se acerca alConsejo Profesional a fin de asesorarse sobre la posibilidad de suspender el pago de la cuota anualde la matrícula profesional. Según la Ley 23377 artículo 43 ¿Cómo será orientada en lainstitución?</t>
  </si>
  <si>
    <t>a)Deberá solicitar la suspensión a través de una carta y quedará sujeto a la decisión de laComisión Directiva.</t>
  </si>
  <si>
    <t>b)Podrá suspender el pago de la matrícula por seis meses, luego deberá reiterar la solicitudpor el periódo que esté desarrollando la actividad en otra jurisdicción.</t>
  </si>
  <si>
    <t>c)No podrá suspender la matrícula ya que no han transcurrido cinco años de sumatriculación en la institución.</t>
  </si>
  <si>
    <t>Según la Ley 448 de la Ciudad de Buenos Aires, en su artículo 10, ¿Qué acciones se debendesarrollar para la promoción de la salud mental de la población?</t>
  </si>
  <si>
    <t>a)La articulación de un sistema de redes que garantice calidad y efectividad en el abordajede las problemáticas del área.</t>
  </si>
  <si>
    <t>b)La implementación de acciones sobre problemas específicos de la salud y los síntomassociales que emergen de la comunidad.</t>
  </si>
  <si>
    <t>d)La organización de un plan de atención que incluya distintas corrientes teóricas de lasalud mental y a efectores de salud general.</t>
  </si>
  <si>
    <t>Un hombre de 45 años de nacionalidad argelino que aún no ha iniciado su trámite migratorio, esinternado en un Hospital General de la Ciudad de Buenos Aires a causa de un cuadro agudo dediabetes. A partir de esta internación se indica la continuidad de su tratamiento con insulina NPHsuministrada en dosis diarias. Dado que el hombre migrante no tiene obra social ni prepaga, desdela Dirección del Hospital se niega la provisión de esta medicación por su alto costo y laimposibilidad de reintegro. Teniendo en cuenta la Ley de Migraciones 25871 ¿Qué orientación se lebrindará desde el Servicio Social del hospital?</t>
  </si>
  <si>
    <t>a)Que siendo el Consulado de Argelia la representación institucional de su país, y dada lairregularidad migratoria, es la institución responsable de garantizarle el acceso a lamedicación.</t>
  </si>
  <si>
    <t>c)Que comience el trámite de regularización migratoria en la Dirección Nacional deMigraciones y con la constancia inicie una Pensión No Contributiva para cubrir los gastosde la medicación.</t>
  </si>
  <si>
    <t>d)Desde el Servicio Social se lo orientará hacia una ONG y/o Fundación que brindeasesoramiento y recursos a la población migrante a fin de facilitar el acceso almedicamento.</t>
  </si>
  <si>
    <t>* d)La reducción del poder técnico y el aumento del poder arbitrario frente a un aseguradoque no siempre tiene conciencia de su fuerza.</t>
  </si>
  <si>
    <t>* c)Metálica.</t>
  </si>
  <si>
    <t>* a)Las fuerzas que son activas en el campo.</t>
  </si>
  <si>
    <t>* b)Por actuar sobre los cuerpos individuales pero afectando a la multiplicidad de loshombres.</t>
  </si>
  <si>
    <t>* d)La palabra, la mirada, la escucha.</t>
  </si>
  <si>
    <t>* a)Anomia, conflicto social y disciplinamiento.</t>
  </si>
  <si>
    <t>* c)Laborales.</t>
  </si>
  <si>
    <t>* b)Desatención cortes.</t>
  </si>
  <si>
    <t>* c)Como una importante estrategia de control social para garantizarle la efectividad ypermanencia histórica.</t>
  </si>
  <si>
    <t>* d)La social, representada por la acumulación de la pobreza, por la generalización de lamiseria.</t>
  </si>
  <si>
    <t>* b)Ejerciendo influencia directa en los hogares, utilizando el vínculo como recurso.</t>
  </si>
  <si>
    <t>* d)Porque son el resultado de la lucha de clases y de las particulares relaciones políticas.</t>
  </si>
  <si>
    <t>* b)En 1883 con la creación de la Asistencia Pública en la ciudad de Buenos Aires.</t>
  </si>
  <si>
    <t>* c)Seguridad social.</t>
  </si>
  <si>
    <t>* b)Desconocer al niño como "sujeto de derechos".</t>
  </si>
  <si>
    <t>* d)La división entre el mundo de lo público ligado al trabajo y el mundo privado de lafamilia.</t>
  </si>
  <si>
    <t>* b)Una organización temporo- espacial en el movimiento histórico cultural.</t>
  </si>
  <si>
    <t>* a)Sanitaria y política, tendientes a satisfacer el estado de abandono en el que seencontraban los niños de las clases trabajadoras y también reducir la capacidad socio-político de estas.</t>
  </si>
  <si>
    <t>* d)El envejecimiento de un individuo eventualmente resulta en una crisis para cada familia.</t>
  </si>
  <si>
    <t>* c)En el significado de "necesariedad" que adopta para el ser humano.</t>
  </si>
  <si>
    <t>* b)El rol de iniciativa y sus modalidades; el control de la situación; los márgenes denegociación; y el lugar del deseo y el placer.</t>
  </si>
  <si>
    <t>* c)Las representaciones sobre la vejez, el posicionamiento social de los viejos y eltratamiento dado por los más jóvenes.</t>
  </si>
  <si>
    <t>* a)Como un conjunto de acciones con una secuencia lógica que implica relaciones/vínculosen la trama que emerge de la relación sujeto/estructura.</t>
  </si>
  <si>
    <t>* c)Acción social.</t>
  </si>
  <si>
    <t>* d)Substantiva y formal.</t>
  </si>
  <si>
    <t>* b)Confiabilidad.</t>
  </si>
  <si>
    <t>* d)Determinación.</t>
  </si>
  <si>
    <t>* b)Dependiente.</t>
  </si>
  <si>
    <t>* c)Interviniente.</t>
  </si>
  <si>
    <t>* a)Indepediente.</t>
  </si>
  <si>
    <t>* b)Interviniente.</t>
  </si>
  <si>
    <t>* d)Individual a fondo.</t>
  </si>
  <si>
    <t>* a)No preguntar nada si no podemos justificar el porqué de esa información quedemandamos, haciéndole sentir al entrevistado nuestra aceptación como persona.</t>
  </si>
  <si>
    <t>* b)Las violaciones al contrato social.</t>
  </si>
  <si>
    <t>* c)Son esquemas de interpretación, en tanto instrumentos de conocimiento y análisis.</t>
  </si>
  <si>
    <t>* b)Seres sociales y particulares en cuyo modo de ser, de actuar y ver el mundo estáncontenidos las determinaciones sociales derivadas de la posición que ocupan en elproceso y en el juego de poder.</t>
  </si>
  <si>
    <t>* a)De las grandes determinaciones y leyes tendenciales de un complejo social dado.</t>
  </si>
  <si>
    <t>* b)Al resultado de la interacción de todos los factores que constituyen la situación grupal.</t>
  </si>
  <si>
    <t>* a)Conocer los significados que los actores le atribuyen al hecho social, incluyendo a lapoblación estudiada y al investigador.</t>
  </si>
  <si>
    <t>* d)Desanudar situaciones problema respetando las subjetividades, comprendiendo "como es"cada persona sin imponer como debe ser.</t>
  </si>
  <si>
    <t>* b)La dolencia, el contexto y al propio sujeto.</t>
  </si>
  <si>
    <t>* b)La depositación en un miembro del grupo de aspectos negativos o atemorizantes delmismo o de la tarea.</t>
  </si>
  <si>
    <t>* b)El estudio de las condiciones del subdesarrollo latinoamericano.</t>
  </si>
  <si>
    <t>* d)Orientaciones generales que pueden guiar el proceso de intervención, debe contemplar elestablecimiento de objetivos y metas.</t>
  </si>
  <si>
    <t>* d)Una serie de operaciones de resolución de problemas integrados en una relaciónsignificativa.</t>
  </si>
  <si>
    <t>* c)Producción y circulación de sentido, producción textualizada y producción de recepción.</t>
  </si>
  <si>
    <t>* b)Como un actuar con conciencia de la alienación.</t>
  </si>
  <si>
    <t>* d)Un vínculo.</t>
  </si>
  <si>
    <t>* b)Actuación.</t>
  </si>
  <si>
    <t>* a)Asimétrica.</t>
  </si>
  <si>
    <t>* c)Piramidal.</t>
  </si>
  <si>
    <t>* d)La vivencia prolongada de exclusión que va debilitando la identidad y autoestima personaly colectiva.</t>
  </si>
  <si>
    <t>* c)A desentrañar, entender o explicar el mundo de la vida.</t>
  </si>
  <si>
    <t>* a)El tipo de problema y la persona que lo sufre o plantea.</t>
  </si>
  <si>
    <t>* b)Que la tarea se asuma con la responsabilidad de saber responder a las necesidades de laspersonas.</t>
  </si>
  <si>
    <t>* c)Formaciones imaginarias grupales.</t>
  </si>
  <si>
    <t>* d)Universalismo y particularismo.</t>
  </si>
  <si>
    <t>* b)Con la reforma constitucional de 1994.</t>
  </si>
  <si>
    <t>* a)La vida artificial, el sedentarismo y el neomalthusianismo.</t>
  </si>
  <si>
    <t>* d)Vulnerabilidad social.</t>
  </si>
  <si>
    <t>* b)Desarrollar acciones no sólo con los usuarios de drogas sino también con las institucionesque deben prestarle asistencia.</t>
  </si>
  <si>
    <t>* b)El de la multicausalidad externa, que considera la ocurrencia de distintos factores en laproducción de un hecho.</t>
  </si>
  <si>
    <t>* c)A una desvalorización de su posición social y generan autoexclusión por temor a serdiscriminados.</t>
  </si>
  <si>
    <t>* b)En la falta de identificación de alternativas capaces de lograr la inserción de las personascon enfermedad mental en la corriente educativa y laboral perpetuándose el círculo dedaños.</t>
  </si>
  <si>
    <t>* d)La política o territorial; la administrativa o funcional.</t>
  </si>
  <si>
    <t>* a)Con información desagregada y con instrumentos de adecuación local de las políticassociales.</t>
  </si>
  <si>
    <t>* b)Por motivos político- sanitarios.</t>
  </si>
  <si>
    <t>* d)La nominación y el sentimiento de discriminación.</t>
  </si>
  <si>
    <t>* a)Las dificultades para organizarse como colectivo, su vulnerabilidad social y políticaspúblicas de salud que minimizaron su peso relativo en la epidemia.</t>
  </si>
  <si>
    <t>* b)Que tanto mujeres como hombres contribuyeran de acuerdo con su capacidad económicay no de acuerdo a sus necesidades.</t>
  </si>
  <si>
    <t>* c)En la minimización de disparidades evitables en salud y sus determinantes entre gruposhumanos con diferentes niveles de privilegio social.</t>
  </si>
  <si>
    <t>* b)Es una coconstrucción peculiar, modificable y factible de enriquecerse, basada en diversosmarcos teóricos.</t>
  </si>
  <si>
    <t>* a)Un circuito de segregación social.</t>
  </si>
  <si>
    <t>* d)La implementación de programas de reducción económica y una de las primerasoperaciones consecuentes de una política de ajuste.</t>
  </si>
  <si>
    <t>* c)Como la reacción social que resulta de la experiencia de los grupos sociales con losservicios de salud.</t>
  </si>
  <si>
    <t>* b)La organización de un saber médico estatal, la normalización de la profesión médica, lasubordinación de los médicos a una organización médico estatal.</t>
  </si>
  <si>
    <t>* b)Por su carácter integrador de un proceso en cuyo centro se encuentran las problemáticassociales y las interpretaciones y apreciaciones que de éstas se realizan.</t>
  </si>
  <si>
    <t>* c)La sintáctica, la semántica y la pragmática.</t>
  </si>
  <si>
    <t>* a)A su simple requerimiento debe suministrásele copia de la misma, autenticada porautoridad competente de la institución asistencial, dentro de las 48 hs de solicitada.</t>
  </si>
  <si>
    <t>* d)El profesional quedará eximido de requerir el consentimiento cuando mediare unasituación de emergencia con grave peligro para la vidad del paciente y no pudiendo darlopor sí o a través de sus representantes legales.</t>
  </si>
  <si>
    <t>* b)Debe realizar la denuncia en forma obligatoria.</t>
  </si>
  <si>
    <t>* a)Sí, por constituir un caso de violencia obstétrica.</t>
  </si>
  <si>
    <t>* c)Son exclusivas y concurrentes.</t>
  </si>
  <si>
    <t>* d)Disminuir la morbimortalidad materna e infantil.</t>
  </si>
  <si>
    <t>* b)Es voluntario para todos.</t>
  </si>
  <si>
    <t>* a)Son unidades de gestión política y administrativa descentralizada con competenciaterritorial, patrimonio y personería jurídica propia.</t>
  </si>
  <si>
    <t>* c)Las adicciones deben ser abordadas como parte integrante de las políticas de saludmental.</t>
  </si>
  <si>
    <t>* b)Que la persona demuestre idoneidad para el cargo.</t>
  </si>
  <si>
    <t>* a)Dado que no están imposibilitados de tener hijos, no podrán iniciar los trámites deadopción.</t>
  </si>
  <si>
    <t>* c)Interdisciplinarios y participativos.</t>
  </si>
  <si>
    <t>* b)Las capacidades de resolución.</t>
  </si>
  <si>
    <t>* c)La acción esencialmente educativa, de carácter promocional, preventivo y asistencialdestinada a situaciones de carencia, desorganización o desintegración social.</t>
  </si>
  <si>
    <t>* d)Podrá suspender la matrícula ya que desarrollará actividad laboral en otra jurisdicción pormas de un año.</t>
  </si>
  <si>
    <t>* c)La ejecución de políticas orientadas al reforzamiento y restitución de lazos solidarios.</t>
  </si>
  <si>
    <t>* b)Que siendo el Estado a través de sus instituciones quien debe garantizarle el acceso a lamedicación, desde el Servicio Social se iniciarán las acciones pertinentes para obtener lamedicación.</t>
  </si>
  <si>
    <t>Con preguntas de los exámenes de los años 2007 a 2012</t>
  </si>
  <si>
    <t>Examen de Residencia en Servicio Social v.1.3</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</si>
</sst>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 #,##0.00_ ;_ * \-#,##0.00_ ;_ * &quot;-&quot;??_ ;_ @_ "/>
    <numFmt numFmtId="164" formatCode="#,##0_ ;\-#,##0\ "/>
    <numFmt numFmtId="165" formatCode="h:mm:ss;@"/>
    <numFmt numFmtId="166" formatCode="hh:mm:ss;@"/>
  </numFmts>
  <fonts count="12" x14ac:knownFonts="1">
    <font>
      <sz val="11"/>
      <color theme="1"/>
      <name val="Calibri"/>
      <family val="2"/>
      <scheme val="minor"/>
    </font>
    <font>
      <b/>
      <sz val="11"/>
      <color theme="1"/>
      <name val="Calibri"/>
      <family val="2"/>
      <scheme val="minor"/>
    </font>
    <font>
      <sz val="11"/>
      <color rgb="FFFF0000"/>
      <name val="Calibri"/>
      <family val="2"/>
      <scheme val="minor"/>
    </font>
    <font>
      <sz val="11"/>
      <color theme="9" tint="0.79998168889431442"/>
      <name val="Calibri"/>
      <family val="2"/>
      <scheme val="minor"/>
    </font>
    <font>
      <b/>
      <sz val="12"/>
      <name val="Calibri"/>
      <family val="2"/>
      <scheme val="minor"/>
    </font>
    <font>
      <sz val="22"/>
      <name val="AngsanaUPC"/>
      <family val="1"/>
    </font>
    <font>
      <sz val="11"/>
      <color rgb="FFFF0000"/>
      <name val="Calibri"/>
      <family val="2"/>
    </font>
    <font>
      <sz val="24"/>
      <color rgb="FFFF0000"/>
      <name val="Calibri"/>
      <family val="2"/>
    </font>
    <font>
      <sz val="11"/>
      <color theme="1"/>
      <name val="Calibri"/>
      <family val="2"/>
      <scheme val="minor"/>
    </font>
    <font>
      <sz val="11"/>
      <name val="Calibri"/>
      <family val="2"/>
      <scheme val="minor"/>
    </font>
    <font>
      <b/>
      <sz val="11"/>
      <name val="Calibri"/>
      <family val="2"/>
      <scheme val="minor"/>
    </font>
    <font>
      <sz val="11"/>
      <color theme="2"/>
      <name val="Calibri"/>
      <family val="2"/>
      <scheme val="minor"/>
    </font>
  </fonts>
  <fills count="5">
    <fill>
      <patternFill patternType="none"/>
    </fill>
    <fill>
      <patternFill patternType="gray125"/>
    </fill>
    <fill>
      <patternFill patternType="solid">
        <fgColor theme="9" tint="0.79998168889431442"/>
        <bgColor indexed="64"/>
      </patternFill>
    </fill>
    <fill>
      <patternFill patternType="solid">
        <fgColor theme="0" tint="-4.9989318521683403E-2"/>
        <bgColor indexed="64"/>
      </patternFill>
    </fill>
    <fill>
      <patternFill patternType="solid">
        <fgColor theme="0" tint="-0.149998474074526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43" fontId="8" fillId="0" borderId="0" applyFont="0" applyFill="0" applyBorder="0" applyAlignment="0" applyProtection="0"/>
  </cellStyleXfs>
  <cellXfs count="29">
    <xf numFmtId="0" fontId="0" fillId="0" borderId="0" xfId="0"/>
    <xf numFmtId="0" fontId="0" fillId="0" borderId="0" xfId="0" applyNumberFormat="1"/>
    <xf numFmtId="0" fontId="0" fillId="0" borderId="1" xfId="0" applyBorder="1"/>
    <xf numFmtId="0" fontId="2" fillId="2" borderId="0" xfId="0" applyFont="1" applyFill="1"/>
    <xf numFmtId="0" fontId="3" fillId="2" borderId="0" xfId="0" applyFont="1" applyFill="1"/>
    <xf numFmtId="0" fontId="4" fillId="2" borderId="1" xfId="0" applyFont="1" applyFill="1" applyBorder="1" applyAlignment="1">
      <alignment horizontal="center" vertical="center"/>
    </xf>
    <xf numFmtId="0" fontId="7" fillId="2" borderId="0" xfId="0" applyFont="1" applyFill="1"/>
    <xf numFmtId="0" fontId="0" fillId="0" borderId="1" xfId="0" applyBorder="1" applyAlignment="1">
      <alignment horizontal="center" vertical="center" wrapText="1"/>
    </xf>
    <xf numFmtId="0" fontId="1" fillId="0" borderId="1" xfId="0" applyFont="1" applyBorder="1" applyAlignment="1">
      <alignment horizontal="center" vertical="center" wrapText="1"/>
    </xf>
    <xf numFmtId="165" fontId="10" fillId="0" borderId="0" xfId="0" applyNumberFormat="1" applyFont="1" applyFill="1" applyBorder="1" applyAlignment="1">
      <alignment horizontal="center"/>
    </xf>
    <xf numFmtId="165" fontId="10" fillId="0" borderId="0" xfId="0" applyNumberFormat="1" applyFont="1" applyFill="1" applyBorder="1" applyAlignment="1" applyProtection="1">
      <alignment horizontal="center"/>
      <protection locked="0"/>
    </xf>
    <xf numFmtId="0" fontId="0" fillId="3" borderId="0" xfId="0" applyFill="1"/>
    <xf numFmtId="0" fontId="0" fillId="3" borderId="1" xfId="0" applyFill="1" applyBorder="1"/>
    <xf numFmtId="22" fontId="0" fillId="3" borderId="0" xfId="0" applyNumberFormat="1" applyFill="1"/>
    <xf numFmtId="0" fontId="0" fillId="4" borderId="1" xfId="0" applyFill="1" applyBorder="1" applyAlignment="1">
      <alignment horizontal="center" vertical="center" wrapText="1"/>
    </xf>
    <xf numFmtId="166" fontId="1" fillId="3" borderId="6" xfId="0" applyNumberFormat="1" applyFont="1" applyFill="1" applyBorder="1" applyAlignment="1">
      <alignment horizontal="center" vertical="center"/>
    </xf>
    <xf numFmtId="21" fontId="0" fillId="0" borderId="0" xfId="0" applyNumberFormat="1"/>
    <xf numFmtId="164" fontId="4" fillId="2" borderId="1" xfId="1" applyNumberFormat="1" applyFont="1" applyFill="1" applyBorder="1" applyAlignment="1" applyProtection="1">
      <alignment horizontal="center" vertical="center" wrapText="1"/>
      <protection locked="0"/>
    </xf>
    <xf numFmtId="0" fontId="4" fillId="2" borderId="1" xfId="0" applyFont="1" applyFill="1" applyBorder="1" applyAlignment="1" applyProtection="1">
      <alignment horizontal="center" vertical="center"/>
      <protection locked="0"/>
    </xf>
    <xf numFmtId="22" fontId="11" fillId="3" borderId="0" xfId="0" applyNumberFormat="1" applyFont="1" applyFill="1"/>
    <xf numFmtId="0" fontId="5" fillId="2" borderId="2" xfId="0" applyFont="1" applyFill="1" applyBorder="1" applyAlignment="1">
      <alignment horizontal="center"/>
    </xf>
    <xf numFmtId="0" fontId="2" fillId="2" borderId="0" xfId="0" applyFont="1" applyFill="1" applyAlignment="1">
      <alignment horizontal="center"/>
    </xf>
    <xf numFmtId="0" fontId="9" fillId="2" borderId="0" xfId="0" applyFont="1" applyFill="1" applyAlignment="1">
      <alignment horizontal="center"/>
    </xf>
    <xf numFmtId="0" fontId="0" fillId="4" borderId="1" xfId="0" applyFill="1" applyBorder="1" applyAlignment="1">
      <alignment horizontal="center" vertical="center" wrapText="1"/>
    </xf>
    <xf numFmtId="0" fontId="1" fillId="4" borderId="3" xfId="0" applyFont="1" applyFill="1" applyBorder="1" applyAlignment="1">
      <alignment horizontal="center" vertical="center" wrapText="1"/>
    </xf>
    <xf numFmtId="0" fontId="1" fillId="4" borderId="5" xfId="0" applyFont="1" applyFill="1" applyBorder="1" applyAlignment="1">
      <alignment horizontal="center" vertical="center" wrapText="1"/>
    </xf>
    <xf numFmtId="0" fontId="1" fillId="3" borderId="3" xfId="0" applyFont="1" applyFill="1" applyBorder="1" applyAlignment="1">
      <alignment horizontal="center" vertical="center" wrapText="1"/>
    </xf>
    <xf numFmtId="0" fontId="1" fillId="3" borderId="4" xfId="0" applyFont="1" applyFill="1" applyBorder="1" applyAlignment="1">
      <alignment horizontal="center" vertical="center" wrapText="1"/>
    </xf>
    <xf numFmtId="0" fontId="1" fillId="3" borderId="5" xfId="0" applyFont="1" applyFill="1" applyBorder="1" applyAlignment="1">
      <alignment horizontal="center" vertical="center" wrapText="1"/>
    </xf>
  </cellXfs>
  <cellStyles count="2">
    <cellStyle name="Millares" xfId="1" builtinId="3"/>
    <cellStyle name="Normal" xfId="0" builtinId="0"/>
  </cellStyles>
  <dxfs count="0"/>
  <tableStyles count="0" defaultTableStyle="TableStyleMedium9" defaultPivotStyle="PivotStyleLight16"/>
  <colors>
    <mruColors>
      <color rgb="FF66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5.emf"/><Relationship Id="rId7" Type="http://schemas.openxmlformats.org/officeDocument/2006/relationships/image" Target="../media/image8.emf"/><Relationship Id="rId2" Type="http://schemas.openxmlformats.org/officeDocument/2006/relationships/image" Target="../media/image6.emf"/><Relationship Id="rId1" Type="http://schemas.openxmlformats.org/officeDocument/2006/relationships/image" Target="../media/image7.emf"/><Relationship Id="rId6" Type="http://schemas.openxmlformats.org/officeDocument/2006/relationships/image" Target="../media/image2.emf"/><Relationship Id="rId5" Type="http://schemas.openxmlformats.org/officeDocument/2006/relationships/image" Target="../media/image3.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1885950</xdr:colOff>
          <xdr:row>11</xdr:row>
          <xdr:rowOff>66675</xdr:rowOff>
        </xdr:from>
        <xdr:to>
          <xdr:col>2</xdr:col>
          <xdr:colOff>1409700</xdr:colOff>
          <xdr:row>14</xdr:row>
          <xdr:rowOff>95250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6</xdr:row>
          <xdr:rowOff>9525</xdr:rowOff>
        </xdr:from>
        <xdr:to>
          <xdr:col>3</xdr:col>
          <xdr:colOff>0</xdr:colOff>
          <xdr:row>7</xdr:row>
          <xdr:rowOff>0</xdr:rowOff>
        </xdr:to>
        <xdr:sp macro="" textlink="">
          <xdr:nvSpPr>
            <xdr:cNvPr id="1036" name="OptionButton1" hidden="1">
              <a:extLst>
                <a:ext uri="{63B3BB69-23CF-44E3-9099-C40C66FF867C}">
                  <a14:compatExt spid="_x0000_s10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7</xdr:row>
          <xdr:rowOff>19050</xdr:rowOff>
        </xdr:from>
        <xdr:to>
          <xdr:col>3</xdr:col>
          <xdr:colOff>9525</xdr:colOff>
          <xdr:row>8</xdr:row>
          <xdr:rowOff>0</xdr:rowOff>
        </xdr:to>
        <xdr:sp macro="" textlink="">
          <xdr:nvSpPr>
            <xdr:cNvPr id="1037" name="OptionButton2" hidden="1">
              <a:extLst>
                <a:ext uri="{63B3BB69-23CF-44E3-9099-C40C66FF867C}">
                  <a14:compatExt spid="_x0000_s10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8</xdr:row>
          <xdr:rowOff>9525</xdr:rowOff>
        </xdr:from>
        <xdr:to>
          <xdr:col>3</xdr:col>
          <xdr:colOff>9525</xdr:colOff>
          <xdr:row>8</xdr:row>
          <xdr:rowOff>485775</xdr:rowOff>
        </xdr:to>
        <xdr:sp macro="" textlink="">
          <xdr:nvSpPr>
            <xdr:cNvPr id="1038" name="OptionButton3" hidden="1">
              <a:extLst>
                <a:ext uri="{63B3BB69-23CF-44E3-9099-C40C66FF867C}">
                  <a14:compatExt spid="_x0000_s10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9</xdr:row>
          <xdr:rowOff>19050</xdr:rowOff>
        </xdr:from>
        <xdr:to>
          <xdr:col>3</xdr:col>
          <xdr:colOff>0</xdr:colOff>
          <xdr:row>9</xdr:row>
          <xdr:rowOff>485775</xdr:rowOff>
        </xdr:to>
        <xdr:sp macro="" textlink="">
          <xdr:nvSpPr>
            <xdr:cNvPr id="1039" name="OptionButton4" hidden="1">
              <a:extLst>
                <a:ext uri="{63B3BB69-23CF-44E3-9099-C40C66FF867C}">
                  <a14:compatExt spid="_x0000_s10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7829550</xdr:colOff>
          <xdr:row>10</xdr:row>
          <xdr:rowOff>133350</xdr:rowOff>
        </xdr:from>
        <xdr:to>
          <xdr:col>1</xdr:col>
          <xdr:colOff>9734550</xdr:colOff>
          <xdr:row>14</xdr:row>
          <xdr:rowOff>76200</xdr:rowOff>
        </xdr:to>
        <xdr:sp macro="" textlink="">
          <xdr:nvSpPr>
            <xdr:cNvPr id="1043" name="CommandButton1" hidden="1">
              <a:extLst>
                <a:ext uri="{63B3BB69-23CF-44E3-9099-C40C66FF867C}">
                  <a14:compatExt spid="_x0000_s10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1476375</xdr:colOff>
          <xdr:row>10</xdr:row>
          <xdr:rowOff>114300</xdr:rowOff>
        </xdr:from>
        <xdr:to>
          <xdr:col>1</xdr:col>
          <xdr:colOff>3381375</xdr:colOff>
          <xdr:row>14</xdr:row>
          <xdr:rowOff>57150</xdr:rowOff>
        </xdr:to>
        <xdr:sp macro="" textlink="">
          <xdr:nvSpPr>
            <xdr:cNvPr id="1045" name="CommandButton2" hidden="1">
              <a:extLst>
                <a:ext uri="{63B3BB69-23CF-44E3-9099-C40C66FF867C}">
                  <a14:compatExt spid="_x0000_s10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4733925</xdr:colOff>
          <xdr:row>10</xdr:row>
          <xdr:rowOff>123825</xdr:rowOff>
        </xdr:from>
        <xdr:to>
          <xdr:col>1</xdr:col>
          <xdr:colOff>6638925</xdr:colOff>
          <xdr:row>14</xdr:row>
          <xdr:rowOff>66675</xdr:rowOff>
        </xdr:to>
        <xdr:sp macro="" textlink="">
          <xdr:nvSpPr>
            <xdr:cNvPr id="1046" name="CommandButton3" hidden="1">
              <a:extLst>
                <a:ext uri="{63B3BB69-23CF-44E3-9099-C40C66FF867C}">
                  <a14:compatExt spid="_x0000_s1046"/>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2905125</xdr:colOff>
          <xdr:row>1</xdr:row>
          <xdr:rowOff>276225</xdr:rowOff>
        </xdr:from>
        <xdr:to>
          <xdr:col>4</xdr:col>
          <xdr:colOff>1343025</xdr:colOff>
          <xdr:row>1</xdr:row>
          <xdr:rowOff>638175</xdr:rowOff>
        </xdr:to>
        <xdr:sp macro="" textlink="">
          <xdr:nvSpPr>
            <xdr:cNvPr id="3073" name="CommandButton1"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6.emf"/><Relationship Id="rId3" Type="http://schemas.openxmlformats.org/officeDocument/2006/relationships/vmlDrawing" Target="../drawings/vmlDrawing2.vml"/><Relationship Id="rId7" Type="http://schemas.openxmlformats.org/officeDocument/2006/relationships/image" Target="../media/image3.emf"/><Relationship Id="rId12" Type="http://schemas.openxmlformats.org/officeDocument/2006/relationships/control" Target="../activeX/activeX6.xml"/><Relationship Id="rId17" Type="http://schemas.openxmlformats.org/officeDocument/2006/relationships/image" Target="../media/image8.emf"/><Relationship Id="rId2" Type="http://schemas.openxmlformats.org/officeDocument/2006/relationships/drawing" Target="../drawings/drawing2.xml"/><Relationship Id="rId16" Type="http://schemas.openxmlformats.org/officeDocument/2006/relationships/control" Target="../activeX/activeX8.xml"/><Relationship Id="rId1" Type="http://schemas.openxmlformats.org/officeDocument/2006/relationships/printerSettings" Target="../printerSettings/printerSettings2.bin"/><Relationship Id="rId6" Type="http://schemas.openxmlformats.org/officeDocument/2006/relationships/control" Target="../activeX/activeX3.xml"/><Relationship Id="rId11"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image" Target="../media/image7.emf"/><Relationship Id="rId10" Type="http://schemas.openxmlformats.org/officeDocument/2006/relationships/control" Target="../activeX/activeX5.xml"/><Relationship Id="rId4" Type="http://schemas.openxmlformats.org/officeDocument/2006/relationships/control" Target="../activeX/activeX2.xml"/><Relationship Id="rId9" Type="http://schemas.openxmlformats.org/officeDocument/2006/relationships/image" Target="../media/image4.emf"/><Relationship Id="rId1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9.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9.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H601"/>
  <sheetViews>
    <sheetView workbookViewId="0">
      <selection activeCell="C4" sqref="C4"/>
    </sheetView>
  </sheetViews>
  <sheetFormatPr baseColWidth="10" defaultRowHeight="15" x14ac:dyDescent="0.25"/>
  <cols>
    <col min="1" max="1" width="29.7109375" customWidth="1"/>
    <col min="2" max="2" width="16.5703125" customWidth="1"/>
    <col min="6" max="6" width="23.28515625" customWidth="1"/>
    <col min="7" max="7" width="11.85546875" bestFit="1" customWidth="1"/>
    <col min="8" max="8" width="15.7109375" bestFit="1" customWidth="1"/>
  </cols>
  <sheetData>
    <row r="1" spans="1:8" x14ac:dyDescent="0.25">
      <c r="A1" s="2" t="s">
        <v>369</v>
      </c>
      <c r="B1" s="2">
        <v>2251</v>
      </c>
      <c r="C1" s="2"/>
      <c r="F1" s="2" t="s">
        <v>406</v>
      </c>
      <c r="G1" s="2" t="b">
        <v>0</v>
      </c>
      <c r="H1" s="2">
        <f>+G1+0</f>
        <v>0</v>
      </c>
    </row>
    <row r="2" spans="1:8" x14ac:dyDescent="0.25">
      <c r="A2" s="2" t="s">
        <v>403</v>
      </c>
      <c r="B2" s="2">
        <v>0</v>
      </c>
      <c r="C2" s="2">
        <f>+B2+1</f>
        <v>1</v>
      </c>
      <c r="F2" s="2" t="s">
        <v>407</v>
      </c>
      <c r="G2" s="2" t="b">
        <v>0</v>
      </c>
      <c r="H2" s="2">
        <f t="shared" ref="H2:H4" si="0">+G2+0</f>
        <v>0</v>
      </c>
    </row>
    <row r="3" spans="1:8" x14ac:dyDescent="0.25">
      <c r="A3" s="2" t="s">
        <v>405</v>
      </c>
      <c r="B3" s="2">
        <f>+IF(H1=1,1,IF(H2=1,2,IF(H3=1,3,IF(H4=1,4,"ERROR"))))</f>
        <v>3</v>
      </c>
      <c r="C3" s="2"/>
      <c r="F3" s="2" t="s">
        <v>408</v>
      </c>
      <c r="G3" s="2" t="b">
        <v>1</v>
      </c>
      <c r="H3" s="2">
        <f t="shared" si="0"/>
        <v>1</v>
      </c>
    </row>
    <row r="4" spans="1:8" x14ac:dyDescent="0.25">
      <c r="A4" s="2" t="s">
        <v>404</v>
      </c>
      <c r="B4" s="2">
        <v>0</v>
      </c>
      <c r="C4" s="2">
        <f>+B4+IF(LOOKUP(B1,A7:A601,B7:B601)=B3,1,0)</f>
        <v>1</v>
      </c>
      <c r="F4" s="2" t="s">
        <v>409</v>
      </c>
      <c r="G4" s="2" t="b">
        <v>0</v>
      </c>
      <c r="H4" s="2">
        <f t="shared" si="0"/>
        <v>0</v>
      </c>
    </row>
    <row r="6" spans="1:8" x14ac:dyDescent="0.25">
      <c r="A6" t="s">
        <v>401</v>
      </c>
      <c r="B6" t="s">
        <v>402</v>
      </c>
      <c r="F6" s="2" t="s">
        <v>410</v>
      </c>
      <c r="G6" s="2">
        <f ca="1">+ROUND(RAND()*2975/5,0)*5+1</f>
        <v>2856</v>
      </c>
      <c r="H6" s="2"/>
    </row>
    <row r="7" spans="1:8" x14ac:dyDescent="0.25">
      <c r="A7">
        <v>1</v>
      </c>
      <c r="B7">
        <f>+IF(LOOKUP(A7+1,Preguntas!$A$1:$A$2976,Preguntas!$D$1:$D$2976)="*",1,IF(LOOKUP(A7+2,Preguntas!$A$1:$A$2976,Preguntas!$D$1:$D$2976)="*",2,IF(LOOKUP(A7+3,Preguntas!$A$1:$A$2976,Preguntas!$D$1:$D$2976)="*",3,IF(LOOKUP(A7+4,Preguntas!$A$1:$A$2976,Preguntas!$D$1:$D$2976)="*",4))))</f>
        <v>2</v>
      </c>
      <c r="F7" s="2" t="s">
        <v>2016</v>
      </c>
      <c r="G7" s="2">
        <f>+LOOKUP(B1,A7:A506,B7:B506)</f>
        <v>3</v>
      </c>
      <c r="H7" s="2"/>
    </row>
    <row r="8" spans="1:8" x14ac:dyDescent="0.25">
      <c r="A8">
        <f>+A7+5</f>
        <v>6</v>
      </c>
      <c r="B8">
        <f>+IF(LOOKUP(A8+1,Preguntas!$A$1:$A$2976,Preguntas!$D$1:$D$2976)="*",1,IF(LOOKUP(A8+2,Preguntas!$A$1:$A$2976,Preguntas!$D$1:$D$2976)="*",2,IF(LOOKUP(A8+3,Preguntas!$A$1:$A$2976,Preguntas!$D$1:$D$2976)="*",3,IF(LOOKUP(A8+4,Preguntas!$A$1:$A$2976,Preguntas!$D$1:$D$2976)="*",4))))</f>
        <v>2</v>
      </c>
    </row>
    <row r="9" spans="1:8" x14ac:dyDescent="0.25">
      <c r="A9">
        <f t="shared" ref="A9:A72" si="1">+A8+5</f>
        <v>11</v>
      </c>
      <c r="B9">
        <f>+IF(LOOKUP(A9+1,Preguntas!$A$1:$A$2976,Preguntas!$D$1:$D$2976)="*",1,IF(LOOKUP(A9+2,Preguntas!$A$1:$A$2976,Preguntas!$D$1:$D$2976)="*",2,IF(LOOKUP(A9+3,Preguntas!$A$1:$A$2976,Preguntas!$D$1:$D$2976)="*",3,IF(LOOKUP(A9+4,Preguntas!$A$1:$A$2976,Preguntas!$D$1:$D$2976)="*",4))))</f>
        <v>3</v>
      </c>
    </row>
    <row r="10" spans="1:8" x14ac:dyDescent="0.25">
      <c r="A10">
        <f t="shared" si="1"/>
        <v>16</v>
      </c>
      <c r="B10">
        <f>+IF(LOOKUP(A10+1,Preguntas!$A$1:$A$2976,Preguntas!$D$1:$D$2976)="*",1,IF(LOOKUP(A10+2,Preguntas!$A$1:$A$2976,Preguntas!$D$1:$D$2976)="*",2,IF(LOOKUP(A10+3,Preguntas!$A$1:$A$2976,Preguntas!$D$1:$D$2976)="*",3,IF(LOOKUP(A10+4,Preguntas!$A$1:$A$2976,Preguntas!$D$1:$D$2976)="*",4))))</f>
        <v>3</v>
      </c>
    </row>
    <row r="11" spans="1:8" x14ac:dyDescent="0.25">
      <c r="A11">
        <f t="shared" si="1"/>
        <v>21</v>
      </c>
      <c r="B11">
        <f>+IF(LOOKUP(A11+1,Preguntas!$A$1:$A$2976,Preguntas!$D$1:$D$2976)="*",1,IF(LOOKUP(A11+2,Preguntas!$A$1:$A$2976,Preguntas!$D$1:$D$2976)="*",2,IF(LOOKUP(A11+3,Preguntas!$A$1:$A$2976,Preguntas!$D$1:$D$2976)="*",3,IF(LOOKUP(A11+4,Preguntas!$A$1:$A$2976,Preguntas!$D$1:$D$2976)="*",4))))</f>
        <v>3</v>
      </c>
    </row>
    <row r="12" spans="1:8" x14ac:dyDescent="0.25">
      <c r="A12">
        <f t="shared" si="1"/>
        <v>26</v>
      </c>
      <c r="B12">
        <f>+IF(LOOKUP(A12+1,Preguntas!$A$1:$A$2976,Preguntas!$D$1:$D$2976)="*",1,IF(LOOKUP(A12+2,Preguntas!$A$1:$A$2976,Preguntas!$D$1:$D$2976)="*",2,IF(LOOKUP(A12+3,Preguntas!$A$1:$A$2976,Preguntas!$D$1:$D$2976)="*",3,IF(LOOKUP(A12+4,Preguntas!$A$1:$A$2976,Preguntas!$D$1:$D$2976)="*",4))))</f>
        <v>3</v>
      </c>
    </row>
    <row r="13" spans="1:8" x14ac:dyDescent="0.25">
      <c r="A13">
        <f t="shared" si="1"/>
        <v>31</v>
      </c>
      <c r="B13">
        <f>+IF(LOOKUP(A13+1,Preguntas!$A$1:$A$2976,Preguntas!$D$1:$D$2976)="*",1,IF(LOOKUP(A13+2,Preguntas!$A$1:$A$2976,Preguntas!$D$1:$D$2976)="*",2,IF(LOOKUP(A13+3,Preguntas!$A$1:$A$2976,Preguntas!$D$1:$D$2976)="*",3,IF(LOOKUP(A13+4,Preguntas!$A$1:$A$2976,Preguntas!$D$1:$D$2976)="*",4))))</f>
        <v>3</v>
      </c>
      <c r="F13" t="str">
        <f>+"El Examen ha finalizado, gracias por su participación. Usted ha respondido correctamente a un total de "&amp;C4&amp;" preguntas, lo que significa un total de "&amp;C4/2&amp;" puntos. Recuerde que a esta cantidad de puntos Ud. deberá sumar el promedio obtenido en la carrera. El tiempo total empleado para responder a las preguntas fue de "&amp;H17&amp; ". A continuación las respuestas correctas a las preguntas formuladas."</f>
        <v>El Examen ha finalizado, gracias por su participación. Usted ha respondido correctamente a un total de 1 preguntas, lo que significa un total de 0.5 puntos. Recuerde que a esta cantidad de puntos Ud. deberá sumar el promedio obtenido en la carrera. El tiempo total empleado para responder a las preguntas fue de 00:00:13. A continuación las respuestas correctas a las preguntas formuladas.</v>
      </c>
    </row>
    <row r="14" spans="1:8" x14ac:dyDescent="0.25">
      <c r="A14">
        <f t="shared" si="1"/>
        <v>36</v>
      </c>
      <c r="B14">
        <f>+IF(LOOKUP(A14+1,Preguntas!$A$1:$A$2976,Preguntas!$D$1:$D$2976)="*",1,IF(LOOKUP(A14+2,Preguntas!$A$1:$A$2976,Preguntas!$D$1:$D$2976)="*",2,IF(LOOKUP(A14+3,Preguntas!$A$1:$A$2976,Preguntas!$D$1:$D$2976)="*",3,IF(LOOKUP(A14+4,Preguntas!$A$1:$A$2976,Preguntas!$D$1:$D$2976)="*",4))))</f>
        <v>4</v>
      </c>
    </row>
    <row r="15" spans="1:8" x14ac:dyDescent="0.25">
      <c r="A15">
        <f t="shared" si="1"/>
        <v>41</v>
      </c>
      <c r="B15">
        <f>+IF(LOOKUP(A15+1,Preguntas!$A$1:$A$2976,Preguntas!$D$1:$D$2976)="*",1,IF(LOOKUP(A15+2,Preguntas!$A$1:$A$2976,Preguntas!$D$1:$D$2976)="*",2,IF(LOOKUP(A15+3,Preguntas!$A$1:$A$2976,Preguntas!$D$1:$D$2976)="*",3,IF(LOOKUP(A15+4,Preguntas!$A$1:$A$2976,Preguntas!$D$1:$D$2976)="*",4))))</f>
        <v>2</v>
      </c>
    </row>
    <row r="16" spans="1:8" x14ac:dyDescent="0.25">
      <c r="A16">
        <f t="shared" si="1"/>
        <v>46</v>
      </c>
      <c r="B16">
        <f>+IF(LOOKUP(A16+1,Preguntas!$A$1:$A$2976,Preguntas!$D$1:$D$2976)="*",1,IF(LOOKUP(A16+2,Preguntas!$A$1:$A$2976,Preguntas!$D$1:$D$2976)="*",2,IF(LOOKUP(A16+3,Preguntas!$A$1:$A$2976,Preguntas!$D$1:$D$2976)="*",3,IF(LOOKUP(A16+4,Preguntas!$A$1:$A$2976,Preguntas!$D$1:$D$2976)="*",4))))</f>
        <v>1</v>
      </c>
      <c r="F16" s="9">
        <f ca="1">+F18-F17</f>
        <v>1107.1530208333352</v>
      </c>
      <c r="G16" s="16">
        <v>1.5046296296296297E-4</v>
      </c>
      <c r="H16" s="16" t="str">
        <f ca="1">+TEXT(F16,"hh:mm:ss")</f>
        <v>03:40:21</v>
      </c>
    </row>
    <row r="17" spans="1:8" x14ac:dyDescent="0.25">
      <c r="A17">
        <f t="shared" si="1"/>
        <v>51</v>
      </c>
      <c r="B17">
        <f>+IF(LOOKUP(A17+1,Preguntas!$A$1:$A$2976,Preguntas!$D$1:$D$2976)="*",1,IF(LOOKUP(A17+2,Preguntas!$A$1:$A$2976,Preguntas!$D$1:$D$2976)="*",2,IF(LOOKUP(A17+3,Preguntas!$A$1:$A$2976,Preguntas!$D$1:$D$2976)="*",3,IF(LOOKUP(A17+4,Preguntas!$A$1:$A$2976,Preguntas!$D$1:$D$2976)="*",4))))</f>
        <v>4</v>
      </c>
      <c r="F17" s="10">
        <v>41543.5627662037</v>
      </c>
      <c r="H17" s="16" t="str">
        <f>+TEXT(G16,"hh:mm:ss")</f>
        <v>00:00:13</v>
      </c>
    </row>
    <row r="18" spans="1:8" x14ac:dyDescent="0.25">
      <c r="A18">
        <f t="shared" si="1"/>
        <v>56</v>
      </c>
      <c r="B18">
        <f>+IF(LOOKUP(A18+1,Preguntas!$A$1:$A$2976,Preguntas!$D$1:$D$2976)="*",1,IF(LOOKUP(A18+2,Preguntas!$A$1:$A$2976,Preguntas!$D$1:$D$2976)="*",2,IF(LOOKUP(A18+3,Preguntas!$A$1:$A$2976,Preguntas!$D$1:$D$2976)="*",3,IF(LOOKUP(A18+4,Preguntas!$A$1:$A$2976,Preguntas!$D$1:$D$2976)="*",4))))</f>
        <v>1</v>
      </c>
      <c r="F18" s="10">
        <f ca="1">NOW()</f>
        <v>42650.715787037036</v>
      </c>
    </row>
    <row r="19" spans="1:8" x14ac:dyDescent="0.25">
      <c r="A19">
        <f t="shared" si="1"/>
        <v>61</v>
      </c>
      <c r="B19">
        <f>+IF(LOOKUP(A19+1,Preguntas!$A$1:$A$2976,Preguntas!$D$1:$D$2976)="*",1,IF(LOOKUP(A19+2,Preguntas!$A$1:$A$2976,Preguntas!$D$1:$D$2976)="*",2,IF(LOOKUP(A19+3,Preguntas!$A$1:$A$2976,Preguntas!$D$1:$D$2976)="*",3,IF(LOOKUP(A19+4,Preguntas!$A$1:$A$2976,Preguntas!$D$1:$D$2976)="*",4))))</f>
        <v>4</v>
      </c>
      <c r="F19" s="10"/>
    </row>
    <row r="20" spans="1:8" x14ac:dyDescent="0.25">
      <c r="A20">
        <f t="shared" si="1"/>
        <v>66</v>
      </c>
      <c r="B20">
        <f>+IF(LOOKUP(A20+1,Preguntas!$A$1:$A$2976,Preguntas!$D$1:$D$2976)="*",1,IF(LOOKUP(A20+2,Preguntas!$A$1:$A$2976,Preguntas!$D$1:$D$2976)="*",2,IF(LOOKUP(A20+3,Preguntas!$A$1:$A$2976,Preguntas!$D$1:$D$2976)="*",3,IF(LOOKUP(A20+4,Preguntas!$A$1:$A$2976,Preguntas!$D$1:$D$2976)="*",4))))</f>
        <v>1</v>
      </c>
    </row>
    <row r="21" spans="1:8" x14ac:dyDescent="0.25">
      <c r="A21">
        <f t="shared" si="1"/>
        <v>71</v>
      </c>
      <c r="B21">
        <f>+IF(LOOKUP(A21+1,Preguntas!$A$1:$A$2976,Preguntas!$D$1:$D$2976)="*",1,IF(LOOKUP(A21+2,Preguntas!$A$1:$A$2976,Preguntas!$D$1:$D$2976)="*",2,IF(LOOKUP(A21+3,Preguntas!$A$1:$A$2976,Preguntas!$D$1:$D$2976)="*",3,IF(LOOKUP(A21+4,Preguntas!$A$1:$A$2976,Preguntas!$D$1:$D$2976)="*",4))))</f>
        <v>3</v>
      </c>
    </row>
    <row r="22" spans="1:8" x14ac:dyDescent="0.25">
      <c r="A22">
        <f t="shared" si="1"/>
        <v>76</v>
      </c>
      <c r="B22">
        <f>+IF(LOOKUP(A22+1,Preguntas!$A$1:$A$2976,Preguntas!$D$1:$D$2976)="*",1,IF(LOOKUP(A22+2,Preguntas!$A$1:$A$2976,Preguntas!$D$1:$D$2976)="*",2,IF(LOOKUP(A22+3,Preguntas!$A$1:$A$2976,Preguntas!$D$1:$D$2976)="*",3,IF(LOOKUP(A22+4,Preguntas!$A$1:$A$2976,Preguntas!$D$1:$D$2976)="*",4))))</f>
        <v>2</v>
      </c>
    </row>
    <row r="23" spans="1:8" x14ac:dyDescent="0.25">
      <c r="A23">
        <f t="shared" si="1"/>
        <v>81</v>
      </c>
      <c r="B23">
        <f>+IF(LOOKUP(A23+1,Preguntas!$A$1:$A$2976,Preguntas!$D$1:$D$2976)="*",1,IF(LOOKUP(A23+2,Preguntas!$A$1:$A$2976,Preguntas!$D$1:$D$2976)="*",2,IF(LOOKUP(A23+3,Preguntas!$A$1:$A$2976,Preguntas!$D$1:$D$2976)="*",3,IF(LOOKUP(A23+4,Preguntas!$A$1:$A$2976,Preguntas!$D$1:$D$2976)="*",4))))</f>
        <v>2</v>
      </c>
    </row>
    <row r="24" spans="1:8" x14ac:dyDescent="0.25">
      <c r="A24">
        <f t="shared" si="1"/>
        <v>86</v>
      </c>
      <c r="B24">
        <f>+IF(LOOKUP(A24+1,Preguntas!$A$1:$A$2976,Preguntas!$D$1:$D$2976)="*",1,IF(LOOKUP(A24+2,Preguntas!$A$1:$A$2976,Preguntas!$D$1:$D$2976)="*",2,IF(LOOKUP(A24+3,Preguntas!$A$1:$A$2976,Preguntas!$D$1:$D$2976)="*",3,IF(LOOKUP(A24+4,Preguntas!$A$1:$A$2976,Preguntas!$D$1:$D$2976)="*",4))))</f>
        <v>4</v>
      </c>
    </row>
    <row r="25" spans="1:8" x14ac:dyDescent="0.25">
      <c r="A25">
        <f t="shared" si="1"/>
        <v>91</v>
      </c>
      <c r="B25">
        <f>+IF(LOOKUP(A25+1,Preguntas!$A$1:$A$2976,Preguntas!$D$1:$D$2976)="*",1,IF(LOOKUP(A25+2,Preguntas!$A$1:$A$2976,Preguntas!$D$1:$D$2976)="*",2,IF(LOOKUP(A25+3,Preguntas!$A$1:$A$2976,Preguntas!$D$1:$D$2976)="*",3,IF(LOOKUP(A25+4,Preguntas!$A$1:$A$2976,Preguntas!$D$1:$D$2976)="*",4))))</f>
        <v>2</v>
      </c>
    </row>
    <row r="26" spans="1:8" x14ac:dyDescent="0.25">
      <c r="A26">
        <f t="shared" si="1"/>
        <v>96</v>
      </c>
      <c r="B26">
        <f>+IF(LOOKUP(A26+1,Preguntas!$A$1:$A$2976,Preguntas!$D$1:$D$2976)="*",1,IF(LOOKUP(A26+2,Preguntas!$A$1:$A$2976,Preguntas!$D$1:$D$2976)="*",2,IF(LOOKUP(A26+3,Preguntas!$A$1:$A$2976,Preguntas!$D$1:$D$2976)="*",3,IF(LOOKUP(A26+4,Preguntas!$A$1:$A$2976,Preguntas!$D$1:$D$2976)="*",4))))</f>
        <v>1</v>
      </c>
    </row>
    <row r="27" spans="1:8" x14ac:dyDescent="0.25">
      <c r="A27">
        <f t="shared" si="1"/>
        <v>101</v>
      </c>
      <c r="B27">
        <f>+IF(LOOKUP(A27+1,Preguntas!$A$1:$A$2976,Preguntas!$D$1:$D$2976)="*",1,IF(LOOKUP(A27+2,Preguntas!$A$1:$A$2976,Preguntas!$D$1:$D$2976)="*",2,IF(LOOKUP(A27+3,Preguntas!$A$1:$A$2976,Preguntas!$D$1:$D$2976)="*",3,IF(LOOKUP(A27+4,Preguntas!$A$1:$A$2976,Preguntas!$D$1:$D$2976)="*",4))))</f>
        <v>3</v>
      </c>
    </row>
    <row r="28" spans="1:8" x14ac:dyDescent="0.25">
      <c r="A28">
        <f t="shared" si="1"/>
        <v>106</v>
      </c>
      <c r="B28">
        <f>+IF(LOOKUP(A28+1,Preguntas!$A$1:$A$2976,Preguntas!$D$1:$D$2976)="*",1,IF(LOOKUP(A28+2,Preguntas!$A$1:$A$2976,Preguntas!$D$1:$D$2976)="*",2,IF(LOOKUP(A28+3,Preguntas!$A$1:$A$2976,Preguntas!$D$1:$D$2976)="*",3,IF(LOOKUP(A28+4,Preguntas!$A$1:$A$2976,Preguntas!$D$1:$D$2976)="*",4))))</f>
        <v>1</v>
      </c>
    </row>
    <row r="29" spans="1:8" x14ac:dyDescent="0.25">
      <c r="A29">
        <f t="shared" si="1"/>
        <v>111</v>
      </c>
      <c r="B29">
        <f>+IF(LOOKUP(A29+1,Preguntas!$A$1:$A$2976,Preguntas!$D$1:$D$2976)="*",1,IF(LOOKUP(A29+2,Preguntas!$A$1:$A$2976,Preguntas!$D$1:$D$2976)="*",2,IF(LOOKUP(A29+3,Preguntas!$A$1:$A$2976,Preguntas!$D$1:$D$2976)="*",3,IF(LOOKUP(A29+4,Preguntas!$A$1:$A$2976,Preguntas!$D$1:$D$2976)="*",4))))</f>
        <v>2</v>
      </c>
    </row>
    <row r="30" spans="1:8" x14ac:dyDescent="0.25">
      <c r="A30">
        <f t="shared" si="1"/>
        <v>116</v>
      </c>
      <c r="B30">
        <f>+IF(LOOKUP(A30+1,Preguntas!$A$1:$A$2976,Preguntas!$D$1:$D$2976)="*",1,IF(LOOKUP(A30+2,Preguntas!$A$1:$A$2976,Preguntas!$D$1:$D$2976)="*",2,IF(LOOKUP(A30+3,Preguntas!$A$1:$A$2976,Preguntas!$D$1:$D$2976)="*",3,IF(LOOKUP(A30+4,Preguntas!$A$1:$A$2976,Preguntas!$D$1:$D$2976)="*",4))))</f>
        <v>4</v>
      </c>
    </row>
    <row r="31" spans="1:8" x14ac:dyDescent="0.25">
      <c r="A31">
        <f t="shared" si="1"/>
        <v>121</v>
      </c>
      <c r="B31">
        <f>+IF(LOOKUP(A31+1,Preguntas!$A$1:$A$2976,Preguntas!$D$1:$D$2976)="*",1,IF(LOOKUP(A31+2,Preguntas!$A$1:$A$2976,Preguntas!$D$1:$D$2976)="*",2,IF(LOOKUP(A31+3,Preguntas!$A$1:$A$2976,Preguntas!$D$1:$D$2976)="*",3,IF(LOOKUP(A31+4,Preguntas!$A$1:$A$2976,Preguntas!$D$1:$D$2976)="*",4))))</f>
        <v>1</v>
      </c>
    </row>
    <row r="32" spans="1:8" x14ac:dyDescent="0.25">
      <c r="A32">
        <f t="shared" si="1"/>
        <v>126</v>
      </c>
      <c r="B32">
        <f>+IF(LOOKUP(A32+1,Preguntas!$A$1:$A$2976,Preguntas!$D$1:$D$2976)="*",1,IF(LOOKUP(A32+2,Preguntas!$A$1:$A$2976,Preguntas!$D$1:$D$2976)="*",2,IF(LOOKUP(A32+3,Preguntas!$A$1:$A$2976,Preguntas!$D$1:$D$2976)="*",3,IF(LOOKUP(A32+4,Preguntas!$A$1:$A$2976,Preguntas!$D$1:$D$2976)="*",4))))</f>
        <v>1</v>
      </c>
    </row>
    <row r="33" spans="1:2" x14ac:dyDescent="0.25">
      <c r="A33">
        <f t="shared" si="1"/>
        <v>131</v>
      </c>
      <c r="B33">
        <f>+IF(LOOKUP(A33+1,Preguntas!$A$1:$A$2976,Preguntas!$D$1:$D$2976)="*",1,IF(LOOKUP(A33+2,Preguntas!$A$1:$A$2976,Preguntas!$D$1:$D$2976)="*",2,IF(LOOKUP(A33+3,Preguntas!$A$1:$A$2976,Preguntas!$D$1:$D$2976)="*",3,IF(LOOKUP(A33+4,Preguntas!$A$1:$A$2976,Preguntas!$D$1:$D$2976)="*",4))))</f>
        <v>3</v>
      </c>
    </row>
    <row r="34" spans="1:2" x14ac:dyDescent="0.25">
      <c r="A34">
        <f t="shared" si="1"/>
        <v>136</v>
      </c>
      <c r="B34">
        <f>+IF(LOOKUP(A34+1,Preguntas!$A$1:$A$2976,Preguntas!$D$1:$D$2976)="*",1,IF(LOOKUP(A34+2,Preguntas!$A$1:$A$2976,Preguntas!$D$1:$D$2976)="*",2,IF(LOOKUP(A34+3,Preguntas!$A$1:$A$2976,Preguntas!$D$1:$D$2976)="*",3,IF(LOOKUP(A34+4,Preguntas!$A$1:$A$2976,Preguntas!$D$1:$D$2976)="*",4))))</f>
        <v>3</v>
      </c>
    </row>
    <row r="35" spans="1:2" x14ac:dyDescent="0.25">
      <c r="A35">
        <f t="shared" si="1"/>
        <v>141</v>
      </c>
      <c r="B35">
        <f>+IF(LOOKUP(A35+1,Preguntas!$A$1:$A$2976,Preguntas!$D$1:$D$2976)="*",1,IF(LOOKUP(A35+2,Preguntas!$A$1:$A$2976,Preguntas!$D$1:$D$2976)="*",2,IF(LOOKUP(A35+3,Preguntas!$A$1:$A$2976,Preguntas!$D$1:$D$2976)="*",3,IF(LOOKUP(A35+4,Preguntas!$A$1:$A$2976,Preguntas!$D$1:$D$2976)="*",4))))</f>
        <v>4</v>
      </c>
    </row>
    <row r="36" spans="1:2" x14ac:dyDescent="0.25">
      <c r="A36">
        <f t="shared" si="1"/>
        <v>146</v>
      </c>
      <c r="B36">
        <f>+IF(LOOKUP(A36+1,Preguntas!$A$1:$A$2976,Preguntas!$D$1:$D$2976)="*",1,IF(LOOKUP(A36+2,Preguntas!$A$1:$A$2976,Preguntas!$D$1:$D$2976)="*",2,IF(LOOKUP(A36+3,Preguntas!$A$1:$A$2976,Preguntas!$D$1:$D$2976)="*",3,IF(LOOKUP(A36+4,Preguntas!$A$1:$A$2976,Preguntas!$D$1:$D$2976)="*",4))))</f>
        <v>4</v>
      </c>
    </row>
    <row r="37" spans="1:2" x14ac:dyDescent="0.25">
      <c r="A37">
        <f t="shared" si="1"/>
        <v>151</v>
      </c>
      <c r="B37">
        <f>+IF(LOOKUP(A37+1,Preguntas!$A$1:$A$2976,Preguntas!$D$1:$D$2976)="*",1,IF(LOOKUP(A37+2,Preguntas!$A$1:$A$2976,Preguntas!$D$1:$D$2976)="*",2,IF(LOOKUP(A37+3,Preguntas!$A$1:$A$2976,Preguntas!$D$1:$D$2976)="*",3,IF(LOOKUP(A37+4,Preguntas!$A$1:$A$2976,Preguntas!$D$1:$D$2976)="*",4))))</f>
        <v>2</v>
      </c>
    </row>
    <row r="38" spans="1:2" x14ac:dyDescent="0.25">
      <c r="A38">
        <f t="shared" si="1"/>
        <v>156</v>
      </c>
      <c r="B38">
        <f>+IF(LOOKUP(A38+1,Preguntas!$A$1:$A$2976,Preguntas!$D$1:$D$2976)="*",1,IF(LOOKUP(A38+2,Preguntas!$A$1:$A$2976,Preguntas!$D$1:$D$2976)="*",2,IF(LOOKUP(A38+3,Preguntas!$A$1:$A$2976,Preguntas!$D$1:$D$2976)="*",3,IF(LOOKUP(A38+4,Preguntas!$A$1:$A$2976,Preguntas!$D$1:$D$2976)="*",4))))</f>
        <v>3</v>
      </c>
    </row>
    <row r="39" spans="1:2" x14ac:dyDescent="0.25">
      <c r="A39">
        <f t="shared" si="1"/>
        <v>161</v>
      </c>
      <c r="B39">
        <f>+IF(LOOKUP(A39+1,Preguntas!$A$1:$A$2976,Preguntas!$D$1:$D$2976)="*",1,IF(LOOKUP(A39+2,Preguntas!$A$1:$A$2976,Preguntas!$D$1:$D$2976)="*",2,IF(LOOKUP(A39+3,Preguntas!$A$1:$A$2976,Preguntas!$D$1:$D$2976)="*",3,IF(LOOKUP(A39+4,Preguntas!$A$1:$A$2976,Preguntas!$D$1:$D$2976)="*",4))))</f>
        <v>2</v>
      </c>
    </row>
    <row r="40" spans="1:2" x14ac:dyDescent="0.25">
      <c r="A40">
        <f t="shared" si="1"/>
        <v>166</v>
      </c>
      <c r="B40">
        <f>+IF(LOOKUP(A40+1,Preguntas!$A$1:$A$2976,Preguntas!$D$1:$D$2976)="*",1,IF(LOOKUP(A40+2,Preguntas!$A$1:$A$2976,Preguntas!$D$1:$D$2976)="*",2,IF(LOOKUP(A40+3,Preguntas!$A$1:$A$2976,Preguntas!$D$1:$D$2976)="*",3,IF(LOOKUP(A40+4,Preguntas!$A$1:$A$2976,Preguntas!$D$1:$D$2976)="*",4))))</f>
        <v>1</v>
      </c>
    </row>
    <row r="41" spans="1:2" x14ac:dyDescent="0.25">
      <c r="A41">
        <f t="shared" si="1"/>
        <v>171</v>
      </c>
      <c r="B41">
        <f>+IF(LOOKUP(A41+1,Preguntas!$A$1:$A$2976,Preguntas!$D$1:$D$2976)="*",1,IF(LOOKUP(A41+2,Preguntas!$A$1:$A$2976,Preguntas!$D$1:$D$2976)="*",2,IF(LOOKUP(A41+3,Preguntas!$A$1:$A$2976,Preguntas!$D$1:$D$2976)="*",3,IF(LOOKUP(A41+4,Preguntas!$A$1:$A$2976,Preguntas!$D$1:$D$2976)="*",4))))</f>
        <v>4</v>
      </c>
    </row>
    <row r="42" spans="1:2" x14ac:dyDescent="0.25">
      <c r="A42">
        <f t="shared" si="1"/>
        <v>176</v>
      </c>
      <c r="B42">
        <f>+IF(LOOKUP(A42+1,Preguntas!$A$1:$A$2976,Preguntas!$D$1:$D$2976)="*",1,IF(LOOKUP(A42+2,Preguntas!$A$1:$A$2976,Preguntas!$D$1:$D$2976)="*",2,IF(LOOKUP(A42+3,Preguntas!$A$1:$A$2976,Preguntas!$D$1:$D$2976)="*",3,IF(LOOKUP(A42+4,Preguntas!$A$1:$A$2976,Preguntas!$D$1:$D$2976)="*",4))))</f>
        <v>3</v>
      </c>
    </row>
    <row r="43" spans="1:2" x14ac:dyDescent="0.25">
      <c r="A43">
        <f t="shared" si="1"/>
        <v>181</v>
      </c>
      <c r="B43">
        <f>+IF(LOOKUP(A43+1,Preguntas!$A$1:$A$2976,Preguntas!$D$1:$D$2976)="*",1,IF(LOOKUP(A43+2,Preguntas!$A$1:$A$2976,Preguntas!$D$1:$D$2976)="*",2,IF(LOOKUP(A43+3,Preguntas!$A$1:$A$2976,Preguntas!$D$1:$D$2976)="*",3,IF(LOOKUP(A43+4,Preguntas!$A$1:$A$2976,Preguntas!$D$1:$D$2976)="*",4))))</f>
        <v>4</v>
      </c>
    </row>
    <row r="44" spans="1:2" x14ac:dyDescent="0.25">
      <c r="A44">
        <f t="shared" si="1"/>
        <v>186</v>
      </c>
      <c r="B44">
        <f>+IF(LOOKUP(A44+1,Preguntas!$A$1:$A$2976,Preguntas!$D$1:$D$2976)="*",1,IF(LOOKUP(A44+2,Preguntas!$A$1:$A$2976,Preguntas!$D$1:$D$2976)="*",2,IF(LOOKUP(A44+3,Preguntas!$A$1:$A$2976,Preguntas!$D$1:$D$2976)="*",3,IF(LOOKUP(A44+4,Preguntas!$A$1:$A$2976,Preguntas!$D$1:$D$2976)="*",4))))</f>
        <v>4</v>
      </c>
    </row>
    <row r="45" spans="1:2" x14ac:dyDescent="0.25">
      <c r="A45">
        <f t="shared" si="1"/>
        <v>191</v>
      </c>
      <c r="B45">
        <f>+IF(LOOKUP(A45+1,Preguntas!$A$1:$A$2976,Preguntas!$D$1:$D$2976)="*",1,IF(LOOKUP(A45+2,Preguntas!$A$1:$A$2976,Preguntas!$D$1:$D$2976)="*",2,IF(LOOKUP(A45+3,Preguntas!$A$1:$A$2976,Preguntas!$D$1:$D$2976)="*",3,IF(LOOKUP(A45+4,Preguntas!$A$1:$A$2976,Preguntas!$D$1:$D$2976)="*",4))))</f>
        <v>2</v>
      </c>
    </row>
    <row r="46" spans="1:2" x14ac:dyDescent="0.25">
      <c r="A46">
        <f t="shared" si="1"/>
        <v>196</v>
      </c>
      <c r="B46">
        <f>+IF(LOOKUP(A46+1,Preguntas!$A$1:$A$2976,Preguntas!$D$1:$D$2976)="*",1,IF(LOOKUP(A46+2,Preguntas!$A$1:$A$2976,Preguntas!$D$1:$D$2976)="*",2,IF(LOOKUP(A46+3,Preguntas!$A$1:$A$2976,Preguntas!$D$1:$D$2976)="*",3,IF(LOOKUP(A46+4,Preguntas!$A$1:$A$2976,Preguntas!$D$1:$D$2976)="*",4))))</f>
        <v>2</v>
      </c>
    </row>
    <row r="47" spans="1:2" x14ac:dyDescent="0.25">
      <c r="A47">
        <f t="shared" si="1"/>
        <v>201</v>
      </c>
      <c r="B47">
        <f>+IF(LOOKUP(A47+1,Preguntas!$A$1:$A$2976,Preguntas!$D$1:$D$2976)="*",1,IF(LOOKUP(A47+2,Preguntas!$A$1:$A$2976,Preguntas!$D$1:$D$2976)="*",2,IF(LOOKUP(A47+3,Preguntas!$A$1:$A$2976,Preguntas!$D$1:$D$2976)="*",3,IF(LOOKUP(A47+4,Preguntas!$A$1:$A$2976,Preguntas!$D$1:$D$2976)="*",4))))</f>
        <v>3</v>
      </c>
    </row>
    <row r="48" spans="1:2" x14ac:dyDescent="0.25">
      <c r="A48">
        <f t="shared" si="1"/>
        <v>206</v>
      </c>
      <c r="B48">
        <f>+IF(LOOKUP(A48+1,Preguntas!$A$1:$A$2976,Preguntas!$D$1:$D$2976)="*",1,IF(LOOKUP(A48+2,Preguntas!$A$1:$A$2976,Preguntas!$D$1:$D$2976)="*",2,IF(LOOKUP(A48+3,Preguntas!$A$1:$A$2976,Preguntas!$D$1:$D$2976)="*",3,IF(LOOKUP(A48+4,Preguntas!$A$1:$A$2976,Preguntas!$D$1:$D$2976)="*",4))))</f>
        <v>1</v>
      </c>
    </row>
    <row r="49" spans="1:2" x14ac:dyDescent="0.25">
      <c r="A49">
        <f t="shared" si="1"/>
        <v>211</v>
      </c>
      <c r="B49">
        <f>+IF(LOOKUP(A49+1,Preguntas!$A$1:$A$2976,Preguntas!$D$1:$D$2976)="*",1,IF(LOOKUP(A49+2,Preguntas!$A$1:$A$2976,Preguntas!$D$1:$D$2976)="*",2,IF(LOOKUP(A49+3,Preguntas!$A$1:$A$2976,Preguntas!$D$1:$D$2976)="*",3,IF(LOOKUP(A49+4,Preguntas!$A$1:$A$2976,Preguntas!$D$1:$D$2976)="*",4))))</f>
        <v>4</v>
      </c>
    </row>
    <row r="50" spans="1:2" x14ac:dyDescent="0.25">
      <c r="A50">
        <f t="shared" si="1"/>
        <v>216</v>
      </c>
      <c r="B50">
        <f>+IF(LOOKUP(A50+1,Preguntas!$A$1:$A$2976,Preguntas!$D$1:$D$2976)="*",1,IF(LOOKUP(A50+2,Preguntas!$A$1:$A$2976,Preguntas!$D$1:$D$2976)="*",2,IF(LOOKUP(A50+3,Preguntas!$A$1:$A$2976,Preguntas!$D$1:$D$2976)="*",3,IF(LOOKUP(A50+4,Preguntas!$A$1:$A$2976,Preguntas!$D$1:$D$2976)="*",4))))</f>
        <v>2</v>
      </c>
    </row>
    <row r="51" spans="1:2" x14ac:dyDescent="0.25">
      <c r="A51">
        <f t="shared" si="1"/>
        <v>221</v>
      </c>
      <c r="B51">
        <f>+IF(LOOKUP(A51+1,Preguntas!$A$1:$A$2976,Preguntas!$D$1:$D$2976)="*",1,IF(LOOKUP(A51+2,Preguntas!$A$1:$A$2976,Preguntas!$D$1:$D$2976)="*",2,IF(LOOKUP(A51+3,Preguntas!$A$1:$A$2976,Preguntas!$D$1:$D$2976)="*",3,IF(LOOKUP(A51+4,Preguntas!$A$1:$A$2976,Preguntas!$D$1:$D$2976)="*",4))))</f>
        <v>3</v>
      </c>
    </row>
    <row r="52" spans="1:2" x14ac:dyDescent="0.25">
      <c r="A52">
        <f t="shared" si="1"/>
        <v>226</v>
      </c>
      <c r="B52">
        <f>+IF(LOOKUP(A52+1,Preguntas!$A$1:$A$2976,Preguntas!$D$1:$D$2976)="*",1,IF(LOOKUP(A52+2,Preguntas!$A$1:$A$2976,Preguntas!$D$1:$D$2976)="*",2,IF(LOOKUP(A52+3,Preguntas!$A$1:$A$2976,Preguntas!$D$1:$D$2976)="*",3,IF(LOOKUP(A52+4,Preguntas!$A$1:$A$2976,Preguntas!$D$1:$D$2976)="*",4))))</f>
        <v>2</v>
      </c>
    </row>
    <row r="53" spans="1:2" x14ac:dyDescent="0.25">
      <c r="A53">
        <f t="shared" si="1"/>
        <v>231</v>
      </c>
      <c r="B53">
        <f>+IF(LOOKUP(A53+1,Preguntas!$A$1:$A$2976,Preguntas!$D$1:$D$2976)="*",1,IF(LOOKUP(A53+2,Preguntas!$A$1:$A$2976,Preguntas!$D$1:$D$2976)="*",2,IF(LOOKUP(A53+3,Preguntas!$A$1:$A$2976,Preguntas!$D$1:$D$2976)="*",3,IF(LOOKUP(A53+4,Preguntas!$A$1:$A$2976,Preguntas!$D$1:$D$2976)="*",4))))</f>
        <v>2</v>
      </c>
    </row>
    <row r="54" spans="1:2" x14ac:dyDescent="0.25">
      <c r="A54">
        <f t="shared" si="1"/>
        <v>236</v>
      </c>
      <c r="B54">
        <f>+IF(LOOKUP(A54+1,Preguntas!$A$1:$A$2976,Preguntas!$D$1:$D$2976)="*",1,IF(LOOKUP(A54+2,Preguntas!$A$1:$A$2976,Preguntas!$D$1:$D$2976)="*",2,IF(LOOKUP(A54+3,Preguntas!$A$1:$A$2976,Preguntas!$D$1:$D$2976)="*",3,IF(LOOKUP(A54+4,Preguntas!$A$1:$A$2976,Preguntas!$D$1:$D$2976)="*",4))))</f>
        <v>3</v>
      </c>
    </row>
    <row r="55" spans="1:2" x14ac:dyDescent="0.25">
      <c r="A55">
        <f t="shared" si="1"/>
        <v>241</v>
      </c>
      <c r="B55">
        <f>+IF(LOOKUP(A55+1,Preguntas!$A$1:$A$2976,Preguntas!$D$1:$D$2976)="*",1,IF(LOOKUP(A55+2,Preguntas!$A$1:$A$2976,Preguntas!$D$1:$D$2976)="*",2,IF(LOOKUP(A55+3,Preguntas!$A$1:$A$2976,Preguntas!$D$1:$D$2976)="*",3,IF(LOOKUP(A55+4,Preguntas!$A$1:$A$2976,Preguntas!$D$1:$D$2976)="*",4))))</f>
        <v>4</v>
      </c>
    </row>
    <row r="56" spans="1:2" x14ac:dyDescent="0.25">
      <c r="A56">
        <f t="shared" si="1"/>
        <v>246</v>
      </c>
      <c r="B56">
        <f>+IF(LOOKUP(A56+1,Preguntas!$A$1:$A$2976,Preguntas!$D$1:$D$2976)="*",1,IF(LOOKUP(A56+2,Preguntas!$A$1:$A$2976,Preguntas!$D$1:$D$2976)="*",2,IF(LOOKUP(A56+3,Preguntas!$A$1:$A$2976,Preguntas!$D$1:$D$2976)="*",3,IF(LOOKUP(A56+4,Preguntas!$A$1:$A$2976,Preguntas!$D$1:$D$2976)="*",4))))</f>
        <v>1</v>
      </c>
    </row>
    <row r="57" spans="1:2" x14ac:dyDescent="0.25">
      <c r="A57">
        <f t="shared" si="1"/>
        <v>251</v>
      </c>
      <c r="B57">
        <f>+IF(LOOKUP(A57+1,Preguntas!$A$1:$A$2976,Preguntas!$D$1:$D$2976)="*",1,IF(LOOKUP(A57+2,Preguntas!$A$1:$A$2976,Preguntas!$D$1:$D$2976)="*",2,IF(LOOKUP(A57+3,Preguntas!$A$1:$A$2976,Preguntas!$D$1:$D$2976)="*",3,IF(LOOKUP(A57+4,Preguntas!$A$1:$A$2976,Preguntas!$D$1:$D$2976)="*",4))))</f>
        <v>3</v>
      </c>
    </row>
    <row r="58" spans="1:2" x14ac:dyDescent="0.25">
      <c r="A58">
        <f t="shared" si="1"/>
        <v>256</v>
      </c>
      <c r="B58">
        <f>+IF(LOOKUP(A58+1,Preguntas!$A$1:$A$2976,Preguntas!$D$1:$D$2976)="*",1,IF(LOOKUP(A58+2,Preguntas!$A$1:$A$2976,Preguntas!$D$1:$D$2976)="*",2,IF(LOOKUP(A58+3,Preguntas!$A$1:$A$2976,Preguntas!$D$1:$D$2976)="*",3,IF(LOOKUP(A58+4,Preguntas!$A$1:$A$2976,Preguntas!$D$1:$D$2976)="*",4))))</f>
        <v>1</v>
      </c>
    </row>
    <row r="59" spans="1:2" x14ac:dyDescent="0.25">
      <c r="A59">
        <f t="shared" si="1"/>
        <v>261</v>
      </c>
      <c r="B59">
        <f>+IF(LOOKUP(A59+1,Preguntas!$A$1:$A$2976,Preguntas!$D$1:$D$2976)="*",1,IF(LOOKUP(A59+2,Preguntas!$A$1:$A$2976,Preguntas!$D$1:$D$2976)="*",2,IF(LOOKUP(A59+3,Preguntas!$A$1:$A$2976,Preguntas!$D$1:$D$2976)="*",3,IF(LOOKUP(A59+4,Preguntas!$A$1:$A$2976,Preguntas!$D$1:$D$2976)="*",4))))</f>
        <v>3</v>
      </c>
    </row>
    <row r="60" spans="1:2" x14ac:dyDescent="0.25">
      <c r="A60">
        <f t="shared" si="1"/>
        <v>266</v>
      </c>
      <c r="B60">
        <f>+IF(LOOKUP(A60+1,Preguntas!$A$1:$A$2976,Preguntas!$D$1:$D$2976)="*",1,IF(LOOKUP(A60+2,Preguntas!$A$1:$A$2976,Preguntas!$D$1:$D$2976)="*",2,IF(LOOKUP(A60+3,Preguntas!$A$1:$A$2976,Preguntas!$D$1:$D$2976)="*",3,IF(LOOKUP(A60+4,Preguntas!$A$1:$A$2976,Preguntas!$D$1:$D$2976)="*",4))))</f>
        <v>4</v>
      </c>
    </row>
    <row r="61" spans="1:2" x14ac:dyDescent="0.25">
      <c r="A61">
        <f t="shared" si="1"/>
        <v>271</v>
      </c>
      <c r="B61">
        <f>+IF(LOOKUP(A61+1,Preguntas!$A$1:$A$2976,Preguntas!$D$1:$D$2976)="*",1,IF(LOOKUP(A61+2,Preguntas!$A$1:$A$2976,Preguntas!$D$1:$D$2976)="*",2,IF(LOOKUP(A61+3,Preguntas!$A$1:$A$2976,Preguntas!$D$1:$D$2976)="*",3,IF(LOOKUP(A61+4,Preguntas!$A$1:$A$2976,Preguntas!$D$1:$D$2976)="*",4))))</f>
        <v>1</v>
      </c>
    </row>
    <row r="62" spans="1:2" x14ac:dyDescent="0.25">
      <c r="A62">
        <f t="shared" si="1"/>
        <v>276</v>
      </c>
      <c r="B62">
        <f>+IF(LOOKUP(A62+1,Preguntas!$A$1:$A$2976,Preguntas!$D$1:$D$2976)="*",1,IF(LOOKUP(A62+2,Preguntas!$A$1:$A$2976,Preguntas!$D$1:$D$2976)="*",2,IF(LOOKUP(A62+3,Preguntas!$A$1:$A$2976,Preguntas!$D$1:$D$2976)="*",3,IF(LOOKUP(A62+4,Preguntas!$A$1:$A$2976,Preguntas!$D$1:$D$2976)="*",4))))</f>
        <v>2</v>
      </c>
    </row>
    <row r="63" spans="1:2" x14ac:dyDescent="0.25">
      <c r="A63">
        <f t="shared" si="1"/>
        <v>281</v>
      </c>
      <c r="B63">
        <f>+IF(LOOKUP(A63+1,Preguntas!$A$1:$A$2976,Preguntas!$D$1:$D$2976)="*",1,IF(LOOKUP(A63+2,Preguntas!$A$1:$A$2976,Preguntas!$D$1:$D$2976)="*",2,IF(LOOKUP(A63+3,Preguntas!$A$1:$A$2976,Preguntas!$D$1:$D$2976)="*",3,IF(LOOKUP(A63+4,Preguntas!$A$1:$A$2976,Preguntas!$D$1:$D$2976)="*",4))))</f>
        <v>3</v>
      </c>
    </row>
    <row r="64" spans="1:2" x14ac:dyDescent="0.25">
      <c r="A64">
        <f t="shared" si="1"/>
        <v>286</v>
      </c>
      <c r="B64">
        <f>+IF(LOOKUP(A64+1,Preguntas!$A$1:$A$2976,Preguntas!$D$1:$D$2976)="*",1,IF(LOOKUP(A64+2,Preguntas!$A$1:$A$2976,Preguntas!$D$1:$D$2976)="*",2,IF(LOOKUP(A64+3,Preguntas!$A$1:$A$2976,Preguntas!$D$1:$D$2976)="*",3,IF(LOOKUP(A64+4,Preguntas!$A$1:$A$2976,Preguntas!$D$1:$D$2976)="*",4))))</f>
        <v>3</v>
      </c>
    </row>
    <row r="65" spans="1:2" x14ac:dyDescent="0.25">
      <c r="A65">
        <f t="shared" si="1"/>
        <v>291</v>
      </c>
      <c r="B65">
        <f>+IF(LOOKUP(A65+1,Preguntas!$A$1:$A$2976,Preguntas!$D$1:$D$2976)="*",1,IF(LOOKUP(A65+2,Preguntas!$A$1:$A$2976,Preguntas!$D$1:$D$2976)="*",2,IF(LOOKUP(A65+3,Preguntas!$A$1:$A$2976,Preguntas!$D$1:$D$2976)="*",3,IF(LOOKUP(A65+4,Preguntas!$A$1:$A$2976,Preguntas!$D$1:$D$2976)="*",4))))</f>
        <v>3</v>
      </c>
    </row>
    <row r="66" spans="1:2" x14ac:dyDescent="0.25">
      <c r="A66">
        <f t="shared" si="1"/>
        <v>296</v>
      </c>
      <c r="B66">
        <f>+IF(LOOKUP(A66+1,Preguntas!$A$1:$A$2976,Preguntas!$D$1:$D$2976)="*",1,IF(LOOKUP(A66+2,Preguntas!$A$1:$A$2976,Preguntas!$D$1:$D$2976)="*",2,IF(LOOKUP(A66+3,Preguntas!$A$1:$A$2976,Preguntas!$D$1:$D$2976)="*",3,IF(LOOKUP(A66+4,Preguntas!$A$1:$A$2976,Preguntas!$D$1:$D$2976)="*",4))))</f>
        <v>2</v>
      </c>
    </row>
    <row r="67" spans="1:2" x14ac:dyDescent="0.25">
      <c r="A67">
        <f t="shared" si="1"/>
        <v>301</v>
      </c>
      <c r="B67">
        <f>+IF(LOOKUP(A67+1,Preguntas!$A$1:$A$2976,Preguntas!$D$1:$D$2976)="*",1,IF(LOOKUP(A67+2,Preguntas!$A$1:$A$2976,Preguntas!$D$1:$D$2976)="*",2,IF(LOOKUP(A67+3,Preguntas!$A$1:$A$2976,Preguntas!$D$1:$D$2976)="*",3,IF(LOOKUP(A67+4,Preguntas!$A$1:$A$2976,Preguntas!$D$1:$D$2976)="*",4))))</f>
        <v>4</v>
      </c>
    </row>
    <row r="68" spans="1:2" x14ac:dyDescent="0.25">
      <c r="A68">
        <f t="shared" si="1"/>
        <v>306</v>
      </c>
      <c r="B68">
        <f>+IF(LOOKUP(A68+1,Preguntas!$A$1:$A$2976,Preguntas!$D$1:$D$2976)="*",1,IF(LOOKUP(A68+2,Preguntas!$A$1:$A$2976,Preguntas!$D$1:$D$2976)="*",2,IF(LOOKUP(A68+3,Preguntas!$A$1:$A$2976,Preguntas!$D$1:$D$2976)="*",3,IF(LOOKUP(A68+4,Preguntas!$A$1:$A$2976,Preguntas!$D$1:$D$2976)="*",4))))</f>
        <v>3</v>
      </c>
    </row>
    <row r="69" spans="1:2" x14ac:dyDescent="0.25">
      <c r="A69">
        <f t="shared" si="1"/>
        <v>311</v>
      </c>
      <c r="B69">
        <f>+IF(LOOKUP(A69+1,Preguntas!$A$1:$A$2976,Preguntas!$D$1:$D$2976)="*",1,IF(LOOKUP(A69+2,Preguntas!$A$1:$A$2976,Preguntas!$D$1:$D$2976)="*",2,IF(LOOKUP(A69+3,Preguntas!$A$1:$A$2976,Preguntas!$D$1:$D$2976)="*",3,IF(LOOKUP(A69+4,Preguntas!$A$1:$A$2976,Preguntas!$D$1:$D$2976)="*",4))))</f>
        <v>1</v>
      </c>
    </row>
    <row r="70" spans="1:2" x14ac:dyDescent="0.25">
      <c r="A70">
        <f t="shared" si="1"/>
        <v>316</v>
      </c>
      <c r="B70">
        <f>+IF(LOOKUP(A70+1,Preguntas!$A$1:$A$2976,Preguntas!$D$1:$D$2976)="*",1,IF(LOOKUP(A70+2,Preguntas!$A$1:$A$2976,Preguntas!$D$1:$D$2976)="*",2,IF(LOOKUP(A70+3,Preguntas!$A$1:$A$2976,Preguntas!$D$1:$D$2976)="*",3,IF(LOOKUP(A70+4,Preguntas!$A$1:$A$2976,Preguntas!$D$1:$D$2976)="*",4))))</f>
        <v>3</v>
      </c>
    </row>
    <row r="71" spans="1:2" x14ac:dyDescent="0.25">
      <c r="A71">
        <f t="shared" si="1"/>
        <v>321</v>
      </c>
      <c r="B71">
        <f>+IF(LOOKUP(A71+1,Preguntas!$A$1:$A$2976,Preguntas!$D$1:$D$2976)="*",1,IF(LOOKUP(A71+2,Preguntas!$A$1:$A$2976,Preguntas!$D$1:$D$2976)="*",2,IF(LOOKUP(A71+3,Preguntas!$A$1:$A$2976,Preguntas!$D$1:$D$2976)="*",3,IF(LOOKUP(A71+4,Preguntas!$A$1:$A$2976,Preguntas!$D$1:$D$2976)="*",4))))</f>
        <v>2</v>
      </c>
    </row>
    <row r="72" spans="1:2" x14ac:dyDescent="0.25">
      <c r="A72">
        <f t="shared" si="1"/>
        <v>326</v>
      </c>
      <c r="B72">
        <f>+IF(LOOKUP(A72+1,Preguntas!$A$1:$A$2976,Preguntas!$D$1:$D$2976)="*",1,IF(LOOKUP(A72+2,Preguntas!$A$1:$A$2976,Preguntas!$D$1:$D$2976)="*",2,IF(LOOKUP(A72+3,Preguntas!$A$1:$A$2976,Preguntas!$D$1:$D$2976)="*",3,IF(LOOKUP(A72+4,Preguntas!$A$1:$A$2976,Preguntas!$D$1:$D$2976)="*",4))))</f>
        <v>2</v>
      </c>
    </row>
    <row r="73" spans="1:2" x14ac:dyDescent="0.25">
      <c r="A73">
        <f t="shared" ref="A73:A136" si="2">+A72+5</f>
        <v>331</v>
      </c>
      <c r="B73">
        <f>+IF(LOOKUP(A73+1,Preguntas!$A$1:$A$2976,Preguntas!$D$1:$D$2976)="*",1,IF(LOOKUP(A73+2,Preguntas!$A$1:$A$2976,Preguntas!$D$1:$D$2976)="*",2,IF(LOOKUP(A73+3,Preguntas!$A$1:$A$2976,Preguntas!$D$1:$D$2976)="*",3,IF(LOOKUP(A73+4,Preguntas!$A$1:$A$2976,Preguntas!$D$1:$D$2976)="*",4))))</f>
        <v>4</v>
      </c>
    </row>
    <row r="74" spans="1:2" x14ac:dyDescent="0.25">
      <c r="A74">
        <f t="shared" si="2"/>
        <v>336</v>
      </c>
      <c r="B74">
        <f>+IF(LOOKUP(A74+1,Preguntas!$A$1:$A$2976,Preguntas!$D$1:$D$2976)="*",1,IF(LOOKUP(A74+2,Preguntas!$A$1:$A$2976,Preguntas!$D$1:$D$2976)="*",2,IF(LOOKUP(A74+3,Preguntas!$A$1:$A$2976,Preguntas!$D$1:$D$2976)="*",3,IF(LOOKUP(A74+4,Preguntas!$A$1:$A$2976,Preguntas!$D$1:$D$2976)="*",4))))</f>
        <v>4</v>
      </c>
    </row>
    <row r="75" spans="1:2" x14ac:dyDescent="0.25">
      <c r="A75">
        <f t="shared" si="2"/>
        <v>341</v>
      </c>
      <c r="B75">
        <f>+IF(LOOKUP(A75+1,Preguntas!$A$1:$A$2976,Preguntas!$D$1:$D$2976)="*",1,IF(LOOKUP(A75+2,Preguntas!$A$1:$A$2976,Preguntas!$D$1:$D$2976)="*",2,IF(LOOKUP(A75+3,Preguntas!$A$1:$A$2976,Preguntas!$D$1:$D$2976)="*",3,IF(LOOKUP(A75+4,Preguntas!$A$1:$A$2976,Preguntas!$D$1:$D$2976)="*",4))))</f>
        <v>2</v>
      </c>
    </row>
    <row r="76" spans="1:2" x14ac:dyDescent="0.25">
      <c r="A76">
        <f t="shared" si="2"/>
        <v>346</v>
      </c>
      <c r="B76">
        <f>+IF(LOOKUP(A76+1,Preguntas!$A$1:$A$2976,Preguntas!$D$1:$D$2976)="*",1,IF(LOOKUP(A76+2,Preguntas!$A$1:$A$2976,Preguntas!$D$1:$D$2976)="*",2,IF(LOOKUP(A76+3,Preguntas!$A$1:$A$2976,Preguntas!$D$1:$D$2976)="*",3,IF(LOOKUP(A76+4,Preguntas!$A$1:$A$2976,Preguntas!$D$1:$D$2976)="*",4))))</f>
        <v>1</v>
      </c>
    </row>
    <row r="77" spans="1:2" x14ac:dyDescent="0.25">
      <c r="A77">
        <f t="shared" si="2"/>
        <v>351</v>
      </c>
      <c r="B77">
        <f>+IF(LOOKUP(A77+1,Preguntas!$A$1:$A$2976,Preguntas!$D$1:$D$2976)="*",1,IF(LOOKUP(A77+2,Preguntas!$A$1:$A$2976,Preguntas!$D$1:$D$2976)="*",2,IF(LOOKUP(A77+3,Preguntas!$A$1:$A$2976,Preguntas!$D$1:$D$2976)="*",3,IF(LOOKUP(A77+4,Preguntas!$A$1:$A$2976,Preguntas!$D$1:$D$2976)="*",4))))</f>
        <v>4</v>
      </c>
    </row>
    <row r="78" spans="1:2" x14ac:dyDescent="0.25">
      <c r="A78">
        <f t="shared" si="2"/>
        <v>356</v>
      </c>
      <c r="B78">
        <f>+IF(LOOKUP(A78+1,Preguntas!$A$1:$A$2976,Preguntas!$D$1:$D$2976)="*",1,IF(LOOKUP(A78+2,Preguntas!$A$1:$A$2976,Preguntas!$D$1:$D$2976)="*",2,IF(LOOKUP(A78+3,Preguntas!$A$1:$A$2976,Preguntas!$D$1:$D$2976)="*",3,IF(LOOKUP(A78+4,Preguntas!$A$1:$A$2976,Preguntas!$D$1:$D$2976)="*",4))))</f>
        <v>1</v>
      </c>
    </row>
    <row r="79" spans="1:2" x14ac:dyDescent="0.25">
      <c r="A79">
        <f t="shared" si="2"/>
        <v>361</v>
      </c>
      <c r="B79">
        <f>+IF(LOOKUP(A79+1,Preguntas!$A$1:$A$2976,Preguntas!$D$1:$D$2976)="*",1,IF(LOOKUP(A79+2,Preguntas!$A$1:$A$2976,Preguntas!$D$1:$D$2976)="*",2,IF(LOOKUP(A79+3,Preguntas!$A$1:$A$2976,Preguntas!$D$1:$D$2976)="*",3,IF(LOOKUP(A79+4,Preguntas!$A$1:$A$2976,Preguntas!$D$1:$D$2976)="*",4))))</f>
        <v>3</v>
      </c>
    </row>
    <row r="80" spans="1:2" x14ac:dyDescent="0.25">
      <c r="A80">
        <f t="shared" si="2"/>
        <v>366</v>
      </c>
      <c r="B80">
        <f>+IF(LOOKUP(A80+1,Preguntas!$A$1:$A$2976,Preguntas!$D$1:$D$2976)="*",1,IF(LOOKUP(A80+2,Preguntas!$A$1:$A$2976,Preguntas!$D$1:$D$2976)="*",2,IF(LOOKUP(A80+3,Preguntas!$A$1:$A$2976,Preguntas!$D$1:$D$2976)="*",3,IF(LOOKUP(A80+4,Preguntas!$A$1:$A$2976,Preguntas!$D$1:$D$2976)="*",4))))</f>
        <v>3</v>
      </c>
    </row>
    <row r="81" spans="1:2" x14ac:dyDescent="0.25">
      <c r="A81">
        <f t="shared" si="2"/>
        <v>371</v>
      </c>
      <c r="B81">
        <f>+IF(LOOKUP(A81+1,Preguntas!$A$1:$A$2976,Preguntas!$D$1:$D$2976)="*",1,IF(LOOKUP(A81+2,Preguntas!$A$1:$A$2976,Preguntas!$D$1:$D$2976)="*",2,IF(LOOKUP(A81+3,Preguntas!$A$1:$A$2976,Preguntas!$D$1:$D$2976)="*",3,IF(LOOKUP(A81+4,Preguntas!$A$1:$A$2976,Preguntas!$D$1:$D$2976)="*",4))))</f>
        <v>3</v>
      </c>
    </row>
    <row r="82" spans="1:2" x14ac:dyDescent="0.25">
      <c r="A82">
        <f t="shared" si="2"/>
        <v>376</v>
      </c>
      <c r="B82">
        <f>+IF(LOOKUP(A82+1,Preguntas!$A$1:$A$2976,Preguntas!$D$1:$D$2976)="*",1,IF(LOOKUP(A82+2,Preguntas!$A$1:$A$2976,Preguntas!$D$1:$D$2976)="*",2,IF(LOOKUP(A82+3,Preguntas!$A$1:$A$2976,Preguntas!$D$1:$D$2976)="*",3,IF(LOOKUP(A82+4,Preguntas!$A$1:$A$2976,Preguntas!$D$1:$D$2976)="*",4))))</f>
        <v>2</v>
      </c>
    </row>
    <row r="83" spans="1:2" x14ac:dyDescent="0.25">
      <c r="A83">
        <f t="shared" si="2"/>
        <v>381</v>
      </c>
      <c r="B83">
        <f>+IF(LOOKUP(A83+1,Preguntas!$A$1:$A$2976,Preguntas!$D$1:$D$2976)="*",1,IF(LOOKUP(A83+2,Preguntas!$A$1:$A$2976,Preguntas!$D$1:$D$2976)="*",2,IF(LOOKUP(A83+3,Preguntas!$A$1:$A$2976,Preguntas!$D$1:$D$2976)="*",3,IF(LOOKUP(A83+4,Preguntas!$A$1:$A$2976,Preguntas!$D$1:$D$2976)="*",4))))</f>
        <v>4</v>
      </c>
    </row>
    <row r="84" spans="1:2" x14ac:dyDescent="0.25">
      <c r="A84">
        <f t="shared" si="2"/>
        <v>386</v>
      </c>
      <c r="B84">
        <f>+IF(LOOKUP(A84+1,Preguntas!$A$1:$A$2976,Preguntas!$D$1:$D$2976)="*",1,IF(LOOKUP(A84+2,Preguntas!$A$1:$A$2976,Preguntas!$D$1:$D$2976)="*",2,IF(LOOKUP(A84+3,Preguntas!$A$1:$A$2976,Preguntas!$D$1:$D$2976)="*",3,IF(LOOKUP(A84+4,Preguntas!$A$1:$A$2976,Preguntas!$D$1:$D$2976)="*",4))))</f>
        <v>4</v>
      </c>
    </row>
    <row r="85" spans="1:2" x14ac:dyDescent="0.25">
      <c r="A85">
        <f t="shared" si="2"/>
        <v>391</v>
      </c>
      <c r="B85">
        <f>+IF(LOOKUP(A85+1,Preguntas!$A$1:$A$2976,Preguntas!$D$1:$D$2976)="*",1,IF(LOOKUP(A85+2,Preguntas!$A$1:$A$2976,Preguntas!$D$1:$D$2976)="*",2,IF(LOOKUP(A85+3,Preguntas!$A$1:$A$2976,Preguntas!$D$1:$D$2976)="*",3,IF(LOOKUP(A85+4,Preguntas!$A$1:$A$2976,Preguntas!$D$1:$D$2976)="*",4))))</f>
        <v>2</v>
      </c>
    </row>
    <row r="86" spans="1:2" x14ac:dyDescent="0.25">
      <c r="A86">
        <f t="shared" si="2"/>
        <v>396</v>
      </c>
      <c r="B86">
        <f>+IF(LOOKUP(A86+1,Preguntas!$A$1:$A$2976,Preguntas!$D$1:$D$2976)="*",1,IF(LOOKUP(A86+2,Preguntas!$A$1:$A$2976,Preguntas!$D$1:$D$2976)="*",2,IF(LOOKUP(A86+3,Preguntas!$A$1:$A$2976,Preguntas!$D$1:$D$2976)="*",3,IF(LOOKUP(A86+4,Preguntas!$A$1:$A$2976,Preguntas!$D$1:$D$2976)="*",4))))</f>
        <v>2</v>
      </c>
    </row>
    <row r="87" spans="1:2" x14ac:dyDescent="0.25">
      <c r="A87">
        <f t="shared" si="2"/>
        <v>401</v>
      </c>
      <c r="B87">
        <f>+IF(LOOKUP(A87+1,Preguntas!$A$1:$A$2976,Preguntas!$D$1:$D$2976)="*",1,IF(LOOKUP(A87+2,Preguntas!$A$1:$A$2976,Preguntas!$D$1:$D$2976)="*",2,IF(LOOKUP(A87+3,Preguntas!$A$1:$A$2976,Preguntas!$D$1:$D$2976)="*",3,IF(LOOKUP(A87+4,Preguntas!$A$1:$A$2976,Preguntas!$D$1:$D$2976)="*",4))))</f>
        <v>4</v>
      </c>
    </row>
    <row r="88" spans="1:2" x14ac:dyDescent="0.25">
      <c r="A88">
        <f t="shared" si="2"/>
        <v>406</v>
      </c>
      <c r="B88">
        <f>+IF(LOOKUP(A88+1,Preguntas!$A$1:$A$2976,Preguntas!$D$1:$D$2976)="*",1,IF(LOOKUP(A88+2,Preguntas!$A$1:$A$2976,Preguntas!$D$1:$D$2976)="*",2,IF(LOOKUP(A88+3,Preguntas!$A$1:$A$2976,Preguntas!$D$1:$D$2976)="*",3,IF(LOOKUP(A88+4,Preguntas!$A$1:$A$2976,Preguntas!$D$1:$D$2976)="*",4))))</f>
        <v>4</v>
      </c>
    </row>
    <row r="89" spans="1:2" x14ac:dyDescent="0.25">
      <c r="A89">
        <f t="shared" si="2"/>
        <v>411</v>
      </c>
      <c r="B89">
        <f>+IF(LOOKUP(A89+1,Preguntas!$A$1:$A$2976,Preguntas!$D$1:$D$2976)="*",1,IF(LOOKUP(A89+2,Preguntas!$A$1:$A$2976,Preguntas!$D$1:$D$2976)="*",2,IF(LOOKUP(A89+3,Preguntas!$A$1:$A$2976,Preguntas!$D$1:$D$2976)="*",3,IF(LOOKUP(A89+4,Preguntas!$A$1:$A$2976,Preguntas!$D$1:$D$2976)="*",4))))</f>
        <v>1</v>
      </c>
    </row>
    <row r="90" spans="1:2" x14ac:dyDescent="0.25">
      <c r="A90">
        <f t="shared" si="2"/>
        <v>416</v>
      </c>
      <c r="B90">
        <f>+IF(LOOKUP(A90+1,Preguntas!$A$1:$A$2976,Preguntas!$D$1:$D$2976)="*",1,IF(LOOKUP(A90+2,Preguntas!$A$1:$A$2976,Preguntas!$D$1:$D$2976)="*",2,IF(LOOKUP(A90+3,Preguntas!$A$1:$A$2976,Preguntas!$D$1:$D$2976)="*",3,IF(LOOKUP(A90+4,Preguntas!$A$1:$A$2976,Preguntas!$D$1:$D$2976)="*",4))))</f>
        <v>1</v>
      </c>
    </row>
    <row r="91" spans="1:2" x14ac:dyDescent="0.25">
      <c r="A91">
        <f t="shared" si="2"/>
        <v>421</v>
      </c>
      <c r="B91">
        <f>+IF(LOOKUP(A91+1,Preguntas!$A$1:$A$2976,Preguntas!$D$1:$D$2976)="*",1,IF(LOOKUP(A91+2,Preguntas!$A$1:$A$2976,Preguntas!$D$1:$D$2976)="*",2,IF(LOOKUP(A91+3,Preguntas!$A$1:$A$2976,Preguntas!$D$1:$D$2976)="*",3,IF(LOOKUP(A91+4,Preguntas!$A$1:$A$2976,Preguntas!$D$1:$D$2976)="*",4))))</f>
        <v>3</v>
      </c>
    </row>
    <row r="92" spans="1:2" x14ac:dyDescent="0.25">
      <c r="A92">
        <f t="shared" si="2"/>
        <v>426</v>
      </c>
      <c r="B92">
        <f>+IF(LOOKUP(A92+1,Preguntas!$A$1:$A$2976,Preguntas!$D$1:$D$2976)="*",1,IF(LOOKUP(A92+2,Preguntas!$A$1:$A$2976,Preguntas!$D$1:$D$2976)="*",2,IF(LOOKUP(A92+3,Preguntas!$A$1:$A$2976,Preguntas!$D$1:$D$2976)="*",3,IF(LOOKUP(A92+4,Preguntas!$A$1:$A$2976,Preguntas!$D$1:$D$2976)="*",4))))</f>
        <v>3</v>
      </c>
    </row>
    <row r="93" spans="1:2" x14ac:dyDescent="0.25">
      <c r="A93">
        <f t="shared" si="2"/>
        <v>431</v>
      </c>
      <c r="B93">
        <f>+IF(LOOKUP(A93+1,Preguntas!$A$1:$A$2976,Preguntas!$D$1:$D$2976)="*",1,IF(LOOKUP(A93+2,Preguntas!$A$1:$A$2976,Preguntas!$D$1:$D$2976)="*",2,IF(LOOKUP(A93+3,Preguntas!$A$1:$A$2976,Preguntas!$D$1:$D$2976)="*",3,IF(LOOKUP(A93+4,Preguntas!$A$1:$A$2976,Preguntas!$D$1:$D$2976)="*",4))))</f>
        <v>3</v>
      </c>
    </row>
    <row r="94" spans="1:2" x14ac:dyDescent="0.25">
      <c r="A94">
        <f t="shared" si="2"/>
        <v>436</v>
      </c>
      <c r="B94">
        <f>+IF(LOOKUP(A94+1,Preguntas!$A$1:$A$2976,Preguntas!$D$1:$D$2976)="*",1,IF(LOOKUP(A94+2,Preguntas!$A$1:$A$2976,Preguntas!$D$1:$D$2976)="*",2,IF(LOOKUP(A94+3,Preguntas!$A$1:$A$2976,Preguntas!$D$1:$D$2976)="*",3,IF(LOOKUP(A94+4,Preguntas!$A$1:$A$2976,Preguntas!$D$1:$D$2976)="*",4))))</f>
        <v>1</v>
      </c>
    </row>
    <row r="95" spans="1:2" x14ac:dyDescent="0.25">
      <c r="A95">
        <f t="shared" si="2"/>
        <v>441</v>
      </c>
      <c r="B95">
        <f>+IF(LOOKUP(A95+1,Preguntas!$A$1:$A$2976,Preguntas!$D$1:$D$2976)="*",1,IF(LOOKUP(A95+2,Preguntas!$A$1:$A$2976,Preguntas!$D$1:$D$2976)="*",2,IF(LOOKUP(A95+3,Preguntas!$A$1:$A$2976,Preguntas!$D$1:$D$2976)="*",3,IF(LOOKUP(A95+4,Preguntas!$A$1:$A$2976,Preguntas!$D$1:$D$2976)="*",4))))</f>
        <v>4</v>
      </c>
    </row>
    <row r="96" spans="1:2" x14ac:dyDescent="0.25">
      <c r="A96">
        <f t="shared" si="2"/>
        <v>446</v>
      </c>
      <c r="B96">
        <f>+IF(LOOKUP(A96+1,Preguntas!$A$1:$A$2976,Preguntas!$D$1:$D$2976)="*",1,IF(LOOKUP(A96+2,Preguntas!$A$1:$A$2976,Preguntas!$D$1:$D$2976)="*",2,IF(LOOKUP(A96+3,Preguntas!$A$1:$A$2976,Preguntas!$D$1:$D$2976)="*",3,IF(LOOKUP(A96+4,Preguntas!$A$1:$A$2976,Preguntas!$D$1:$D$2976)="*",4))))</f>
        <v>3</v>
      </c>
    </row>
    <row r="97" spans="1:2" x14ac:dyDescent="0.25">
      <c r="A97">
        <f t="shared" si="2"/>
        <v>451</v>
      </c>
      <c r="B97">
        <f>+IF(LOOKUP(A97+1,Preguntas!$A$1:$A$2976,Preguntas!$D$1:$D$2976)="*",1,IF(LOOKUP(A97+2,Preguntas!$A$1:$A$2976,Preguntas!$D$1:$D$2976)="*",2,IF(LOOKUP(A97+3,Preguntas!$A$1:$A$2976,Preguntas!$D$1:$D$2976)="*",3,IF(LOOKUP(A97+4,Preguntas!$A$1:$A$2976,Preguntas!$D$1:$D$2976)="*",4))))</f>
        <v>3</v>
      </c>
    </row>
    <row r="98" spans="1:2" x14ac:dyDescent="0.25">
      <c r="A98">
        <f t="shared" si="2"/>
        <v>456</v>
      </c>
      <c r="B98">
        <f>+IF(LOOKUP(A98+1,Preguntas!$A$1:$A$2976,Preguntas!$D$1:$D$2976)="*",1,IF(LOOKUP(A98+2,Preguntas!$A$1:$A$2976,Preguntas!$D$1:$D$2976)="*",2,IF(LOOKUP(A98+3,Preguntas!$A$1:$A$2976,Preguntas!$D$1:$D$2976)="*",3,IF(LOOKUP(A98+4,Preguntas!$A$1:$A$2976,Preguntas!$D$1:$D$2976)="*",4))))</f>
        <v>4</v>
      </c>
    </row>
    <row r="99" spans="1:2" x14ac:dyDescent="0.25">
      <c r="A99">
        <f t="shared" si="2"/>
        <v>461</v>
      </c>
      <c r="B99">
        <f>+IF(LOOKUP(A99+1,Preguntas!$A$1:$A$2976,Preguntas!$D$1:$D$2976)="*",1,IF(LOOKUP(A99+2,Preguntas!$A$1:$A$2976,Preguntas!$D$1:$D$2976)="*",2,IF(LOOKUP(A99+3,Preguntas!$A$1:$A$2976,Preguntas!$D$1:$D$2976)="*",3,IF(LOOKUP(A99+4,Preguntas!$A$1:$A$2976,Preguntas!$D$1:$D$2976)="*",4))))</f>
        <v>4</v>
      </c>
    </row>
    <row r="100" spans="1:2" x14ac:dyDescent="0.25">
      <c r="A100">
        <f t="shared" si="2"/>
        <v>466</v>
      </c>
      <c r="B100">
        <f>+IF(LOOKUP(A100+1,Preguntas!$A$1:$A$2976,Preguntas!$D$1:$D$2976)="*",1,IF(LOOKUP(A100+2,Preguntas!$A$1:$A$2976,Preguntas!$D$1:$D$2976)="*",2,IF(LOOKUP(A100+3,Preguntas!$A$1:$A$2976,Preguntas!$D$1:$D$2976)="*",3,IF(LOOKUP(A100+4,Preguntas!$A$1:$A$2976,Preguntas!$D$1:$D$2976)="*",4))))</f>
        <v>4</v>
      </c>
    </row>
    <row r="101" spans="1:2" x14ac:dyDescent="0.25">
      <c r="A101">
        <f t="shared" si="2"/>
        <v>471</v>
      </c>
      <c r="B101">
        <f>+IF(LOOKUP(A101+1,Preguntas!$A$1:$A$2976,Preguntas!$D$1:$D$2976)="*",1,IF(LOOKUP(A101+2,Preguntas!$A$1:$A$2976,Preguntas!$D$1:$D$2976)="*",2,IF(LOOKUP(A101+3,Preguntas!$A$1:$A$2976,Preguntas!$D$1:$D$2976)="*",3,IF(LOOKUP(A101+4,Preguntas!$A$1:$A$2976,Preguntas!$D$1:$D$2976)="*",4))))</f>
        <v>1</v>
      </c>
    </row>
    <row r="102" spans="1:2" x14ac:dyDescent="0.25">
      <c r="A102">
        <f t="shared" si="2"/>
        <v>476</v>
      </c>
      <c r="B102">
        <f>+IF(LOOKUP(A102+1,Preguntas!$A$1:$A$2976,Preguntas!$D$1:$D$2976)="*",1,IF(LOOKUP(A102+2,Preguntas!$A$1:$A$2976,Preguntas!$D$1:$D$2976)="*",2,IF(LOOKUP(A102+3,Preguntas!$A$1:$A$2976,Preguntas!$D$1:$D$2976)="*",3,IF(LOOKUP(A102+4,Preguntas!$A$1:$A$2976,Preguntas!$D$1:$D$2976)="*",4))))</f>
        <v>2</v>
      </c>
    </row>
    <row r="103" spans="1:2" x14ac:dyDescent="0.25">
      <c r="A103">
        <f t="shared" si="2"/>
        <v>481</v>
      </c>
      <c r="B103">
        <f>+IF(LOOKUP(A103+1,Preguntas!$A$1:$A$2976,Preguntas!$D$1:$D$2976)="*",1,IF(LOOKUP(A103+2,Preguntas!$A$1:$A$2976,Preguntas!$D$1:$D$2976)="*",2,IF(LOOKUP(A103+3,Preguntas!$A$1:$A$2976,Preguntas!$D$1:$D$2976)="*",3,IF(LOOKUP(A103+4,Preguntas!$A$1:$A$2976,Preguntas!$D$1:$D$2976)="*",4))))</f>
        <v>3</v>
      </c>
    </row>
    <row r="104" spans="1:2" x14ac:dyDescent="0.25">
      <c r="A104">
        <f t="shared" si="2"/>
        <v>486</v>
      </c>
      <c r="B104">
        <f>+IF(LOOKUP(A104+1,Preguntas!$A$1:$A$2976,Preguntas!$D$1:$D$2976)="*",1,IF(LOOKUP(A104+2,Preguntas!$A$1:$A$2976,Preguntas!$D$1:$D$2976)="*",2,IF(LOOKUP(A104+3,Preguntas!$A$1:$A$2976,Preguntas!$D$1:$D$2976)="*",3,IF(LOOKUP(A104+4,Preguntas!$A$1:$A$2976,Preguntas!$D$1:$D$2976)="*",4))))</f>
        <v>2</v>
      </c>
    </row>
    <row r="105" spans="1:2" x14ac:dyDescent="0.25">
      <c r="A105">
        <f t="shared" si="2"/>
        <v>491</v>
      </c>
      <c r="B105">
        <f>+IF(LOOKUP(A105+1,Preguntas!$A$1:$A$2976,Preguntas!$D$1:$D$2976)="*",1,IF(LOOKUP(A105+2,Preguntas!$A$1:$A$2976,Preguntas!$D$1:$D$2976)="*",2,IF(LOOKUP(A105+3,Preguntas!$A$1:$A$2976,Preguntas!$D$1:$D$2976)="*",3,IF(LOOKUP(A105+4,Preguntas!$A$1:$A$2976,Preguntas!$D$1:$D$2976)="*",4))))</f>
        <v>3</v>
      </c>
    </row>
    <row r="106" spans="1:2" x14ac:dyDescent="0.25">
      <c r="A106">
        <f t="shared" si="2"/>
        <v>496</v>
      </c>
      <c r="B106">
        <f>+IF(LOOKUP(A106+1,Preguntas!$A$1:$A$2976,Preguntas!$D$1:$D$2976)="*",1,IF(LOOKUP(A106+2,Preguntas!$A$1:$A$2976,Preguntas!$D$1:$D$2976)="*",2,IF(LOOKUP(A106+3,Preguntas!$A$1:$A$2976,Preguntas!$D$1:$D$2976)="*",3,IF(LOOKUP(A106+4,Preguntas!$A$1:$A$2976,Preguntas!$D$1:$D$2976)="*",4))))</f>
        <v>3</v>
      </c>
    </row>
    <row r="107" spans="1:2" x14ac:dyDescent="0.25">
      <c r="A107">
        <f t="shared" si="2"/>
        <v>501</v>
      </c>
      <c r="B107">
        <f>+IF(LOOKUP(A107+1,Preguntas!$A$1:$A$2976,Preguntas!$D$1:$D$2976)="*",1,IF(LOOKUP(A107+2,Preguntas!$A$1:$A$2976,Preguntas!$D$1:$D$2976)="*",2,IF(LOOKUP(A107+3,Preguntas!$A$1:$A$2976,Preguntas!$D$1:$D$2976)="*",3,IF(LOOKUP(A107+4,Preguntas!$A$1:$A$2976,Preguntas!$D$1:$D$2976)="*",4))))</f>
        <v>2</v>
      </c>
    </row>
    <row r="108" spans="1:2" x14ac:dyDescent="0.25">
      <c r="A108">
        <f t="shared" si="2"/>
        <v>506</v>
      </c>
      <c r="B108">
        <f>+IF(LOOKUP(A108+1,Preguntas!$A$1:$A$2976,Preguntas!$D$1:$D$2976)="*",1,IF(LOOKUP(A108+2,Preguntas!$A$1:$A$2976,Preguntas!$D$1:$D$2976)="*",2,IF(LOOKUP(A108+3,Preguntas!$A$1:$A$2976,Preguntas!$D$1:$D$2976)="*",3,IF(LOOKUP(A108+4,Preguntas!$A$1:$A$2976,Preguntas!$D$1:$D$2976)="*",4))))</f>
        <v>2</v>
      </c>
    </row>
    <row r="109" spans="1:2" x14ac:dyDescent="0.25">
      <c r="A109">
        <f t="shared" si="2"/>
        <v>511</v>
      </c>
      <c r="B109">
        <f>+IF(LOOKUP(A109+1,Preguntas!$A$1:$A$2976,Preguntas!$D$1:$D$2976)="*",1,IF(LOOKUP(A109+2,Preguntas!$A$1:$A$2976,Preguntas!$D$1:$D$2976)="*",2,IF(LOOKUP(A109+3,Preguntas!$A$1:$A$2976,Preguntas!$D$1:$D$2976)="*",3,IF(LOOKUP(A109+4,Preguntas!$A$1:$A$2976,Preguntas!$D$1:$D$2976)="*",4))))</f>
        <v>3</v>
      </c>
    </row>
    <row r="110" spans="1:2" x14ac:dyDescent="0.25">
      <c r="A110">
        <f t="shared" si="2"/>
        <v>516</v>
      </c>
      <c r="B110">
        <f>+IF(LOOKUP(A110+1,Preguntas!$A$1:$A$2976,Preguntas!$D$1:$D$2976)="*",1,IF(LOOKUP(A110+2,Preguntas!$A$1:$A$2976,Preguntas!$D$1:$D$2976)="*",2,IF(LOOKUP(A110+3,Preguntas!$A$1:$A$2976,Preguntas!$D$1:$D$2976)="*",3,IF(LOOKUP(A110+4,Preguntas!$A$1:$A$2976,Preguntas!$D$1:$D$2976)="*",4))))</f>
        <v>3</v>
      </c>
    </row>
    <row r="111" spans="1:2" x14ac:dyDescent="0.25">
      <c r="A111">
        <f t="shared" si="2"/>
        <v>521</v>
      </c>
      <c r="B111">
        <f>+IF(LOOKUP(A111+1,Preguntas!$A$1:$A$2976,Preguntas!$D$1:$D$2976)="*",1,IF(LOOKUP(A111+2,Preguntas!$A$1:$A$2976,Preguntas!$D$1:$D$2976)="*",2,IF(LOOKUP(A111+3,Preguntas!$A$1:$A$2976,Preguntas!$D$1:$D$2976)="*",3,IF(LOOKUP(A111+4,Preguntas!$A$1:$A$2976,Preguntas!$D$1:$D$2976)="*",4))))</f>
        <v>3</v>
      </c>
    </row>
    <row r="112" spans="1:2" x14ac:dyDescent="0.25">
      <c r="A112">
        <f t="shared" si="2"/>
        <v>526</v>
      </c>
      <c r="B112">
        <f>+IF(LOOKUP(A112+1,Preguntas!$A$1:$A$2976,Preguntas!$D$1:$D$2976)="*",1,IF(LOOKUP(A112+2,Preguntas!$A$1:$A$2976,Preguntas!$D$1:$D$2976)="*",2,IF(LOOKUP(A112+3,Preguntas!$A$1:$A$2976,Preguntas!$D$1:$D$2976)="*",3,IF(LOOKUP(A112+4,Preguntas!$A$1:$A$2976,Preguntas!$D$1:$D$2976)="*",4))))</f>
        <v>3</v>
      </c>
    </row>
    <row r="113" spans="1:2" x14ac:dyDescent="0.25">
      <c r="A113">
        <f t="shared" si="2"/>
        <v>531</v>
      </c>
      <c r="B113">
        <f>+IF(LOOKUP(A113+1,Preguntas!$A$1:$A$2976,Preguntas!$D$1:$D$2976)="*",1,IF(LOOKUP(A113+2,Preguntas!$A$1:$A$2976,Preguntas!$D$1:$D$2976)="*",2,IF(LOOKUP(A113+3,Preguntas!$A$1:$A$2976,Preguntas!$D$1:$D$2976)="*",3,IF(LOOKUP(A113+4,Preguntas!$A$1:$A$2976,Preguntas!$D$1:$D$2976)="*",4))))</f>
        <v>3</v>
      </c>
    </row>
    <row r="114" spans="1:2" x14ac:dyDescent="0.25">
      <c r="A114">
        <f t="shared" si="2"/>
        <v>536</v>
      </c>
      <c r="B114">
        <f>+IF(LOOKUP(A114+1,Preguntas!$A$1:$A$2976,Preguntas!$D$1:$D$2976)="*",1,IF(LOOKUP(A114+2,Preguntas!$A$1:$A$2976,Preguntas!$D$1:$D$2976)="*",2,IF(LOOKUP(A114+3,Preguntas!$A$1:$A$2976,Preguntas!$D$1:$D$2976)="*",3,IF(LOOKUP(A114+4,Preguntas!$A$1:$A$2976,Preguntas!$D$1:$D$2976)="*",4))))</f>
        <v>4</v>
      </c>
    </row>
    <row r="115" spans="1:2" x14ac:dyDescent="0.25">
      <c r="A115">
        <f t="shared" si="2"/>
        <v>541</v>
      </c>
      <c r="B115">
        <f>+IF(LOOKUP(A115+1,Preguntas!$A$1:$A$2976,Preguntas!$D$1:$D$2976)="*",1,IF(LOOKUP(A115+2,Preguntas!$A$1:$A$2976,Preguntas!$D$1:$D$2976)="*",2,IF(LOOKUP(A115+3,Preguntas!$A$1:$A$2976,Preguntas!$D$1:$D$2976)="*",3,IF(LOOKUP(A115+4,Preguntas!$A$1:$A$2976,Preguntas!$D$1:$D$2976)="*",4))))</f>
        <v>2</v>
      </c>
    </row>
    <row r="116" spans="1:2" x14ac:dyDescent="0.25">
      <c r="A116">
        <f t="shared" si="2"/>
        <v>546</v>
      </c>
      <c r="B116">
        <f>+IF(LOOKUP(A116+1,Preguntas!$A$1:$A$2976,Preguntas!$D$1:$D$2976)="*",1,IF(LOOKUP(A116+2,Preguntas!$A$1:$A$2976,Preguntas!$D$1:$D$2976)="*",2,IF(LOOKUP(A116+3,Preguntas!$A$1:$A$2976,Preguntas!$D$1:$D$2976)="*",3,IF(LOOKUP(A116+4,Preguntas!$A$1:$A$2976,Preguntas!$D$1:$D$2976)="*",4))))</f>
        <v>1</v>
      </c>
    </row>
    <row r="117" spans="1:2" x14ac:dyDescent="0.25">
      <c r="A117">
        <f t="shared" si="2"/>
        <v>551</v>
      </c>
      <c r="B117">
        <f>+IF(LOOKUP(A117+1,Preguntas!$A$1:$A$2976,Preguntas!$D$1:$D$2976)="*",1,IF(LOOKUP(A117+2,Preguntas!$A$1:$A$2976,Preguntas!$D$1:$D$2976)="*",2,IF(LOOKUP(A117+3,Preguntas!$A$1:$A$2976,Preguntas!$D$1:$D$2976)="*",3,IF(LOOKUP(A117+4,Preguntas!$A$1:$A$2976,Preguntas!$D$1:$D$2976)="*",4))))</f>
        <v>4</v>
      </c>
    </row>
    <row r="118" spans="1:2" x14ac:dyDescent="0.25">
      <c r="A118">
        <f t="shared" si="2"/>
        <v>556</v>
      </c>
      <c r="B118">
        <f>+IF(LOOKUP(A118+1,Preguntas!$A$1:$A$2976,Preguntas!$D$1:$D$2976)="*",1,IF(LOOKUP(A118+2,Preguntas!$A$1:$A$2976,Preguntas!$D$1:$D$2976)="*",2,IF(LOOKUP(A118+3,Preguntas!$A$1:$A$2976,Preguntas!$D$1:$D$2976)="*",3,IF(LOOKUP(A118+4,Preguntas!$A$1:$A$2976,Preguntas!$D$1:$D$2976)="*",4))))</f>
        <v>1</v>
      </c>
    </row>
    <row r="119" spans="1:2" x14ac:dyDescent="0.25">
      <c r="A119">
        <f t="shared" si="2"/>
        <v>561</v>
      </c>
      <c r="B119">
        <f>+IF(LOOKUP(A119+1,Preguntas!$A$1:$A$2976,Preguntas!$D$1:$D$2976)="*",1,IF(LOOKUP(A119+2,Preguntas!$A$1:$A$2976,Preguntas!$D$1:$D$2976)="*",2,IF(LOOKUP(A119+3,Preguntas!$A$1:$A$2976,Preguntas!$D$1:$D$2976)="*",3,IF(LOOKUP(A119+4,Preguntas!$A$1:$A$2976,Preguntas!$D$1:$D$2976)="*",4))))</f>
        <v>4</v>
      </c>
    </row>
    <row r="120" spans="1:2" x14ac:dyDescent="0.25">
      <c r="A120">
        <f t="shared" si="2"/>
        <v>566</v>
      </c>
      <c r="B120">
        <f>+IF(LOOKUP(A120+1,Preguntas!$A$1:$A$2976,Preguntas!$D$1:$D$2976)="*",1,IF(LOOKUP(A120+2,Preguntas!$A$1:$A$2976,Preguntas!$D$1:$D$2976)="*",2,IF(LOOKUP(A120+3,Preguntas!$A$1:$A$2976,Preguntas!$D$1:$D$2976)="*",3,IF(LOOKUP(A120+4,Preguntas!$A$1:$A$2976,Preguntas!$D$1:$D$2976)="*",4))))</f>
        <v>1</v>
      </c>
    </row>
    <row r="121" spans="1:2" x14ac:dyDescent="0.25">
      <c r="A121">
        <f t="shared" si="2"/>
        <v>571</v>
      </c>
      <c r="B121">
        <f>+IF(LOOKUP(A121+1,Preguntas!$A$1:$A$2976,Preguntas!$D$1:$D$2976)="*",1,IF(LOOKUP(A121+2,Preguntas!$A$1:$A$2976,Preguntas!$D$1:$D$2976)="*",2,IF(LOOKUP(A121+3,Preguntas!$A$1:$A$2976,Preguntas!$D$1:$D$2976)="*",3,IF(LOOKUP(A121+4,Preguntas!$A$1:$A$2976,Preguntas!$D$1:$D$2976)="*",4))))</f>
        <v>3</v>
      </c>
    </row>
    <row r="122" spans="1:2" x14ac:dyDescent="0.25">
      <c r="A122">
        <f t="shared" si="2"/>
        <v>576</v>
      </c>
      <c r="B122">
        <f>+IF(LOOKUP(A122+1,Preguntas!$A$1:$A$2976,Preguntas!$D$1:$D$2976)="*",1,IF(LOOKUP(A122+2,Preguntas!$A$1:$A$2976,Preguntas!$D$1:$D$2976)="*",2,IF(LOOKUP(A122+3,Preguntas!$A$1:$A$2976,Preguntas!$D$1:$D$2976)="*",3,IF(LOOKUP(A122+4,Preguntas!$A$1:$A$2976,Preguntas!$D$1:$D$2976)="*",4))))</f>
        <v>2</v>
      </c>
    </row>
    <row r="123" spans="1:2" x14ac:dyDescent="0.25">
      <c r="A123">
        <f t="shared" si="2"/>
        <v>581</v>
      </c>
      <c r="B123">
        <f>+IF(LOOKUP(A123+1,Preguntas!$A$1:$A$2976,Preguntas!$D$1:$D$2976)="*",1,IF(LOOKUP(A123+2,Preguntas!$A$1:$A$2976,Preguntas!$D$1:$D$2976)="*",2,IF(LOOKUP(A123+3,Preguntas!$A$1:$A$2976,Preguntas!$D$1:$D$2976)="*",3,IF(LOOKUP(A123+4,Preguntas!$A$1:$A$2976,Preguntas!$D$1:$D$2976)="*",4))))</f>
        <v>2</v>
      </c>
    </row>
    <row r="124" spans="1:2" x14ac:dyDescent="0.25">
      <c r="A124">
        <f t="shared" si="2"/>
        <v>586</v>
      </c>
      <c r="B124">
        <f>+IF(LOOKUP(A124+1,Preguntas!$A$1:$A$2976,Preguntas!$D$1:$D$2976)="*",1,IF(LOOKUP(A124+2,Preguntas!$A$1:$A$2976,Preguntas!$D$1:$D$2976)="*",2,IF(LOOKUP(A124+3,Preguntas!$A$1:$A$2976,Preguntas!$D$1:$D$2976)="*",3,IF(LOOKUP(A124+4,Preguntas!$A$1:$A$2976,Preguntas!$D$1:$D$2976)="*",4))))</f>
        <v>4</v>
      </c>
    </row>
    <row r="125" spans="1:2" x14ac:dyDescent="0.25">
      <c r="A125">
        <f t="shared" si="2"/>
        <v>591</v>
      </c>
      <c r="B125">
        <f>+IF(LOOKUP(A125+1,Preguntas!$A$1:$A$2976,Preguntas!$D$1:$D$2976)="*",1,IF(LOOKUP(A125+2,Preguntas!$A$1:$A$2976,Preguntas!$D$1:$D$2976)="*",2,IF(LOOKUP(A125+3,Preguntas!$A$1:$A$2976,Preguntas!$D$1:$D$2976)="*",3,IF(LOOKUP(A125+4,Preguntas!$A$1:$A$2976,Preguntas!$D$1:$D$2976)="*",4))))</f>
        <v>2</v>
      </c>
    </row>
    <row r="126" spans="1:2" x14ac:dyDescent="0.25">
      <c r="A126">
        <f t="shared" si="2"/>
        <v>596</v>
      </c>
      <c r="B126">
        <f>+IF(LOOKUP(A126+1,Preguntas!$A$1:$A$2976,Preguntas!$D$1:$D$2976)="*",1,IF(LOOKUP(A126+2,Preguntas!$A$1:$A$2976,Preguntas!$D$1:$D$2976)="*",2,IF(LOOKUP(A126+3,Preguntas!$A$1:$A$2976,Preguntas!$D$1:$D$2976)="*",3,IF(LOOKUP(A126+4,Preguntas!$A$1:$A$2976,Preguntas!$D$1:$D$2976)="*",4))))</f>
        <v>1</v>
      </c>
    </row>
    <row r="127" spans="1:2" x14ac:dyDescent="0.25">
      <c r="A127">
        <f t="shared" si="2"/>
        <v>601</v>
      </c>
      <c r="B127">
        <f>+IF(LOOKUP(A127+1,Preguntas!$A$1:$A$2976,Preguntas!$D$1:$D$2976)="*",1,IF(LOOKUP(A127+2,Preguntas!$A$1:$A$2976,Preguntas!$D$1:$D$2976)="*",2,IF(LOOKUP(A127+3,Preguntas!$A$1:$A$2976,Preguntas!$D$1:$D$2976)="*",3,IF(LOOKUP(A127+4,Preguntas!$A$1:$A$2976,Preguntas!$D$1:$D$2976)="*",4))))</f>
        <v>3</v>
      </c>
    </row>
    <row r="128" spans="1:2" x14ac:dyDescent="0.25">
      <c r="A128">
        <f t="shared" si="2"/>
        <v>606</v>
      </c>
      <c r="B128">
        <f>+IF(LOOKUP(A128+1,Preguntas!$A$1:$A$2976,Preguntas!$D$1:$D$2976)="*",1,IF(LOOKUP(A128+2,Preguntas!$A$1:$A$2976,Preguntas!$D$1:$D$2976)="*",2,IF(LOOKUP(A128+3,Preguntas!$A$1:$A$2976,Preguntas!$D$1:$D$2976)="*",3,IF(LOOKUP(A128+4,Preguntas!$A$1:$A$2976,Preguntas!$D$1:$D$2976)="*",4))))</f>
        <v>1</v>
      </c>
    </row>
    <row r="129" spans="1:2" x14ac:dyDescent="0.25">
      <c r="A129">
        <f t="shared" si="2"/>
        <v>611</v>
      </c>
      <c r="B129">
        <f>+IF(LOOKUP(A129+1,Preguntas!$A$1:$A$2976,Preguntas!$D$1:$D$2976)="*",1,IF(LOOKUP(A129+2,Preguntas!$A$1:$A$2976,Preguntas!$D$1:$D$2976)="*",2,IF(LOOKUP(A129+3,Preguntas!$A$1:$A$2976,Preguntas!$D$1:$D$2976)="*",3,IF(LOOKUP(A129+4,Preguntas!$A$1:$A$2976,Preguntas!$D$1:$D$2976)="*",4))))</f>
        <v>2</v>
      </c>
    </row>
    <row r="130" spans="1:2" x14ac:dyDescent="0.25">
      <c r="A130">
        <f t="shared" si="2"/>
        <v>616</v>
      </c>
      <c r="B130">
        <f>+IF(LOOKUP(A130+1,Preguntas!$A$1:$A$2976,Preguntas!$D$1:$D$2976)="*",1,IF(LOOKUP(A130+2,Preguntas!$A$1:$A$2976,Preguntas!$D$1:$D$2976)="*",2,IF(LOOKUP(A130+3,Preguntas!$A$1:$A$2976,Preguntas!$D$1:$D$2976)="*",3,IF(LOOKUP(A130+4,Preguntas!$A$1:$A$2976,Preguntas!$D$1:$D$2976)="*",4))))</f>
        <v>4</v>
      </c>
    </row>
    <row r="131" spans="1:2" x14ac:dyDescent="0.25">
      <c r="A131">
        <f t="shared" si="2"/>
        <v>621</v>
      </c>
      <c r="B131">
        <f>+IF(LOOKUP(A131+1,Preguntas!$A$1:$A$2976,Preguntas!$D$1:$D$2976)="*",1,IF(LOOKUP(A131+2,Preguntas!$A$1:$A$2976,Preguntas!$D$1:$D$2976)="*",2,IF(LOOKUP(A131+3,Preguntas!$A$1:$A$2976,Preguntas!$D$1:$D$2976)="*",3,IF(LOOKUP(A131+4,Preguntas!$A$1:$A$2976,Preguntas!$D$1:$D$2976)="*",4))))</f>
        <v>1</v>
      </c>
    </row>
    <row r="132" spans="1:2" x14ac:dyDescent="0.25">
      <c r="A132">
        <f t="shared" si="2"/>
        <v>626</v>
      </c>
      <c r="B132">
        <f>+IF(LOOKUP(A132+1,Preguntas!$A$1:$A$2976,Preguntas!$D$1:$D$2976)="*",1,IF(LOOKUP(A132+2,Preguntas!$A$1:$A$2976,Preguntas!$D$1:$D$2976)="*",2,IF(LOOKUP(A132+3,Preguntas!$A$1:$A$2976,Preguntas!$D$1:$D$2976)="*",3,IF(LOOKUP(A132+4,Preguntas!$A$1:$A$2976,Preguntas!$D$1:$D$2976)="*",4))))</f>
        <v>1</v>
      </c>
    </row>
    <row r="133" spans="1:2" x14ac:dyDescent="0.25">
      <c r="A133">
        <f t="shared" si="2"/>
        <v>631</v>
      </c>
      <c r="B133">
        <f>+IF(LOOKUP(A133+1,Preguntas!$A$1:$A$2976,Preguntas!$D$1:$D$2976)="*",1,IF(LOOKUP(A133+2,Preguntas!$A$1:$A$2976,Preguntas!$D$1:$D$2976)="*",2,IF(LOOKUP(A133+3,Preguntas!$A$1:$A$2976,Preguntas!$D$1:$D$2976)="*",3,IF(LOOKUP(A133+4,Preguntas!$A$1:$A$2976,Preguntas!$D$1:$D$2976)="*",4))))</f>
        <v>3</v>
      </c>
    </row>
    <row r="134" spans="1:2" x14ac:dyDescent="0.25">
      <c r="A134">
        <f t="shared" si="2"/>
        <v>636</v>
      </c>
      <c r="B134">
        <f>+IF(LOOKUP(A134+1,Preguntas!$A$1:$A$2976,Preguntas!$D$1:$D$2976)="*",1,IF(LOOKUP(A134+2,Preguntas!$A$1:$A$2976,Preguntas!$D$1:$D$2976)="*",2,IF(LOOKUP(A134+3,Preguntas!$A$1:$A$2976,Preguntas!$D$1:$D$2976)="*",3,IF(LOOKUP(A134+4,Preguntas!$A$1:$A$2976,Preguntas!$D$1:$D$2976)="*",4))))</f>
        <v>3</v>
      </c>
    </row>
    <row r="135" spans="1:2" x14ac:dyDescent="0.25">
      <c r="A135">
        <f t="shared" si="2"/>
        <v>641</v>
      </c>
      <c r="B135">
        <f>+IF(LOOKUP(A135+1,Preguntas!$A$1:$A$2976,Preguntas!$D$1:$D$2976)="*",1,IF(LOOKUP(A135+2,Preguntas!$A$1:$A$2976,Preguntas!$D$1:$D$2976)="*",2,IF(LOOKUP(A135+3,Preguntas!$A$1:$A$2976,Preguntas!$D$1:$D$2976)="*",3,IF(LOOKUP(A135+4,Preguntas!$A$1:$A$2976,Preguntas!$D$1:$D$2976)="*",4))))</f>
        <v>4</v>
      </c>
    </row>
    <row r="136" spans="1:2" x14ac:dyDescent="0.25">
      <c r="A136">
        <f t="shared" si="2"/>
        <v>646</v>
      </c>
      <c r="B136">
        <f>+IF(LOOKUP(A136+1,Preguntas!$A$1:$A$2976,Preguntas!$D$1:$D$2976)="*",1,IF(LOOKUP(A136+2,Preguntas!$A$1:$A$2976,Preguntas!$D$1:$D$2976)="*",2,IF(LOOKUP(A136+3,Preguntas!$A$1:$A$2976,Preguntas!$D$1:$D$2976)="*",3,IF(LOOKUP(A136+4,Preguntas!$A$1:$A$2976,Preguntas!$D$1:$D$2976)="*",4))))</f>
        <v>4</v>
      </c>
    </row>
    <row r="137" spans="1:2" x14ac:dyDescent="0.25">
      <c r="A137">
        <f t="shared" ref="A137:A200" si="3">+A136+5</f>
        <v>651</v>
      </c>
      <c r="B137">
        <f>+IF(LOOKUP(A137+1,Preguntas!$A$1:$A$2976,Preguntas!$D$1:$D$2976)="*",1,IF(LOOKUP(A137+2,Preguntas!$A$1:$A$2976,Preguntas!$D$1:$D$2976)="*",2,IF(LOOKUP(A137+3,Preguntas!$A$1:$A$2976,Preguntas!$D$1:$D$2976)="*",3,IF(LOOKUP(A137+4,Preguntas!$A$1:$A$2976,Preguntas!$D$1:$D$2976)="*",4))))</f>
        <v>2</v>
      </c>
    </row>
    <row r="138" spans="1:2" x14ac:dyDescent="0.25">
      <c r="A138">
        <f t="shared" si="3"/>
        <v>656</v>
      </c>
      <c r="B138">
        <f>+IF(LOOKUP(A138+1,Preguntas!$A$1:$A$2976,Preguntas!$D$1:$D$2976)="*",1,IF(LOOKUP(A138+2,Preguntas!$A$1:$A$2976,Preguntas!$D$1:$D$2976)="*",2,IF(LOOKUP(A138+3,Preguntas!$A$1:$A$2976,Preguntas!$D$1:$D$2976)="*",3,IF(LOOKUP(A138+4,Preguntas!$A$1:$A$2976,Preguntas!$D$1:$D$2976)="*",4))))</f>
        <v>3</v>
      </c>
    </row>
    <row r="139" spans="1:2" x14ac:dyDescent="0.25">
      <c r="A139">
        <f t="shared" si="3"/>
        <v>661</v>
      </c>
      <c r="B139">
        <f>+IF(LOOKUP(A139+1,Preguntas!$A$1:$A$2976,Preguntas!$D$1:$D$2976)="*",1,IF(LOOKUP(A139+2,Preguntas!$A$1:$A$2976,Preguntas!$D$1:$D$2976)="*",2,IF(LOOKUP(A139+3,Preguntas!$A$1:$A$2976,Preguntas!$D$1:$D$2976)="*",3,IF(LOOKUP(A139+4,Preguntas!$A$1:$A$2976,Preguntas!$D$1:$D$2976)="*",4))))</f>
        <v>2</v>
      </c>
    </row>
    <row r="140" spans="1:2" x14ac:dyDescent="0.25">
      <c r="A140">
        <f t="shared" si="3"/>
        <v>666</v>
      </c>
      <c r="B140">
        <f>+IF(LOOKUP(A140+1,Preguntas!$A$1:$A$2976,Preguntas!$D$1:$D$2976)="*",1,IF(LOOKUP(A140+2,Preguntas!$A$1:$A$2976,Preguntas!$D$1:$D$2976)="*",2,IF(LOOKUP(A140+3,Preguntas!$A$1:$A$2976,Preguntas!$D$1:$D$2976)="*",3,IF(LOOKUP(A140+4,Preguntas!$A$1:$A$2976,Preguntas!$D$1:$D$2976)="*",4))))</f>
        <v>1</v>
      </c>
    </row>
    <row r="141" spans="1:2" x14ac:dyDescent="0.25">
      <c r="A141">
        <f t="shared" si="3"/>
        <v>671</v>
      </c>
      <c r="B141">
        <f>+IF(LOOKUP(A141+1,Preguntas!$A$1:$A$2976,Preguntas!$D$1:$D$2976)="*",1,IF(LOOKUP(A141+2,Preguntas!$A$1:$A$2976,Preguntas!$D$1:$D$2976)="*",2,IF(LOOKUP(A141+3,Preguntas!$A$1:$A$2976,Preguntas!$D$1:$D$2976)="*",3,IF(LOOKUP(A141+4,Preguntas!$A$1:$A$2976,Preguntas!$D$1:$D$2976)="*",4))))</f>
        <v>4</v>
      </c>
    </row>
    <row r="142" spans="1:2" x14ac:dyDescent="0.25">
      <c r="A142">
        <f t="shared" si="3"/>
        <v>676</v>
      </c>
      <c r="B142">
        <f>+IF(LOOKUP(A142+1,Preguntas!$A$1:$A$2976,Preguntas!$D$1:$D$2976)="*",1,IF(LOOKUP(A142+2,Preguntas!$A$1:$A$2976,Preguntas!$D$1:$D$2976)="*",2,IF(LOOKUP(A142+3,Preguntas!$A$1:$A$2976,Preguntas!$D$1:$D$2976)="*",3,IF(LOOKUP(A142+4,Preguntas!$A$1:$A$2976,Preguntas!$D$1:$D$2976)="*",4))))</f>
        <v>3</v>
      </c>
    </row>
    <row r="143" spans="1:2" x14ac:dyDescent="0.25">
      <c r="A143">
        <f t="shared" si="3"/>
        <v>681</v>
      </c>
      <c r="B143">
        <f>+IF(LOOKUP(A143+1,Preguntas!$A$1:$A$2976,Preguntas!$D$1:$D$2976)="*",1,IF(LOOKUP(A143+2,Preguntas!$A$1:$A$2976,Preguntas!$D$1:$D$2976)="*",2,IF(LOOKUP(A143+3,Preguntas!$A$1:$A$2976,Preguntas!$D$1:$D$2976)="*",3,IF(LOOKUP(A143+4,Preguntas!$A$1:$A$2976,Preguntas!$D$1:$D$2976)="*",4))))</f>
        <v>4</v>
      </c>
    </row>
    <row r="144" spans="1:2" x14ac:dyDescent="0.25">
      <c r="A144">
        <f t="shared" si="3"/>
        <v>686</v>
      </c>
      <c r="B144">
        <f>+IF(LOOKUP(A144+1,Preguntas!$A$1:$A$2976,Preguntas!$D$1:$D$2976)="*",1,IF(LOOKUP(A144+2,Preguntas!$A$1:$A$2976,Preguntas!$D$1:$D$2976)="*",2,IF(LOOKUP(A144+3,Preguntas!$A$1:$A$2976,Preguntas!$D$1:$D$2976)="*",3,IF(LOOKUP(A144+4,Preguntas!$A$1:$A$2976,Preguntas!$D$1:$D$2976)="*",4))))</f>
        <v>4</v>
      </c>
    </row>
    <row r="145" spans="1:2" x14ac:dyDescent="0.25">
      <c r="A145">
        <f t="shared" si="3"/>
        <v>691</v>
      </c>
      <c r="B145">
        <f>+IF(LOOKUP(A145+1,Preguntas!$A$1:$A$2976,Preguntas!$D$1:$D$2976)="*",1,IF(LOOKUP(A145+2,Preguntas!$A$1:$A$2976,Preguntas!$D$1:$D$2976)="*",2,IF(LOOKUP(A145+3,Preguntas!$A$1:$A$2976,Preguntas!$D$1:$D$2976)="*",3,IF(LOOKUP(A145+4,Preguntas!$A$1:$A$2976,Preguntas!$D$1:$D$2976)="*",4))))</f>
        <v>2</v>
      </c>
    </row>
    <row r="146" spans="1:2" x14ac:dyDescent="0.25">
      <c r="A146">
        <f t="shared" si="3"/>
        <v>696</v>
      </c>
      <c r="B146">
        <f>+IF(LOOKUP(A146+1,Preguntas!$A$1:$A$2976,Preguntas!$D$1:$D$2976)="*",1,IF(LOOKUP(A146+2,Preguntas!$A$1:$A$2976,Preguntas!$D$1:$D$2976)="*",2,IF(LOOKUP(A146+3,Preguntas!$A$1:$A$2976,Preguntas!$D$1:$D$2976)="*",3,IF(LOOKUP(A146+4,Preguntas!$A$1:$A$2976,Preguntas!$D$1:$D$2976)="*",4))))</f>
        <v>2</v>
      </c>
    </row>
    <row r="147" spans="1:2" x14ac:dyDescent="0.25">
      <c r="A147">
        <f t="shared" si="3"/>
        <v>701</v>
      </c>
      <c r="B147">
        <f>+IF(LOOKUP(A147+1,Preguntas!$A$1:$A$2976,Preguntas!$D$1:$D$2976)="*",1,IF(LOOKUP(A147+2,Preguntas!$A$1:$A$2976,Preguntas!$D$1:$D$2976)="*",2,IF(LOOKUP(A147+3,Preguntas!$A$1:$A$2976,Preguntas!$D$1:$D$2976)="*",3,IF(LOOKUP(A147+4,Preguntas!$A$1:$A$2976,Preguntas!$D$1:$D$2976)="*",4))))</f>
        <v>3</v>
      </c>
    </row>
    <row r="148" spans="1:2" x14ac:dyDescent="0.25">
      <c r="A148">
        <f t="shared" si="3"/>
        <v>706</v>
      </c>
      <c r="B148">
        <f>+IF(LOOKUP(A148+1,Preguntas!$A$1:$A$2976,Preguntas!$D$1:$D$2976)="*",1,IF(LOOKUP(A148+2,Preguntas!$A$1:$A$2976,Preguntas!$D$1:$D$2976)="*",2,IF(LOOKUP(A148+3,Preguntas!$A$1:$A$2976,Preguntas!$D$1:$D$2976)="*",3,IF(LOOKUP(A148+4,Preguntas!$A$1:$A$2976,Preguntas!$D$1:$D$2976)="*",4))))</f>
        <v>1</v>
      </c>
    </row>
    <row r="149" spans="1:2" x14ac:dyDescent="0.25">
      <c r="A149">
        <f t="shared" si="3"/>
        <v>711</v>
      </c>
      <c r="B149">
        <f>+IF(LOOKUP(A149+1,Preguntas!$A$1:$A$2976,Preguntas!$D$1:$D$2976)="*",1,IF(LOOKUP(A149+2,Preguntas!$A$1:$A$2976,Preguntas!$D$1:$D$2976)="*",2,IF(LOOKUP(A149+3,Preguntas!$A$1:$A$2976,Preguntas!$D$1:$D$2976)="*",3,IF(LOOKUP(A149+4,Preguntas!$A$1:$A$2976,Preguntas!$D$1:$D$2976)="*",4))))</f>
        <v>4</v>
      </c>
    </row>
    <row r="150" spans="1:2" x14ac:dyDescent="0.25">
      <c r="A150">
        <f t="shared" si="3"/>
        <v>716</v>
      </c>
      <c r="B150">
        <f>+IF(LOOKUP(A150+1,Preguntas!$A$1:$A$2976,Preguntas!$D$1:$D$2976)="*",1,IF(LOOKUP(A150+2,Preguntas!$A$1:$A$2976,Preguntas!$D$1:$D$2976)="*",2,IF(LOOKUP(A150+3,Preguntas!$A$1:$A$2976,Preguntas!$D$1:$D$2976)="*",3,IF(LOOKUP(A150+4,Preguntas!$A$1:$A$2976,Preguntas!$D$1:$D$2976)="*",4))))</f>
        <v>2</v>
      </c>
    </row>
    <row r="151" spans="1:2" x14ac:dyDescent="0.25">
      <c r="A151">
        <f t="shared" si="3"/>
        <v>721</v>
      </c>
      <c r="B151">
        <f>+IF(LOOKUP(A151+1,Preguntas!$A$1:$A$2976,Preguntas!$D$1:$D$2976)="*",1,IF(LOOKUP(A151+2,Preguntas!$A$1:$A$2976,Preguntas!$D$1:$D$2976)="*",2,IF(LOOKUP(A151+3,Preguntas!$A$1:$A$2976,Preguntas!$D$1:$D$2976)="*",3,IF(LOOKUP(A151+4,Preguntas!$A$1:$A$2976,Preguntas!$D$1:$D$2976)="*",4))))</f>
        <v>3</v>
      </c>
    </row>
    <row r="152" spans="1:2" x14ac:dyDescent="0.25">
      <c r="A152">
        <f t="shared" si="3"/>
        <v>726</v>
      </c>
      <c r="B152">
        <f>+IF(LOOKUP(A152+1,Preguntas!$A$1:$A$2976,Preguntas!$D$1:$D$2976)="*",1,IF(LOOKUP(A152+2,Preguntas!$A$1:$A$2976,Preguntas!$D$1:$D$2976)="*",2,IF(LOOKUP(A152+3,Preguntas!$A$1:$A$2976,Preguntas!$D$1:$D$2976)="*",3,IF(LOOKUP(A152+4,Preguntas!$A$1:$A$2976,Preguntas!$D$1:$D$2976)="*",4))))</f>
        <v>2</v>
      </c>
    </row>
    <row r="153" spans="1:2" x14ac:dyDescent="0.25">
      <c r="A153">
        <f t="shared" si="3"/>
        <v>731</v>
      </c>
      <c r="B153">
        <f>+IF(LOOKUP(A153+1,Preguntas!$A$1:$A$2976,Preguntas!$D$1:$D$2976)="*",1,IF(LOOKUP(A153+2,Preguntas!$A$1:$A$2976,Preguntas!$D$1:$D$2976)="*",2,IF(LOOKUP(A153+3,Preguntas!$A$1:$A$2976,Preguntas!$D$1:$D$2976)="*",3,IF(LOOKUP(A153+4,Preguntas!$A$1:$A$2976,Preguntas!$D$1:$D$2976)="*",4))))</f>
        <v>2</v>
      </c>
    </row>
    <row r="154" spans="1:2" x14ac:dyDescent="0.25">
      <c r="A154">
        <f t="shared" si="3"/>
        <v>736</v>
      </c>
      <c r="B154">
        <f>+IF(LOOKUP(A154+1,Preguntas!$A$1:$A$2976,Preguntas!$D$1:$D$2976)="*",1,IF(LOOKUP(A154+2,Preguntas!$A$1:$A$2976,Preguntas!$D$1:$D$2976)="*",2,IF(LOOKUP(A154+3,Preguntas!$A$1:$A$2976,Preguntas!$D$1:$D$2976)="*",3,IF(LOOKUP(A154+4,Preguntas!$A$1:$A$2976,Preguntas!$D$1:$D$2976)="*",4))))</f>
        <v>3</v>
      </c>
    </row>
    <row r="155" spans="1:2" x14ac:dyDescent="0.25">
      <c r="A155">
        <f t="shared" si="3"/>
        <v>741</v>
      </c>
      <c r="B155">
        <f>+IF(LOOKUP(A155+1,Preguntas!$A$1:$A$2976,Preguntas!$D$1:$D$2976)="*",1,IF(LOOKUP(A155+2,Preguntas!$A$1:$A$2976,Preguntas!$D$1:$D$2976)="*",2,IF(LOOKUP(A155+3,Preguntas!$A$1:$A$2976,Preguntas!$D$1:$D$2976)="*",3,IF(LOOKUP(A155+4,Preguntas!$A$1:$A$2976,Preguntas!$D$1:$D$2976)="*",4))))</f>
        <v>4</v>
      </c>
    </row>
    <row r="156" spans="1:2" x14ac:dyDescent="0.25">
      <c r="A156">
        <f t="shared" si="3"/>
        <v>746</v>
      </c>
      <c r="B156">
        <f>+IF(LOOKUP(A156+1,Preguntas!$A$1:$A$2976,Preguntas!$D$1:$D$2976)="*",1,IF(LOOKUP(A156+2,Preguntas!$A$1:$A$2976,Preguntas!$D$1:$D$2976)="*",2,IF(LOOKUP(A156+3,Preguntas!$A$1:$A$2976,Preguntas!$D$1:$D$2976)="*",3,IF(LOOKUP(A156+4,Preguntas!$A$1:$A$2976,Preguntas!$D$1:$D$2976)="*",4))))</f>
        <v>1</v>
      </c>
    </row>
    <row r="157" spans="1:2" x14ac:dyDescent="0.25">
      <c r="A157">
        <f t="shared" si="3"/>
        <v>751</v>
      </c>
      <c r="B157">
        <f>+IF(LOOKUP(A157+1,Preguntas!$A$1:$A$2976,Preguntas!$D$1:$D$2976)="*",1,IF(LOOKUP(A157+2,Preguntas!$A$1:$A$2976,Preguntas!$D$1:$D$2976)="*",2,IF(LOOKUP(A157+3,Preguntas!$A$1:$A$2976,Preguntas!$D$1:$D$2976)="*",3,IF(LOOKUP(A157+4,Preguntas!$A$1:$A$2976,Preguntas!$D$1:$D$2976)="*",4))))</f>
        <v>3</v>
      </c>
    </row>
    <row r="158" spans="1:2" x14ac:dyDescent="0.25">
      <c r="A158">
        <f t="shared" si="3"/>
        <v>756</v>
      </c>
      <c r="B158">
        <f>+IF(LOOKUP(A158+1,Preguntas!$A$1:$A$2976,Preguntas!$D$1:$D$2976)="*",1,IF(LOOKUP(A158+2,Preguntas!$A$1:$A$2976,Preguntas!$D$1:$D$2976)="*",2,IF(LOOKUP(A158+3,Preguntas!$A$1:$A$2976,Preguntas!$D$1:$D$2976)="*",3,IF(LOOKUP(A158+4,Preguntas!$A$1:$A$2976,Preguntas!$D$1:$D$2976)="*",4))))</f>
        <v>1</v>
      </c>
    </row>
    <row r="159" spans="1:2" x14ac:dyDescent="0.25">
      <c r="A159">
        <f t="shared" si="3"/>
        <v>761</v>
      </c>
      <c r="B159">
        <f>+IF(LOOKUP(A159+1,Preguntas!$A$1:$A$2976,Preguntas!$D$1:$D$2976)="*",1,IF(LOOKUP(A159+2,Preguntas!$A$1:$A$2976,Preguntas!$D$1:$D$2976)="*",2,IF(LOOKUP(A159+3,Preguntas!$A$1:$A$2976,Preguntas!$D$1:$D$2976)="*",3,IF(LOOKUP(A159+4,Preguntas!$A$1:$A$2976,Preguntas!$D$1:$D$2976)="*",4))))</f>
        <v>3</v>
      </c>
    </row>
    <row r="160" spans="1:2" x14ac:dyDescent="0.25">
      <c r="A160">
        <f t="shared" si="3"/>
        <v>766</v>
      </c>
      <c r="B160">
        <f>+IF(LOOKUP(A160+1,Preguntas!$A$1:$A$2976,Preguntas!$D$1:$D$2976)="*",1,IF(LOOKUP(A160+2,Preguntas!$A$1:$A$2976,Preguntas!$D$1:$D$2976)="*",2,IF(LOOKUP(A160+3,Preguntas!$A$1:$A$2976,Preguntas!$D$1:$D$2976)="*",3,IF(LOOKUP(A160+4,Preguntas!$A$1:$A$2976,Preguntas!$D$1:$D$2976)="*",4))))</f>
        <v>4</v>
      </c>
    </row>
    <row r="161" spans="1:2" x14ac:dyDescent="0.25">
      <c r="A161">
        <f t="shared" si="3"/>
        <v>771</v>
      </c>
      <c r="B161">
        <f>+IF(LOOKUP(A161+1,Preguntas!$A$1:$A$2976,Preguntas!$D$1:$D$2976)="*",1,IF(LOOKUP(A161+2,Preguntas!$A$1:$A$2976,Preguntas!$D$1:$D$2976)="*",2,IF(LOOKUP(A161+3,Preguntas!$A$1:$A$2976,Preguntas!$D$1:$D$2976)="*",3,IF(LOOKUP(A161+4,Preguntas!$A$1:$A$2976,Preguntas!$D$1:$D$2976)="*",4))))</f>
        <v>1</v>
      </c>
    </row>
    <row r="162" spans="1:2" x14ac:dyDescent="0.25">
      <c r="A162">
        <f t="shared" si="3"/>
        <v>776</v>
      </c>
      <c r="B162">
        <f>+IF(LOOKUP(A162+1,Preguntas!$A$1:$A$2976,Preguntas!$D$1:$D$2976)="*",1,IF(LOOKUP(A162+2,Preguntas!$A$1:$A$2976,Preguntas!$D$1:$D$2976)="*",2,IF(LOOKUP(A162+3,Preguntas!$A$1:$A$2976,Preguntas!$D$1:$D$2976)="*",3,IF(LOOKUP(A162+4,Preguntas!$A$1:$A$2976,Preguntas!$D$1:$D$2976)="*",4))))</f>
        <v>2</v>
      </c>
    </row>
    <row r="163" spans="1:2" x14ac:dyDescent="0.25">
      <c r="A163">
        <f t="shared" si="3"/>
        <v>781</v>
      </c>
      <c r="B163">
        <f>+IF(LOOKUP(A163+1,Preguntas!$A$1:$A$2976,Preguntas!$D$1:$D$2976)="*",1,IF(LOOKUP(A163+2,Preguntas!$A$1:$A$2976,Preguntas!$D$1:$D$2976)="*",2,IF(LOOKUP(A163+3,Preguntas!$A$1:$A$2976,Preguntas!$D$1:$D$2976)="*",3,IF(LOOKUP(A163+4,Preguntas!$A$1:$A$2976,Preguntas!$D$1:$D$2976)="*",4))))</f>
        <v>3</v>
      </c>
    </row>
    <row r="164" spans="1:2" x14ac:dyDescent="0.25">
      <c r="A164">
        <f t="shared" si="3"/>
        <v>786</v>
      </c>
      <c r="B164">
        <f>+IF(LOOKUP(A164+1,Preguntas!$A$1:$A$2976,Preguntas!$D$1:$D$2976)="*",1,IF(LOOKUP(A164+2,Preguntas!$A$1:$A$2976,Preguntas!$D$1:$D$2976)="*",2,IF(LOOKUP(A164+3,Preguntas!$A$1:$A$2976,Preguntas!$D$1:$D$2976)="*",3,IF(LOOKUP(A164+4,Preguntas!$A$1:$A$2976,Preguntas!$D$1:$D$2976)="*",4))))</f>
        <v>3</v>
      </c>
    </row>
    <row r="165" spans="1:2" x14ac:dyDescent="0.25">
      <c r="A165">
        <f t="shared" si="3"/>
        <v>791</v>
      </c>
      <c r="B165">
        <f>+IF(LOOKUP(A165+1,Preguntas!$A$1:$A$2976,Preguntas!$D$1:$D$2976)="*",1,IF(LOOKUP(A165+2,Preguntas!$A$1:$A$2976,Preguntas!$D$1:$D$2976)="*",2,IF(LOOKUP(A165+3,Preguntas!$A$1:$A$2976,Preguntas!$D$1:$D$2976)="*",3,IF(LOOKUP(A165+4,Preguntas!$A$1:$A$2976,Preguntas!$D$1:$D$2976)="*",4))))</f>
        <v>3</v>
      </c>
    </row>
    <row r="166" spans="1:2" x14ac:dyDescent="0.25">
      <c r="A166">
        <f t="shared" si="3"/>
        <v>796</v>
      </c>
      <c r="B166">
        <f>+IF(LOOKUP(A166+1,Preguntas!$A$1:$A$2976,Preguntas!$D$1:$D$2976)="*",1,IF(LOOKUP(A166+2,Preguntas!$A$1:$A$2976,Preguntas!$D$1:$D$2976)="*",2,IF(LOOKUP(A166+3,Preguntas!$A$1:$A$2976,Preguntas!$D$1:$D$2976)="*",3,IF(LOOKUP(A166+4,Preguntas!$A$1:$A$2976,Preguntas!$D$1:$D$2976)="*",4))))</f>
        <v>2</v>
      </c>
    </row>
    <row r="167" spans="1:2" x14ac:dyDescent="0.25">
      <c r="A167">
        <f t="shared" si="3"/>
        <v>801</v>
      </c>
      <c r="B167">
        <f>+IF(LOOKUP(A167+1,Preguntas!$A$1:$A$2976,Preguntas!$D$1:$D$2976)="*",1,IF(LOOKUP(A167+2,Preguntas!$A$1:$A$2976,Preguntas!$D$1:$D$2976)="*",2,IF(LOOKUP(A167+3,Preguntas!$A$1:$A$2976,Preguntas!$D$1:$D$2976)="*",3,IF(LOOKUP(A167+4,Preguntas!$A$1:$A$2976,Preguntas!$D$1:$D$2976)="*",4))))</f>
        <v>4</v>
      </c>
    </row>
    <row r="168" spans="1:2" x14ac:dyDescent="0.25">
      <c r="A168">
        <f t="shared" si="3"/>
        <v>806</v>
      </c>
      <c r="B168">
        <f>+IF(LOOKUP(A168+1,Preguntas!$A$1:$A$2976,Preguntas!$D$1:$D$2976)="*",1,IF(LOOKUP(A168+2,Preguntas!$A$1:$A$2976,Preguntas!$D$1:$D$2976)="*",2,IF(LOOKUP(A168+3,Preguntas!$A$1:$A$2976,Preguntas!$D$1:$D$2976)="*",3,IF(LOOKUP(A168+4,Preguntas!$A$1:$A$2976,Preguntas!$D$1:$D$2976)="*",4))))</f>
        <v>3</v>
      </c>
    </row>
    <row r="169" spans="1:2" x14ac:dyDescent="0.25">
      <c r="A169">
        <f t="shared" si="3"/>
        <v>811</v>
      </c>
      <c r="B169">
        <f>+IF(LOOKUP(A169+1,Preguntas!$A$1:$A$2976,Preguntas!$D$1:$D$2976)="*",1,IF(LOOKUP(A169+2,Preguntas!$A$1:$A$2976,Preguntas!$D$1:$D$2976)="*",2,IF(LOOKUP(A169+3,Preguntas!$A$1:$A$2976,Preguntas!$D$1:$D$2976)="*",3,IF(LOOKUP(A169+4,Preguntas!$A$1:$A$2976,Preguntas!$D$1:$D$2976)="*",4))))</f>
        <v>1</v>
      </c>
    </row>
    <row r="170" spans="1:2" x14ac:dyDescent="0.25">
      <c r="A170">
        <f t="shared" si="3"/>
        <v>816</v>
      </c>
      <c r="B170">
        <f>+IF(LOOKUP(A170+1,Preguntas!$A$1:$A$2976,Preguntas!$D$1:$D$2976)="*",1,IF(LOOKUP(A170+2,Preguntas!$A$1:$A$2976,Preguntas!$D$1:$D$2976)="*",2,IF(LOOKUP(A170+3,Preguntas!$A$1:$A$2976,Preguntas!$D$1:$D$2976)="*",3,IF(LOOKUP(A170+4,Preguntas!$A$1:$A$2976,Preguntas!$D$1:$D$2976)="*",4))))</f>
        <v>3</v>
      </c>
    </row>
    <row r="171" spans="1:2" x14ac:dyDescent="0.25">
      <c r="A171">
        <f t="shared" si="3"/>
        <v>821</v>
      </c>
      <c r="B171">
        <f>+IF(LOOKUP(A171+1,Preguntas!$A$1:$A$2976,Preguntas!$D$1:$D$2976)="*",1,IF(LOOKUP(A171+2,Preguntas!$A$1:$A$2976,Preguntas!$D$1:$D$2976)="*",2,IF(LOOKUP(A171+3,Preguntas!$A$1:$A$2976,Preguntas!$D$1:$D$2976)="*",3,IF(LOOKUP(A171+4,Preguntas!$A$1:$A$2976,Preguntas!$D$1:$D$2976)="*",4))))</f>
        <v>2</v>
      </c>
    </row>
    <row r="172" spans="1:2" x14ac:dyDescent="0.25">
      <c r="A172">
        <f t="shared" si="3"/>
        <v>826</v>
      </c>
      <c r="B172">
        <f>+IF(LOOKUP(A172+1,Preguntas!$A$1:$A$2976,Preguntas!$D$1:$D$2976)="*",1,IF(LOOKUP(A172+2,Preguntas!$A$1:$A$2976,Preguntas!$D$1:$D$2976)="*",2,IF(LOOKUP(A172+3,Preguntas!$A$1:$A$2976,Preguntas!$D$1:$D$2976)="*",3,IF(LOOKUP(A172+4,Preguntas!$A$1:$A$2976,Preguntas!$D$1:$D$2976)="*",4))))</f>
        <v>2</v>
      </c>
    </row>
    <row r="173" spans="1:2" x14ac:dyDescent="0.25">
      <c r="A173">
        <f t="shared" si="3"/>
        <v>831</v>
      </c>
      <c r="B173">
        <f>+IF(LOOKUP(A173+1,Preguntas!$A$1:$A$2976,Preguntas!$D$1:$D$2976)="*",1,IF(LOOKUP(A173+2,Preguntas!$A$1:$A$2976,Preguntas!$D$1:$D$2976)="*",2,IF(LOOKUP(A173+3,Preguntas!$A$1:$A$2976,Preguntas!$D$1:$D$2976)="*",3,IF(LOOKUP(A173+4,Preguntas!$A$1:$A$2976,Preguntas!$D$1:$D$2976)="*",4))))</f>
        <v>4</v>
      </c>
    </row>
    <row r="174" spans="1:2" x14ac:dyDescent="0.25">
      <c r="A174">
        <f t="shared" si="3"/>
        <v>836</v>
      </c>
      <c r="B174">
        <f>+IF(LOOKUP(A174+1,Preguntas!$A$1:$A$2976,Preguntas!$D$1:$D$2976)="*",1,IF(LOOKUP(A174+2,Preguntas!$A$1:$A$2976,Preguntas!$D$1:$D$2976)="*",2,IF(LOOKUP(A174+3,Preguntas!$A$1:$A$2976,Preguntas!$D$1:$D$2976)="*",3,IF(LOOKUP(A174+4,Preguntas!$A$1:$A$2976,Preguntas!$D$1:$D$2976)="*",4))))</f>
        <v>4</v>
      </c>
    </row>
    <row r="175" spans="1:2" x14ac:dyDescent="0.25">
      <c r="A175">
        <f t="shared" si="3"/>
        <v>841</v>
      </c>
      <c r="B175">
        <f>+IF(LOOKUP(A175+1,Preguntas!$A$1:$A$2976,Preguntas!$D$1:$D$2976)="*",1,IF(LOOKUP(A175+2,Preguntas!$A$1:$A$2976,Preguntas!$D$1:$D$2976)="*",2,IF(LOOKUP(A175+3,Preguntas!$A$1:$A$2976,Preguntas!$D$1:$D$2976)="*",3,IF(LOOKUP(A175+4,Preguntas!$A$1:$A$2976,Preguntas!$D$1:$D$2976)="*",4))))</f>
        <v>2</v>
      </c>
    </row>
    <row r="176" spans="1:2" x14ac:dyDescent="0.25">
      <c r="A176">
        <f t="shared" si="3"/>
        <v>846</v>
      </c>
      <c r="B176">
        <f>+IF(LOOKUP(A176+1,Preguntas!$A$1:$A$2976,Preguntas!$D$1:$D$2976)="*",1,IF(LOOKUP(A176+2,Preguntas!$A$1:$A$2976,Preguntas!$D$1:$D$2976)="*",2,IF(LOOKUP(A176+3,Preguntas!$A$1:$A$2976,Preguntas!$D$1:$D$2976)="*",3,IF(LOOKUP(A176+4,Preguntas!$A$1:$A$2976,Preguntas!$D$1:$D$2976)="*",4))))</f>
        <v>1</v>
      </c>
    </row>
    <row r="177" spans="1:2" x14ac:dyDescent="0.25">
      <c r="A177">
        <f t="shared" si="3"/>
        <v>851</v>
      </c>
      <c r="B177">
        <f>+IF(LOOKUP(A177+1,Preguntas!$A$1:$A$2976,Preguntas!$D$1:$D$2976)="*",1,IF(LOOKUP(A177+2,Preguntas!$A$1:$A$2976,Preguntas!$D$1:$D$2976)="*",2,IF(LOOKUP(A177+3,Preguntas!$A$1:$A$2976,Preguntas!$D$1:$D$2976)="*",3,IF(LOOKUP(A177+4,Preguntas!$A$1:$A$2976,Preguntas!$D$1:$D$2976)="*",4))))</f>
        <v>4</v>
      </c>
    </row>
    <row r="178" spans="1:2" x14ac:dyDescent="0.25">
      <c r="A178">
        <f t="shared" si="3"/>
        <v>856</v>
      </c>
      <c r="B178">
        <f>+IF(LOOKUP(A178+1,Preguntas!$A$1:$A$2976,Preguntas!$D$1:$D$2976)="*",1,IF(LOOKUP(A178+2,Preguntas!$A$1:$A$2976,Preguntas!$D$1:$D$2976)="*",2,IF(LOOKUP(A178+3,Preguntas!$A$1:$A$2976,Preguntas!$D$1:$D$2976)="*",3,IF(LOOKUP(A178+4,Preguntas!$A$1:$A$2976,Preguntas!$D$1:$D$2976)="*",4))))</f>
        <v>1</v>
      </c>
    </row>
    <row r="179" spans="1:2" x14ac:dyDescent="0.25">
      <c r="A179">
        <f t="shared" si="3"/>
        <v>861</v>
      </c>
      <c r="B179">
        <f>+IF(LOOKUP(A179+1,Preguntas!$A$1:$A$2976,Preguntas!$D$1:$D$2976)="*",1,IF(LOOKUP(A179+2,Preguntas!$A$1:$A$2976,Preguntas!$D$1:$D$2976)="*",2,IF(LOOKUP(A179+3,Preguntas!$A$1:$A$2976,Preguntas!$D$1:$D$2976)="*",3,IF(LOOKUP(A179+4,Preguntas!$A$1:$A$2976,Preguntas!$D$1:$D$2976)="*",4))))</f>
        <v>3</v>
      </c>
    </row>
    <row r="180" spans="1:2" x14ac:dyDescent="0.25">
      <c r="A180">
        <f t="shared" si="3"/>
        <v>866</v>
      </c>
      <c r="B180">
        <f>+IF(LOOKUP(A180+1,Preguntas!$A$1:$A$2976,Preguntas!$D$1:$D$2976)="*",1,IF(LOOKUP(A180+2,Preguntas!$A$1:$A$2976,Preguntas!$D$1:$D$2976)="*",2,IF(LOOKUP(A180+3,Preguntas!$A$1:$A$2976,Preguntas!$D$1:$D$2976)="*",3,IF(LOOKUP(A180+4,Preguntas!$A$1:$A$2976,Preguntas!$D$1:$D$2976)="*",4))))</f>
        <v>3</v>
      </c>
    </row>
    <row r="181" spans="1:2" x14ac:dyDescent="0.25">
      <c r="A181">
        <f t="shared" si="3"/>
        <v>871</v>
      </c>
      <c r="B181">
        <f>+IF(LOOKUP(A181+1,Preguntas!$A$1:$A$2976,Preguntas!$D$1:$D$2976)="*",1,IF(LOOKUP(A181+2,Preguntas!$A$1:$A$2976,Preguntas!$D$1:$D$2976)="*",2,IF(LOOKUP(A181+3,Preguntas!$A$1:$A$2976,Preguntas!$D$1:$D$2976)="*",3,IF(LOOKUP(A181+4,Preguntas!$A$1:$A$2976,Preguntas!$D$1:$D$2976)="*",4))))</f>
        <v>3</v>
      </c>
    </row>
    <row r="182" spans="1:2" x14ac:dyDescent="0.25">
      <c r="A182">
        <f t="shared" si="3"/>
        <v>876</v>
      </c>
      <c r="B182">
        <f>+IF(LOOKUP(A182+1,Preguntas!$A$1:$A$2976,Preguntas!$D$1:$D$2976)="*",1,IF(LOOKUP(A182+2,Preguntas!$A$1:$A$2976,Preguntas!$D$1:$D$2976)="*",2,IF(LOOKUP(A182+3,Preguntas!$A$1:$A$2976,Preguntas!$D$1:$D$2976)="*",3,IF(LOOKUP(A182+4,Preguntas!$A$1:$A$2976,Preguntas!$D$1:$D$2976)="*",4))))</f>
        <v>2</v>
      </c>
    </row>
    <row r="183" spans="1:2" x14ac:dyDescent="0.25">
      <c r="A183">
        <f t="shared" si="3"/>
        <v>881</v>
      </c>
      <c r="B183">
        <f>+IF(LOOKUP(A183+1,Preguntas!$A$1:$A$2976,Preguntas!$D$1:$D$2976)="*",1,IF(LOOKUP(A183+2,Preguntas!$A$1:$A$2976,Preguntas!$D$1:$D$2976)="*",2,IF(LOOKUP(A183+3,Preguntas!$A$1:$A$2976,Preguntas!$D$1:$D$2976)="*",3,IF(LOOKUP(A183+4,Preguntas!$A$1:$A$2976,Preguntas!$D$1:$D$2976)="*",4))))</f>
        <v>4</v>
      </c>
    </row>
    <row r="184" spans="1:2" x14ac:dyDescent="0.25">
      <c r="A184">
        <f t="shared" si="3"/>
        <v>886</v>
      </c>
      <c r="B184">
        <f>+IF(LOOKUP(A184+1,Preguntas!$A$1:$A$2976,Preguntas!$D$1:$D$2976)="*",1,IF(LOOKUP(A184+2,Preguntas!$A$1:$A$2976,Preguntas!$D$1:$D$2976)="*",2,IF(LOOKUP(A184+3,Preguntas!$A$1:$A$2976,Preguntas!$D$1:$D$2976)="*",3,IF(LOOKUP(A184+4,Preguntas!$A$1:$A$2976,Preguntas!$D$1:$D$2976)="*",4))))</f>
        <v>4</v>
      </c>
    </row>
    <row r="185" spans="1:2" x14ac:dyDescent="0.25">
      <c r="A185">
        <f t="shared" si="3"/>
        <v>891</v>
      </c>
      <c r="B185">
        <f>+IF(LOOKUP(A185+1,Preguntas!$A$1:$A$2976,Preguntas!$D$1:$D$2976)="*",1,IF(LOOKUP(A185+2,Preguntas!$A$1:$A$2976,Preguntas!$D$1:$D$2976)="*",2,IF(LOOKUP(A185+3,Preguntas!$A$1:$A$2976,Preguntas!$D$1:$D$2976)="*",3,IF(LOOKUP(A185+4,Preguntas!$A$1:$A$2976,Preguntas!$D$1:$D$2976)="*",4))))</f>
        <v>2</v>
      </c>
    </row>
    <row r="186" spans="1:2" x14ac:dyDescent="0.25">
      <c r="A186">
        <f t="shared" si="3"/>
        <v>896</v>
      </c>
      <c r="B186">
        <f>+IF(LOOKUP(A186+1,Preguntas!$A$1:$A$2976,Preguntas!$D$1:$D$2976)="*",1,IF(LOOKUP(A186+2,Preguntas!$A$1:$A$2976,Preguntas!$D$1:$D$2976)="*",2,IF(LOOKUP(A186+3,Preguntas!$A$1:$A$2976,Preguntas!$D$1:$D$2976)="*",3,IF(LOOKUP(A186+4,Preguntas!$A$1:$A$2976,Preguntas!$D$1:$D$2976)="*",4))))</f>
        <v>2</v>
      </c>
    </row>
    <row r="187" spans="1:2" x14ac:dyDescent="0.25">
      <c r="A187">
        <f t="shared" si="3"/>
        <v>901</v>
      </c>
      <c r="B187">
        <f>+IF(LOOKUP(A187+1,Preguntas!$A$1:$A$2976,Preguntas!$D$1:$D$2976)="*",1,IF(LOOKUP(A187+2,Preguntas!$A$1:$A$2976,Preguntas!$D$1:$D$2976)="*",2,IF(LOOKUP(A187+3,Preguntas!$A$1:$A$2976,Preguntas!$D$1:$D$2976)="*",3,IF(LOOKUP(A187+4,Preguntas!$A$1:$A$2976,Preguntas!$D$1:$D$2976)="*",4))))</f>
        <v>4</v>
      </c>
    </row>
    <row r="188" spans="1:2" x14ac:dyDescent="0.25">
      <c r="A188">
        <f t="shared" si="3"/>
        <v>906</v>
      </c>
      <c r="B188">
        <f>+IF(LOOKUP(A188+1,Preguntas!$A$1:$A$2976,Preguntas!$D$1:$D$2976)="*",1,IF(LOOKUP(A188+2,Preguntas!$A$1:$A$2976,Preguntas!$D$1:$D$2976)="*",2,IF(LOOKUP(A188+3,Preguntas!$A$1:$A$2976,Preguntas!$D$1:$D$2976)="*",3,IF(LOOKUP(A188+4,Preguntas!$A$1:$A$2976,Preguntas!$D$1:$D$2976)="*",4))))</f>
        <v>4</v>
      </c>
    </row>
    <row r="189" spans="1:2" x14ac:dyDescent="0.25">
      <c r="A189">
        <f t="shared" si="3"/>
        <v>911</v>
      </c>
      <c r="B189">
        <f>+IF(LOOKUP(A189+1,Preguntas!$A$1:$A$2976,Preguntas!$D$1:$D$2976)="*",1,IF(LOOKUP(A189+2,Preguntas!$A$1:$A$2976,Preguntas!$D$1:$D$2976)="*",2,IF(LOOKUP(A189+3,Preguntas!$A$1:$A$2976,Preguntas!$D$1:$D$2976)="*",3,IF(LOOKUP(A189+4,Preguntas!$A$1:$A$2976,Preguntas!$D$1:$D$2976)="*",4))))</f>
        <v>1</v>
      </c>
    </row>
    <row r="190" spans="1:2" x14ac:dyDescent="0.25">
      <c r="A190">
        <f t="shared" si="3"/>
        <v>916</v>
      </c>
      <c r="B190">
        <f>+IF(LOOKUP(A190+1,Preguntas!$A$1:$A$2976,Preguntas!$D$1:$D$2976)="*",1,IF(LOOKUP(A190+2,Preguntas!$A$1:$A$2976,Preguntas!$D$1:$D$2976)="*",2,IF(LOOKUP(A190+3,Preguntas!$A$1:$A$2976,Preguntas!$D$1:$D$2976)="*",3,IF(LOOKUP(A190+4,Preguntas!$A$1:$A$2976,Preguntas!$D$1:$D$2976)="*",4))))</f>
        <v>1</v>
      </c>
    </row>
    <row r="191" spans="1:2" x14ac:dyDescent="0.25">
      <c r="A191">
        <f t="shared" si="3"/>
        <v>921</v>
      </c>
      <c r="B191">
        <f>+IF(LOOKUP(A191+1,Preguntas!$A$1:$A$2976,Preguntas!$D$1:$D$2976)="*",1,IF(LOOKUP(A191+2,Preguntas!$A$1:$A$2976,Preguntas!$D$1:$D$2976)="*",2,IF(LOOKUP(A191+3,Preguntas!$A$1:$A$2976,Preguntas!$D$1:$D$2976)="*",3,IF(LOOKUP(A191+4,Preguntas!$A$1:$A$2976,Preguntas!$D$1:$D$2976)="*",4))))</f>
        <v>3</v>
      </c>
    </row>
    <row r="192" spans="1:2" x14ac:dyDescent="0.25">
      <c r="A192">
        <f t="shared" si="3"/>
        <v>926</v>
      </c>
      <c r="B192">
        <f>+IF(LOOKUP(A192+1,Preguntas!$A$1:$A$2976,Preguntas!$D$1:$D$2976)="*",1,IF(LOOKUP(A192+2,Preguntas!$A$1:$A$2976,Preguntas!$D$1:$D$2976)="*",2,IF(LOOKUP(A192+3,Preguntas!$A$1:$A$2976,Preguntas!$D$1:$D$2976)="*",3,IF(LOOKUP(A192+4,Preguntas!$A$1:$A$2976,Preguntas!$D$1:$D$2976)="*",4))))</f>
        <v>3</v>
      </c>
    </row>
    <row r="193" spans="1:2" x14ac:dyDescent="0.25">
      <c r="A193">
        <f t="shared" si="3"/>
        <v>931</v>
      </c>
      <c r="B193">
        <f>+IF(LOOKUP(A193+1,Preguntas!$A$1:$A$2976,Preguntas!$D$1:$D$2976)="*",1,IF(LOOKUP(A193+2,Preguntas!$A$1:$A$2976,Preguntas!$D$1:$D$2976)="*",2,IF(LOOKUP(A193+3,Preguntas!$A$1:$A$2976,Preguntas!$D$1:$D$2976)="*",3,IF(LOOKUP(A193+4,Preguntas!$A$1:$A$2976,Preguntas!$D$1:$D$2976)="*",4))))</f>
        <v>3</v>
      </c>
    </row>
    <row r="194" spans="1:2" x14ac:dyDescent="0.25">
      <c r="A194">
        <f t="shared" si="3"/>
        <v>936</v>
      </c>
      <c r="B194">
        <f>+IF(LOOKUP(A194+1,Preguntas!$A$1:$A$2976,Preguntas!$D$1:$D$2976)="*",1,IF(LOOKUP(A194+2,Preguntas!$A$1:$A$2976,Preguntas!$D$1:$D$2976)="*",2,IF(LOOKUP(A194+3,Preguntas!$A$1:$A$2976,Preguntas!$D$1:$D$2976)="*",3,IF(LOOKUP(A194+4,Preguntas!$A$1:$A$2976,Preguntas!$D$1:$D$2976)="*",4))))</f>
        <v>1</v>
      </c>
    </row>
    <row r="195" spans="1:2" x14ac:dyDescent="0.25">
      <c r="A195">
        <f t="shared" si="3"/>
        <v>941</v>
      </c>
      <c r="B195">
        <f>+IF(LOOKUP(A195+1,Preguntas!$A$1:$A$2976,Preguntas!$D$1:$D$2976)="*",1,IF(LOOKUP(A195+2,Preguntas!$A$1:$A$2976,Preguntas!$D$1:$D$2976)="*",2,IF(LOOKUP(A195+3,Preguntas!$A$1:$A$2976,Preguntas!$D$1:$D$2976)="*",3,IF(LOOKUP(A195+4,Preguntas!$A$1:$A$2976,Preguntas!$D$1:$D$2976)="*",4))))</f>
        <v>4</v>
      </c>
    </row>
    <row r="196" spans="1:2" x14ac:dyDescent="0.25">
      <c r="A196">
        <f t="shared" si="3"/>
        <v>946</v>
      </c>
      <c r="B196">
        <f>+IF(LOOKUP(A196+1,Preguntas!$A$1:$A$2976,Preguntas!$D$1:$D$2976)="*",1,IF(LOOKUP(A196+2,Preguntas!$A$1:$A$2976,Preguntas!$D$1:$D$2976)="*",2,IF(LOOKUP(A196+3,Preguntas!$A$1:$A$2976,Preguntas!$D$1:$D$2976)="*",3,IF(LOOKUP(A196+4,Preguntas!$A$1:$A$2976,Preguntas!$D$1:$D$2976)="*",4))))</f>
        <v>3</v>
      </c>
    </row>
    <row r="197" spans="1:2" x14ac:dyDescent="0.25">
      <c r="A197">
        <f t="shared" si="3"/>
        <v>951</v>
      </c>
      <c r="B197">
        <f>+IF(LOOKUP(A197+1,Preguntas!$A$1:$A$2976,Preguntas!$D$1:$D$2976)="*",1,IF(LOOKUP(A197+2,Preguntas!$A$1:$A$2976,Preguntas!$D$1:$D$2976)="*",2,IF(LOOKUP(A197+3,Preguntas!$A$1:$A$2976,Preguntas!$D$1:$D$2976)="*",3,IF(LOOKUP(A197+4,Preguntas!$A$1:$A$2976,Preguntas!$D$1:$D$2976)="*",4))))</f>
        <v>3</v>
      </c>
    </row>
    <row r="198" spans="1:2" x14ac:dyDescent="0.25">
      <c r="A198">
        <f t="shared" si="3"/>
        <v>956</v>
      </c>
      <c r="B198">
        <f>+IF(LOOKUP(A198+1,Preguntas!$A$1:$A$2976,Preguntas!$D$1:$D$2976)="*",1,IF(LOOKUP(A198+2,Preguntas!$A$1:$A$2976,Preguntas!$D$1:$D$2976)="*",2,IF(LOOKUP(A198+3,Preguntas!$A$1:$A$2976,Preguntas!$D$1:$D$2976)="*",3,IF(LOOKUP(A198+4,Preguntas!$A$1:$A$2976,Preguntas!$D$1:$D$2976)="*",4))))</f>
        <v>4</v>
      </c>
    </row>
    <row r="199" spans="1:2" x14ac:dyDescent="0.25">
      <c r="A199">
        <f t="shared" si="3"/>
        <v>961</v>
      </c>
      <c r="B199">
        <f>+IF(LOOKUP(A199+1,Preguntas!$A$1:$A$2976,Preguntas!$D$1:$D$2976)="*",1,IF(LOOKUP(A199+2,Preguntas!$A$1:$A$2976,Preguntas!$D$1:$D$2976)="*",2,IF(LOOKUP(A199+3,Preguntas!$A$1:$A$2976,Preguntas!$D$1:$D$2976)="*",3,IF(LOOKUP(A199+4,Preguntas!$A$1:$A$2976,Preguntas!$D$1:$D$2976)="*",4))))</f>
        <v>4</v>
      </c>
    </row>
    <row r="200" spans="1:2" x14ac:dyDescent="0.25">
      <c r="A200">
        <f t="shared" si="3"/>
        <v>966</v>
      </c>
      <c r="B200">
        <f>+IF(LOOKUP(A200+1,Preguntas!$A$1:$A$2976,Preguntas!$D$1:$D$2976)="*",1,IF(LOOKUP(A200+2,Preguntas!$A$1:$A$2976,Preguntas!$D$1:$D$2976)="*",2,IF(LOOKUP(A200+3,Preguntas!$A$1:$A$2976,Preguntas!$D$1:$D$2976)="*",3,IF(LOOKUP(A200+4,Preguntas!$A$1:$A$2976,Preguntas!$D$1:$D$2976)="*",4))))</f>
        <v>4</v>
      </c>
    </row>
    <row r="201" spans="1:2" x14ac:dyDescent="0.25">
      <c r="A201">
        <f t="shared" ref="A201:A264" si="4">+A200+5</f>
        <v>971</v>
      </c>
      <c r="B201">
        <f>+IF(LOOKUP(A201+1,Preguntas!$A$1:$A$2976,Preguntas!$D$1:$D$2976)="*",1,IF(LOOKUP(A201+2,Preguntas!$A$1:$A$2976,Preguntas!$D$1:$D$2976)="*",2,IF(LOOKUP(A201+3,Preguntas!$A$1:$A$2976,Preguntas!$D$1:$D$2976)="*",3,IF(LOOKUP(A201+4,Preguntas!$A$1:$A$2976,Preguntas!$D$1:$D$2976)="*",4))))</f>
        <v>1</v>
      </c>
    </row>
    <row r="202" spans="1:2" x14ac:dyDescent="0.25">
      <c r="A202">
        <f t="shared" si="4"/>
        <v>976</v>
      </c>
      <c r="B202">
        <f>+IF(LOOKUP(A202+1,Preguntas!$A$1:$A$2976,Preguntas!$D$1:$D$2976)="*",1,IF(LOOKUP(A202+2,Preguntas!$A$1:$A$2976,Preguntas!$D$1:$D$2976)="*",2,IF(LOOKUP(A202+3,Preguntas!$A$1:$A$2976,Preguntas!$D$1:$D$2976)="*",3,IF(LOOKUP(A202+4,Preguntas!$A$1:$A$2976,Preguntas!$D$1:$D$2976)="*",4))))</f>
        <v>2</v>
      </c>
    </row>
    <row r="203" spans="1:2" x14ac:dyDescent="0.25">
      <c r="A203">
        <f t="shared" si="4"/>
        <v>981</v>
      </c>
      <c r="B203">
        <f>+IF(LOOKUP(A203+1,Preguntas!$A$1:$A$2976,Preguntas!$D$1:$D$2976)="*",1,IF(LOOKUP(A203+2,Preguntas!$A$1:$A$2976,Preguntas!$D$1:$D$2976)="*",2,IF(LOOKUP(A203+3,Preguntas!$A$1:$A$2976,Preguntas!$D$1:$D$2976)="*",3,IF(LOOKUP(A203+4,Preguntas!$A$1:$A$2976,Preguntas!$D$1:$D$2976)="*",4))))</f>
        <v>3</v>
      </c>
    </row>
    <row r="204" spans="1:2" x14ac:dyDescent="0.25">
      <c r="A204">
        <f t="shared" si="4"/>
        <v>986</v>
      </c>
      <c r="B204">
        <f>+IF(LOOKUP(A204+1,Preguntas!$A$1:$A$2976,Preguntas!$D$1:$D$2976)="*",1,IF(LOOKUP(A204+2,Preguntas!$A$1:$A$2976,Preguntas!$D$1:$D$2976)="*",2,IF(LOOKUP(A204+3,Preguntas!$A$1:$A$2976,Preguntas!$D$1:$D$2976)="*",3,IF(LOOKUP(A204+4,Preguntas!$A$1:$A$2976,Preguntas!$D$1:$D$2976)="*",4))))</f>
        <v>2</v>
      </c>
    </row>
    <row r="205" spans="1:2" x14ac:dyDescent="0.25">
      <c r="A205">
        <f t="shared" si="4"/>
        <v>991</v>
      </c>
      <c r="B205">
        <f>+IF(LOOKUP(A205+1,Preguntas!$A$1:$A$2976,Preguntas!$D$1:$D$2976)="*",1,IF(LOOKUP(A205+2,Preguntas!$A$1:$A$2976,Preguntas!$D$1:$D$2976)="*",2,IF(LOOKUP(A205+3,Preguntas!$A$1:$A$2976,Preguntas!$D$1:$D$2976)="*",3,IF(LOOKUP(A205+4,Preguntas!$A$1:$A$2976,Preguntas!$D$1:$D$2976)="*",4))))</f>
        <v>3</v>
      </c>
    </row>
    <row r="206" spans="1:2" x14ac:dyDescent="0.25">
      <c r="A206">
        <f t="shared" si="4"/>
        <v>996</v>
      </c>
      <c r="B206">
        <f>+IF(LOOKUP(A206+1,Preguntas!$A$1:$A$2976,Preguntas!$D$1:$D$2976)="*",1,IF(LOOKUP(A206+2,Preguntas!$A$1:$A$2976,Preguntas!$D$1:$D$2976)="*",2,IF(LOOKUP(A206+3,Preguntas!$A$1:$A$2976,Preguntas!$D$1:$D$2976)="*",3,IF(LOOKUP(A206+4,Preguntas!$A$1:$A$2976,Preguntas!$D$1:$D$2976)="*",4))))</f>
        <v>3</v>
      </c>
    </row>
    <row r="207" spans="1:2" x14ac:dyDescent="0.25">
      <c r="A207">
        <f t="shared" si="4"/>
        <v>1001</v>
      </c>
      <c r="B207">
        <f>+IF(LOOKUP(A207+1,Preguntas!$A$1:$A$2976,Preguntas!$D$1:$D$2976)="*",1,IF(LOOKUP(A207+2,Preguntas!$A$1:$A$2976,Preguntas!$D$1:$D$2976)="*",2,IF(LOOKUP(A207+3,Preguntas!$A$1:$A$2976,Preguntas!$D$1:$D$2976)="*",3,IF(LOOKUP(A207+4,Preguntas!$A$1:$A$2976,Preguntas!$D$1:$D$2976)="*",4))))</f>
        <v>1</v>
      </c>
    </row>
    <row r="208" spans="1:2" x14ac:dyDescent="0.25">
      <c r="A208">
        <f t="shared" si="4"/>
        <v>1006</v>
      </c>
      <c r="B208">
        <f>+IF(LOOKUP(A208+1,Preguntas!$A$1:$A$2976,Preguntas!$D$1:$D$2976)="*",1,IF(LOOKUP(A208+2,Preguntas!$A$1:$A$2976,Preguntas!$D$1:$D$2976)="*",2,IF(LOOKUP(A208+3,Preguntas!$A$1:$A$2976,Preguntas!$D$1:$D$2976)="*",3,IF(LOOKUP(A208+4,Preguntas!$A$1:$A$2976,Preguntas!$D$1:$D$2976)="*",4))))</f>
        <v>3</v>
      </c>
    </row>
    <row r="209" spans="1:2" x14ac:dyDescent="0.25">
      <c r="A209">
        <f t="shared" si="4"/>
        <v>1011</v>
      </c>
      <c r="B209">
        <f>+IF(LOOKUP(A209+1,Preguntas!$A$1:$A$2976,Preguntas!$D$1:$D$2976)="*",1,IF(LOOKUP(A209+2,Preguntas!$A$1:$A$2976,Preguntas!$D$1:$D$2976)="*",2,IF(LOOKUP(A209+3,Preguntas!$A$1:$A$2976,Preguntas!$D$1:$D$2976)="*",3,IF(LOOKUP(A209+4,Preguntas!$A$1:$A$2976,Preguntas!$D$1:$D$2976)="*",4))))</f>
        <v>1</v>
      </c>
    </row>
    <row r="210" spans="1:2" x14ac:dyDescent="0.25">
      <c r="A210">
        <f t="shared" si="4"/>
        <v>1016</v>
      </c>
      <c r="B210">
        <f>+IF(LOOKUP(A210+1,Preguntas!$A$1:$A$2976,Preguntas!$D$1:$D$2976)="*",1,IF(LOOKUP(A210+2,Preguntas!$A$1:$A$2976,Preguntas!$D$1:$D$2976)="*",2,IF(LOOKUP(A210+3,Preguntas!$A$1:$A$2976,Preguntas!$D$1:$D$2976)="*",3,IF(LOOKUP(A210+4,Preguntas!$A$1:$A$2976,Preguntas!$D$1:$D$2976)="*",4))))</f>
        <v>2</v>
      </c>
    </row>
    <row r="211" spans="1:2" x14ac:dyDescent="0.25">
      <c r="A211">
        <f t="shared" si="4"/>
        <v>1021</v>
      </c>
      <c r="B211">
        <f>+IF(LOOKUP(A211+1,Preguntas!$A$1:$A$2976,Preguntas!$D$1:$D$2976)="*",1,IF(LOOKUP(A211+2,Preguntas!$A$1:$A$2976,Preguntas!$D$1:$D$2976)="*",2,IF(LOOKUP(A211+3,Preguntas!$A$1:$A$2976,Preguntas!$D$1:$D$2976)="*",3,IF(LOOKUP(A211+4,Preguntas!$A$1:$A$2976,Preguntas!$D$1:$D$2976)="*",4))))</f>
        <v>2</v>
      </c>
    </row>
    <row r="212" spans="1:2" x14ac:dyDescent="0.25">
      <c r="A212">
        <f t="shared" si="4"/>
        <v>1026</v>
      </c>
      <c r="B212">
        <f>+IF(LOOKUP(A212+1,Preguntas!$A$1:$A$2976,Preguntas!$D$1:$D$2976)="*",1,IF(LOOKUP(A212+2,Preguntas!$A$1:$A$2976,Preguntas!$D$1:$D$2976)="*",2,IF(LOOKUP(A212+3,Preguntas!$A$1:$A$2976,Preguntas!$D$1:$D$2976)="*",3,IF(LOOKUP(A212+4,Preguntas!$A$1:$A$2976,Preguntas!$D$1:$D$2976)="*",4))))</f>
        <v>3</v>
      </c>
    </row>
    <row r="213" spans="1:2" x14ac:dyDescent="0.25">
      <c r="A213">
        <f t="shared" si="4"/>
        <v>1031</v>
      </c>
      <c r="B213">
        <f>+IF(LOOKUP(A213+1,Preguntas!$A$1:$A$2976,Preguntas!$D$1:$D$2976)="*",1,IF(LOOKUP(A213+2,Preguntas!$A$1:$A$2976,Preguntas!$D$1:$D$2976)="*",2,IF(LOOKUP(A213+3,Preguntas!$A$1:$A$2976,Preguntas!$D$1:$D$2976)="*",3,IF(LOOKUP(A213+4,Preguntas!$A$1:$A$2976,Preguntas!$D$1:$D$2976)="*",4))))</f>
        <v>3</v>
      </c>
    </row>
    <row r="214" spans="1:2" x14ac:dyDescent="0.25">
      <c r="A214">
        <f t="shared" si="4"/>
        <v>1036</v>
      </c>
      <c r="B214">
        <f>+IF(LOOKUP(A214+1,Preguntas!$A$1:$A$2976,Preguntas!$D$1:$D$2976)="*",1,IF(LOOKUP(A214+2,Preguntas!$A$1:$A$2976,Preguntas!$D$1:$D$2976)="*",2,IF(LOOKUP(A214+3,Preguntas!$A$1:$A$2976,Preguntas!$D$1:$D$2976)="*",3,IF(LOOKUP(A214+4,Preguntas!$A$1:$A$2976,Preguntas!$D$1:$D$2976)="*",4))))</f>
        <v>1</v>
      </c>
    </row>
    <row r="215" spans="1:2" x14ac:dyDescent="0.25">
      <c r="A215">
        <f t="shared" si="4"/>
        <v>1041</v>
      </c>
      <c r="B215">
        <f>+IF(LOOKUP(A215+1,Preguntas!$A$1:$A$2976,Preguntas!$D$1:$D$2976)="*",1,IF(LOOKUP(A215+2,Preguntas!$A$1:$A$2976,Preguntas!$D$1:$D$2976)="*",2,IF(LOOKUP(A215+3,Preguntas!$A$1:$A$2976,Preguntas!$D$1:$D$2976)="*",3,IF(LOOKUP(A215+4,Preguntas!$A$1:$A$2976,Preguntas!$D$1:$D$2976)="*",4))))</f>
        <v>3</v>
      </c>
    </row>
    <row r="216" spans="1:2" x14ac:dyDescent="0.25">
      <c r="A216">
        <f t="shared" si="4"/>
        <v>1046</v>
      </c>
      <c r="B216">
        <f>+IF(LOOKUP(A216+1,Preguntas!$A$1:$A$2976,Preguntas!$D$1:$D$2976)="*",1,IF(LOOKUP(A216+2,Preguntas!$A$1:$A$2976,Preguntas!$D$1:$D$2976)="*",2,IF(LOOKUP(A216+3,Preguntas!$A$1:$A$2976,Preguntas!$D$1:$D$2976)="*",3,IF(LOOKUP(A216+4,Preguntas!$A$1:$A$2976,Preguntas!$D$1:$D$2976)="*",4))))</f>
        <v>1</v>
      </c>
    </row>
    <row r="217" spans="1:2" x14ac:dyDescent="0.25">
      <c r="A217">
        <f t="shared" si="4"/>
        <v>1051</v>
      </c>
      <c r="B217">
        <f>+IF(LOOKUP(A217+1,Preguntas!$A$1:$A$2976,Preguntas!$D$1:$D$2976)="*",1,IF(LOOKUP(A217+2,Preguntas!$A$1:$A$2976,Preguntas!$D$1:$D$2976)="*",2,IF(LOOKUP(A217+3,Preguntas!$A$1:$A$2976,Preguntas!$D$1:$D$2976)="*",3,IF(LOOKUP(A217+4,Preguntas!$A$1:$A$2976,Preguntas!$D$1:$D$2976)="*",4))))</f>
        <v>3</v>
      </c>
    </row>
    <row r="218" spans="1:2" x14ac:dyDescent="0.25">
      <c r="A218">
        <f t="shared" si="4"/>
        <v>1056</v>
      </c>
      <c r="B218">
        <f>+IF(LOOKUP(A218+1,Preguntas!$A$1:$A$2976,Preguntas!$D$1:$D$2976)="*",1,IF(LOOKUP(A218+2,Preguntas!$A$1:$A$2976,Preguntas!$D$1:$D$2976)="*",2,IF(LOOKUP(A218+3,Preguntas!$A$1:$A$2976,Preguntas!$D$1:$D$2976)="*",3,IF(LOOKUP(A218+4,Preguntas!$A$1:$A$2976,Preguntas!$D$1:$D$2976)="*",4))))</f>
        <v>2</v>
      </c>
    </row>
    <row r="219" spans="1:2" x14ac:dyDescent="0.25">
      <c r="A219">
        <f t="shared" si="4"/>
        <v>1061</v>
      </c>
      <c r="B219">
        <f>+IF(LOOKUP(A219+1,Preguntas!$A$1:$A$2976,Preguntas!$D$1:$D$2976)="*",1,IF(LOOKUP(A219+2,Preguntas!$A$1:$A$2976,Preguntas!$D$1:$D$2976)="*",2,IF(LOOKUP(A219+3,Preguntas!$A$1:$A$2976,Preguntas!$D$1:$D$2976)="*",3,IF(LOOKUP(A219+4,Preguntas!$A$1:$A$2976,Preguntas!$D$1:$D$2976)="*",4))))</f>
        <v>3</v>
      </c>
    </row>
    <row r="220" spans="1:2" x14ac:dyDescent="0.25">
      <c r="A220">
        <f t="shared" si="4"/>
        <v>1066</v>
      </c>
      <c r="B220">
        <f>+IF(LOOKUP(A220+1,Preguntas!$A$1:$A$2976,Preguntas!$D$1:$D$2976)="*",1,IF(LOOKUP(A220+2,Preguntas!$A$1:$A$2976,Preguntas!$D$1:$D$2976)="*",2,IF(LOOKUP(A220+3,Preguntas!$A$1:$A$2976,Preguntas!$D$1:$D$2976)="*",3,IF(LOOKUP(A220+4,Preguntas!$A$1:$A$2976,Preguntas!$D$1:$D$2976)="*",4))))</f>
        <v>2</v>
      </c>
    </row>
    <row r="221" spans="1:2" x14ac:dyDescent="0.25">
      <c r="A221">
        <f t="shared" si="4"/>
        <v>1071</v>
      </c>
      <c r="B221">
        <f>+IF(LOOKUP(A221+1,Preguntas!$A$1:$A$2976,Preguntas!$D$1:$D$2976)="*",1,IF(LOOKUP(A221+2,Preguntas!$A$1:$A$2976,Preguntas!$D$1:$D$2976)="*",2,IF(LOOKUP(A221+3,Preguntas!$A$1:$A$2976,Preguntas!$D$1:$D$2976)="*",3,IF(LOOKUP(A221+4,Preguntas!$A$1:$A$2976,Preguntas!$D$1:$D$2976)="*",4))))</f>
        <v>1</v>
      </c>
    </row>
    <row r="222" spans="1:2" x14ac:dyDescent="0.25">
      <c r="A222">
        <f t="shared" si="4"/>
        <v>1076</v>
      </c>
      <c r="B222">
        <f>+IF(LOOKUP(A222+1,Preguntas!$A$1:$A$2976,Preguntas!$D$1:$D$2976)="*",1,IF(LOOKUP(A222+2,Preguntas!$A$1:$A$2976,Preguntas!$D$1:$D$2976)="*",2,IF(LOOKUP(A222+3,Preguntas!$A$1:$A$2976,Preguntas!$D$1:$D$2976)="*",3,IF(LOOKUP(A222+4,Preguntas!$A$1:$A$2976,Preguntas!$D$1:$D$2976)="*",4))))</f>
        <v>1</v>
      </c>
    </row>
    <row r="223" spans="1:2" x14ac:dyDescent="0.25">
      <c r="A223">
        <f t="shared" si="4"/>
        <v>1081</v>
      </c>
      <c r="B223">
        <f>+IF(LOOKUP(A223+1,Preguntas!$A$1:$A$2976,Preguntas!$D$1:$D$2976)="*",1,IF(LOOKUP(A223+2,Preguntas!$A$1:$A$2976,Preguntas!$D$1:$D$2976)="*",2,IF(LOOKUP(A223+3,Preguntas!$A$1:$A$2976,Preguntas!$D$1:$D$2976)="*",3,IF(LOOKUP(A223+4,Preguntas!$A$1:$A$2976,Preguntas!$D$1:$D$2976)="*",4))))</f>
        <v>3</v>
      </c>
    </row>
    <row r="224" spans="1:2" x14ac:dyDescent="0.25">
      <c r="A224">
        <f t="shared" si="4"/>
        <v>1086</v>
      </c>
      <c r="B224">
        <f>+IF(LOOKUP(A224+1,Preguntas!$A$1:$A$2976,Preguntas!$D$1:$D$2976)="*",1,IF(LOOKUP(A224+2,Preguntas!$A$1:$A$2976,Preguntas!$D$1:$D$2976)="*",2,IF(LOOKUP(A224+3,Preguntas!$A$1:$A$2976,Preguntas!$D$1:$D$2976)="*",3,IF(LOOKUP(A224+4,Preguntas!$A$1:$A$2976,Preguntas!$D$1:$D$2976)="*",4))))</f>
        <v>2</v>
      </c>
    </row>
    <row r="225" spans="1:2" x14ac:dyDescent="0.25">
      <c r="A225">
        <f t="shared" si="4"/>
        <v>1091</v>
      </c>
      <c r="B225">
        <f>+IF(LOOKUP(A225+1,Preguntas!$A$1:$A$2976,Preguntas!$D$1:$D$2976)="*",1,IF(LOOKUP(A225+2,Preguntas!$A$1:$A$2976,Preguntas!$D$1:$D$2976)="*",2,IF(LOOKUP(A225+3,Preguntas!$A$1:$A$2976,Preguntas!$D$1:$D$2976)="*",3,IF(LOOKUP(A225+4,Preguntas!$A$1:$A$2976,Preguntas!$D$1:$D$2976)="*",4))))</f>
        <v>3</v>
      </c>
    </row>
    <row r="226" spans="1:2" x14ac:dyDescent="0.25">
      <c r="A226">
        <f t="shared" si="4"/>
        <v>1096</v>
      </c>
      <c r="B226">
        <f>+IF(LOOKUP(A226+1,Preguntas!$A$1:$A$2976,Preguntas!$D$1:$D$2976)="*",1,IF(LOOKUP(A226+2,Preguntas!$A$1:$A$2976,Preguntas!$D$1:$D$2976)="*",2,IF(LOOKUP(A226+3,Preguntas!$A$1:$A$2976,Preguntas!$D$1:$D$2976)="*",3,IF(LOOKUP(A226+4,Preguntas!$A$1:$A$2976,Preguntas!$D$1:$D$2976)="*",4))))</f>
        <v>1</v>
      </c>
    </row>
    <row r="227" spans="1:2" x14ac:dyDescent="0.25">
      <c r="A227">
        <f t="shared" si="4"/>
        <v>1101</v>
      </c>
      <c r="B227">
        <f>+IF(LOOKUP(A227+1,Preguntas!$A$1:$A$2976,Preguntas!$D$1:$D$2976)="*",1,IF(LOOKUP(A227+2,Preguntas!$A$1:$A$2976,Preguntas!$D$1:$D$2976)="*",2,IF(LOOKUP(A227+3,Preguntas!$A$1:$A$2976,Preguntas!$D$1:$D$2976)="*",3,IF(LOOKUP(A227+4,Preguntas!$A$1:$A$2976,Preguntas!$D$1:$D$2976)="*",4))))</f>
        <v>2</v>
      </c>
    </row>
    <row r="228" spans="1:2" x14ac:dyDescent="0.25">
      <c r="A228">
        <f t="shared" si="4"/>
        <v>1106</v>
      </c>
      <c r="B228">
        <f>+IF(LOOKUP(A228+1,Preguntas!$A$1:$A$2976,Preguntas!$D$1:$D$2976)="*",1,IF(LOOKUP(A228+2,Preguntas!$A$1:$A$2976,Preguntas!$D$1:$D$2976)="*",2,IF(LOOKUP(A228+3,Preguntas!$A$1:$A$2976,Preguntas!$D$1:$D$2976)="*",3,IF(LOOKUP(A228+4,Preguntas!$A$1:$A$2976,Preguntas!$D$1:$D$2976)="*",4))))</f>
        <v>4</v>
      </c>
    </row>
    <row r="229" spans="1:2" x14ac:dyDescent="0.25">
      <c r="A229">
        <f t="shared" si="4"/>
        <v>1111</v>
      </c>
      <c r="B229">
        <f>+IF(LOOKUP(A229+1,Preguntas!$A$1:$A$2976,Preguntas!$D$1:$D$2976)="*",1,IF(LOOKUP(A229+2,Preguntas!$A$1:$A$2976,Preguntas!$D$1:$D$2976)="*",2,IF(LOOKUP(A229+3,Preguntas!$A$1:$A$2976,Preguntas!$D$1:$D$2976)="*",3,IF(LOOKUP(A229+4,Preguntas!$A$1:$A$2976,Preguntas!$D$1:$D$2976)="*",4))))</f>
        <v>3</v>
      </c>
    </row>
    <row r="230" spans="1:2" x14ac:dyDescent="0.25">
      <c r="A230">
        <f t="shared" si="4"/>
        <v>1116</v>
      </c>
      <c r="B230">
        <f>+IF(LOOKUP(A230+1,Preguntas!$A$1:$A$2976,Preguntas!$D$1:$D$2976)="*",1,IF(LOOKUP(A230+2,Preguntas!$A$1:$A$2976,Preguntas!$D$1:$D$2976)="*",2,IF(LOOKUP(A230+3,Preguntas!$A$1:$A$2976,Preguntas!$D$1:$D$2976)="*",3,IF(LOOKUP(A230+4,Preguntas!$A$1:$A$2976,Preguntas!$D$1:$D$2976)="*",4))))</f>
        <v>4</v>
      </c>
    </row>
    <row r="231" spans="1:2" x14ac:dyDescent="0.25">
      <c r="A231">
        <f t="shared" si="4"/>
        <v>1121</v>
      </c>
      <c r="B231">
        <f>+IF(LOOKUP(A231+1,Preguntas!$A$1:$A$2976,Preguntas!$D$1:$D$2976)="*",1,IF(LOOKUP(A231+2,Preguntas!$A$1:$A$2976,Preguntas!$D$1:$D$2976)="*",2,IF(LOOKUP(A231+3,Preguntas!$A$1:$A$2976,Preguntas!$D$1:$D$2976)="*",3,IF(LOOKUP(A231+4,Preguntas!$A$1:$A$2976,Preguntas!$D$1:$D$2976)="*",4))))</f>
        <v>3</v>
      </c>
    </row>
    <row r="232" spans="1:2" x14ac:dyDescent="0.25">
      <c r="A232">
        <f t="shared" si="4"/>
        <v>1126</v>
      </c>
      <c r="B232">
        <f>+IF(LOOKUP(A232+1,Preguntas!$A$1:$A$2976,Preguntas!$D$1:$D$2976)="*",1,IF(LOOKUP(A232+2,Preguntas!$A$1:$A$2976,Preguntas!$D$1:$D$2976)="*",2,IF(LOOKUP(A232+3,Preguntas!$A$1:$A$2976,Preguntas!$D$1:$D$2976)="*",3,IF(LOOKUP(A232+4,Preguntas!$A$1:$A$2976,Preguntas!$D$1:$D$2976)="*",4))))</f>
        <v>2</v>
      </c>
    </row>
    <row r="233" spans="1:2" x14ac:dyDescent="0.25">
      <c r="A233">
        <f t="shared" si="4"/>
        <v>1131</v>
      </c>
      <c r="B233">
        <f>+IF(LOOKUP(A233+1,Preguntas!$A$1:$A$2976,Preguntas!$D$1:$D$2976)="*",1,IF(LOOKUP(A233+2,Preguntas!$A$1:$A$2976,Preguntas!$D$1:$D$2976)="*",2,IF(LOOKUP(A233+3,Preguntas!$A$1:$A$2976,Preguntas!$D$1:$D$2976)="*",3,IF(LOOKUP(A233+4,Preguntas!$A$1:$A$2976,Preguntas!$D$1:$D$2976)="*",4))))</f>
        <v>4</v>
      </c>
    </row>
    <row r="234" spans="1:2" x14ac:dyDescent="0.25">
      <c r="A234">
        <f t="shared" si="4"/>
        <v>1136</v>
      </c>
      <c r="B234">
        <f>+IF(LOOKUP(A234+1,Preguntas!$A$1:$A$2976,Preguntas!$D$1:$D$2976)="*",1,IF(LOOKUP(A234+2,Preguntas!$A$1:$A$2976,Preguntas!$D$1:$D$2976)="*",2,IF(LOOKUP(A234+3,Preguntas!$A$1:$A$2976,Preguntas!$D$1:$D$2976)="*",3,IF(LOOKUP(A234+4,Preguntas!$A$1:$A$2976,Preguntas!$D$1:$D$2976)="*",4))))</f>
        <v>2</v>
      </c>
    </row>
    <row r="235" spans="1:2" x14ac:dyDescent="0.25">
      <c r="A235">
        <f t="shared" si="4"/>
        <v>1141</v>
      </c>
      <c r="B235">
        <f>+IF(LOOKUP(A235+1,Preguntas!$A$1:$A$2976,Preguntas!$D$1:$D$2976)="*",1,IF(LOOKUP(A235+2,Preguntas!$A$1:$A$2976,Preguntas!$D$1:$D$2976)="*",2,IF(LOOKUP(A235+3,Preguntas!$A$1:$A$2976,Preguntas!$D$1:$D$2976)="*",3,IF(LOOKUP(A235+4,Preguntas!$A$1:$A$2976,Preguntas!$D$1:$D$2976)="*",4))))</f>
        <v>3</v>
      </c>
    </row>
    <row r="236" spans="1:2" x14ac:dyDescent="0.25">
      <c r="A236">
        <f t="shared" si="4"/>
        <v>1146</v>
      </c>
      <c r="B236">
        <f>+IF(LOOKUP(A236+1,Preguntas!$A$1:$A$2976,Preguntas!$D$1:$D$2976)="*",1,IF(LOOKUP(A236+2,Preguntas!$A$1:$A$2976,Preguntas!$D$1:$D$2976)="*",2,IF(LOOKUP(A236+3,Preguntas!$A$1:$A$2976,Preguntas!$D$1:$D$2976)="*",3,IF(LOOKUP(A236+4,Preguntas!$A$1:$A$2976,Preguntas!$D$1:$D$2976)="*",4))))</f>
        <v>1</v>
      </c>
    </row>
    <row r="237" spans="1:2" x14ac:dyDescent="0.25">
      <c r="A237">
        <f t="shared" si="4"/>
        <v>1151</v>
      </c>
      <c r="B237">
        <f>+IF(LOOKUP(A237+1,Preguntas!$A$1:$A$2976,Preguntas!$D$1:$D$2976)="*",1,IF(LOOKUP(A237+2,Preguntas!$A$1:$A$2976,Preguntas!$D$1:$D$2976)="*",2,IF(LOOKUP(A237+3,Preguntas!$A$1:$A$2976,Preguntas!$D$1:$D$2976)="*",3,IF(LOOKUP(A237+4,Preguntas!$A$1:$A$2976,Preguntas!$D$1:$D$2976)="*",4))))</f>
        <v>2</v>
      </c>
    </row>
    <row r="238" spans="1:2" x14ac:dyDescent="0.25">
      <c r="A238">
        <f t="shared" si="4"/>
        <v>1156</v>
      </c>
      <c r="B238">
        <f>+IF(LOOKUP(A238+1,Preguntas!$A$1:$A$2976,Preguntas!$D$1:$D$2976)="*",1,IF(LOOKUP(A238+2,Preguntas!$A$1:$A$2976,Preguntas!$D$1:$D$2976)="*",2,IF(LOOKUP(A238+3,Preguntas!$A$1:$A$2976,Preguntas!$D$1:$D$2976)="*",3,IF(LOOKUP(A238+4,Preguntas!$A$1:$A$2976,Preguntas!$D$1:$D$2976)="*",4))))</f>
        <v>3</v>
      </c>
    </row>
    <row r="239" spans="1:2" x14ac:dyDescent="0.25">
      <c r="A239">
        <f t="shared" si="4"/>
        <v>1161</v>
      </c>
      <c r="B239">
        <f>+IF(LOOKUP(A239+1,Preguntas!$A$1:$A$2976,Preguntas!$D$1:$D$2976)="*",1,IF(LOOKUP(A239+2,Preguntas!$A$1:$A$2976,Preguntas!$D$1:$D$2976)="*",2,IF(LOOKUP(A239+3,Preguntas!$A$1:$A$2976,Preguntas!$D$1:$D$2976)="*",3,IF(LOOKUP(A239+4,Preguntas!$A$1:$A$2976,Preguntas!$D$1:$D$2976)="*",4))))</f>
        <v>4</v>
      </c>
    </row>
    <row r="240" spans="1:2" x14ac:dyDescent="0.25">
      <c r="A240">
        <f t="shared" si="4"/>
        <v>1166</v>
      </c>
      <c r="B240">
        <f>+IF(LOOKUP(A240+1,Preguntas!$A$1:$A$2976,Preguntas!$D$1:$D$2976)="*",1,IF(LOOKUP(A240+2,Preguntas!$A$1:$A$2976,Preguntas!$D$1:$D$2976)="*",2,IF(LOOKUP(A240+3,Preguntas!$A$1:$A$2976,Preguntas!$D$1:$D$2976)="*",3,IF(LOOKUP(A240+4,Preguntas!$A$1:$A$2976,Preguntas!$D$1:$D$2976)="*",4))))</f>
        <v>1</v>
      </c>
    </row>
    <row r="241" spans="1:2" x14ac:dyDescent="0.25">
      <c r="A241">
        <f t="shared" si="4"/>
        <v>1171</v>
      </c>
      <c r="B241">
        <f>+IF(LOOKUP(A241+1,Preguntas!$A$1:$A$2976,Preguntas!$D$1:$D$2976)="*",1,IF(LOOKUP(A241+2,Preguntas!$A$1:$A$2976,Preguntas!$D$1:$D$2976)="*",2,IF(LOOKUP(A241+3,Preguntas!$A$1:$A$2976,Preguntas!$D$1:$D$2976)="*",3,IF(LOOKUP(A241+4,Preguntas!$A$1:$A$2976,Preguntas!$D$1:$D$2976)="*",4))))</f>
        <v>3</v>
      </c>
    </row>
    <row r="242" spans="1:2" x14ac:dyDescent="0.25">
      <c r="A242">
        <f t="shared" si="4"/>
        <v>1176</v>
      </c>
      <c r="B242">
        <f>+IF(LOOKUP(A242+1,Preguntas!$A$1:$A$2976,Preguntas!$D$1:$D$2976)="*",1,IF(LOOKUP(A242+2,Preguntas!$A$1:$A$2976,Preguntas!$D$1:$D$2976)="*",2,IF(LOOKUP(A242+3,Preguntas!$A$1:$A$2976,Preguntas!$D$1:$D$2976)="*",3,IF(LOOKUP(A242+4,Preguntas!$A$1:$A$2976,Preguntas!$D$1:$D$2976)="*",4))))</f>
        <v>3</v>
      </c>
    </row>
    <row r="243" spans="1:2" x14ac:dyDescent="0.25">
      <c r="A243">
        <f t="shared" si="4"/>
        <v>1181</v>
      </c>
      <c r="B243">
        <f>+IF(LOOKUP(A243+1,Preguntas!$A$1:$A$2976,Preguntas!$D$1:$D$2976)="*",1,IF(LOOKUP(A243+2,Preguntas!$A$1:$A$2976,Preguntas!$D$1:$D$2976)="*",2,IF(LOOKUP(A243+3,Preguntas!$A$1:$A$2976,Preguntas!$D$1:$D$2976)="*",3,IF(LOOKUP(A243+4,Preguntas!$A$1:$A$2976,Preguntas!$D$1:$D$2976)="*",4))))</f>
        <v>1</v>
      </c>
    </row>
    <row r="244" spans="1:2" x14ac:dyDescent="0.25">
      <c r="A244">
        <f t="shared" si="4"/>
        <v>1186</v>
      </c>
      <c r="B244">
        <f>+IF(LOOKUP(A244+1,Preguntas!$A$1:$A$2976,Preguntas!$D$1:$D$2976)="*",1,IF(LOOKUP(A244+2,Preguntas!$A$1:$A$2976,Preguntas!$D$1:$D$2976)="*",2,IF(LOOKUP(A244+3,Preguntas!$A$1:$A$2976,Preguntas!$D$1:$D$2976)="*",3,IF(LOOKUP(A244+4,Preguntas!$A$1:$A$2976,Preguntas!$D$1:$D$2976)="*",4))))</f>
        <v>3</v>
      </c>
    </row>
    <row r="245" spans="1:2" x14ac:dyDescent="0.25">
      <c r="A245">
        <f t="shared" si="4"/>
        <v>1191</v>
      </c>
      <c r="B245">
        <f>+IF(LOOKUP(A245+1,Preguntas!$A$1:$A$2976,Preguntas!$D$1:$D$2976)="*",1,IF(LOOKUP(A245+2,Preguntas!$A$1:$A$2976,Preguntas!$D$1:$D$2976)="*",2,IF(LOOKUP(A245+3,Preguntas!$A$1:$A$2976,Preguntas!$D$1:$D$2976)="*",3,IF(LOOKUP(A245+4,Preguntas!$A$1:$A$2976,Preguntas!$D$1:$D$2976)="*",4))))</f>
        <v>3</v>
      </c>
    </row>
    <row r="246" spans="1:2" x14ac:dyDescent="0.25">
      <c r="A246">
        <f t="shared" si="4"/>
        <v>1196</v>
      </c>
      <c r="B246">
        <f>+IF(LOOKUP(A246+1,Preguntas!$A$1:$A$2976,Preguntas!$D$1:$D$2976)="*",1,IF(LOOKUP(A246+2,Preguntas!$A$1:$A$2976,Preguntas!$D$1:$D$2976)="*",2,IF(LOOKUP(A246+3,Preguntas!$A$1:$A$2976,Preguntas!$D$1:$D$2976)="*",3,IF(LOOKUP(A246+4,Preguntas!$A$1:$A$2976,Preguntas!$D$1:$D$2976)="*",4))))</f>
        <v>1</v>
      </c>
    </row>
    <row r="247" spans="1:2" x14ac:dyDescent="0.25">
      <c r="A247">
        <f t="shared" si="4"/>
        <v>1201</v>
      </c>
      <c r="B247">
        <f>+IF(LOOKUP(A247+1,Preguntas!$A$1:$A$2976,Preguntas!$D$1:$D$2976)="*",1,IF(LOOKUP(A247+2,Preguntas!$A$1:$A$2976,Preguntas!$D$1:$D$2976)="*",2,IF(LOOKUP(A247+3,Preguntas!$A$1:$A$2976,Preguntas!$D$1:$D$2976)="*",3,IF(LOOKUP(A247+4,Preguntas!$A$1:$A$2976,Preguntas!$D$1:$D$2976)="*",4))))</f>
        <v>1</v>
      </c>
    </row>
    <row r="248" spans="1:2" x14ac:dyDescent="0.25">
      <c r="A248">
        <f t="shared" si="4"/>
        <v>1206</v>
      </c>
      <c r="B248">
        <f>+IF(LOOKUP(A248+1,Preguntas!$A$1:$A$2976,Preguntas!$D$1:$D$2976)="*",1,IF(LOOKUP(A248+2,Preguntas!$A$1:$A$2976,Preguntas!$D$1:$D$2976)="*",2,IF(LOOKUP(A248+3,Preguntas!$A$1:$A$2976,Preguntas!$D$1:$D$2976)="*",3,IF(LOOKUP(A248+4,Preguntas!$A$1:$A$2976,Preguntas!$D$1:$D$2976)="*",4))))</f>
        <v>3</v>
      </c>
    </row>
    <row r="249" spans="1:2" x14ac:dyDescent="0.25">
      <c r="A249">
        <f t="shared" si="4"/>
        <v>1211</v>
      </c>
      <c r="B249">
        <f>+IF(LOOKUP(A249+1,Preguntas!$A$1:$A$2976,Preguntas!$D$1:$D$2976)="*",1,IF(LOOKUP(A249+2,Preguntas!$A$1:$A$2976,Preguntas!$D$1:$D$2976)="*",2,IF(LOOKUP(A249+3,Preguntas!$A$1:$A$2976,Preguntas!$D$1:$D$2976)="*",3,IF(LOOKUP(A249+4,Preguntas!$A$1:$A$2976,Preguntas!$D$1:$D$2976)="*",4))))</f>
        <v>2</v>
      </c>
    </row>
    <row r="250" spans="1:2" x14ac:dyDescent="0.25">
      <c r="A250">
        <f t="shared" si="4"/>
        <v>1216</v>
      </c>
      <c r="B250">
        <f>+IF(LOOKUP(A250+1,Preguntas!$A$1:$A$2976,Preguntas!$D$1:$D$2976)="*",1,IF(LOOKUP(A250+2,Preguntas!$A$1:$A$2976,Preguntas!$D$1:$D$2976)="*",2,IF(LOOKUP(A250+3,Preguntas!$A$1:$A$2976,Preguntas!$D$1:$D$2976)="*",3,IF(LOOKUP(A250+4,Preguntas!$A$1:$A$2976,Preguntas!$D$1:$D$2976)="*",4))))</f>
        <v>4</v>
      </c>
    </row>
    <row r="251" spans="1:2" x14ac:dyDescent="0.25">
      <c r="A251">
        <f t="shared" si="4"/>
        <v>1221</v>
      </c>
      <c r="B251">
        <f>+IF(LOOKUP(A251+1,Preguntas!$A$1:$A$2976,Preguntas!$D$1:$D$2976)="*",1,IF(LOOKUP(A251+2,Preguntas!$A$1:$A$2976,Preguntas!$D$1:$D$2976)="*",2,IF(LOOKUP(A251+3,Preguntas!$A$1:$A$2976,Preguntas!$D$1:$D$2976)="*",3,IF(LOOKUP(A251+4,Preguntas!$A$1:$A$2976,Preguntas!$D$1:$D$2976)="*",4))))</f>
        <v>2</v>
      </c>
    </row>
    <row r="252" spans="1:2" x14ac:dyDescent="0.25">
      <c r="A252">
        <f t="shared" si="4"/>
        <v>1226</v>
      </c>
      <c r="B252">
        <f>+IF(LOOKUP(A252+1,Preguntas!$A$1:$A$2976,Preguntas!$D$1:$D$2976)="*",1,IF(LOOKUP(A252+2,Preguntas!$A$1:$A$2976,Preguntas!$D$1:$D$2976)="*",2,IF(LOOKUP(A252+3,Preguntas!$A$1:$A$2976,Preguntas!$D$1:$D$2976)="*",3,IF(LOOKUP(A252+4,Preguntas!$A$1:$A$2976,Preguntas!$D$1:$D$2976)="*",4))))</f>
        <v>1</v>
      </c>
    </row>
    <row r="253" spans="1:2" x14ac:dyDescent="0.25">
      <c r="A253">
        <f t="shared" si="4"/>
        <v>1231</v>
      </c>
      <c r="B253">
        <f>+IF(LOOKUP(A253+1,Preguntas!$A$1:$A$2976,Preguntas!$D$1:$D$2976)="*",1,IF(LOOKUP(A253+2,Preguntas!$A$1:$A$2976,Preguntas!$D$1:$D$2976)="*",2,IF(LOOKUP(A253+3,Preguntas!$A$1:$A$2976,Preguntas!$D$1:$D$2976)="*",3,IF(LOOKUP(A253+4,Preguntas!$A$1:$A$2976,Preguntas!$D$1:$D$2976)="*",4))))</f>
        <v>4</v>
      </c>
    </row>
    <row r="254" spans="1:2" x14ac:dyDescent="0.25">
      <c r="A254">
        <f t="shared" si="4"/>
        <v>1236</v>
      </c>
      <c r="B254">
        <f>+IF(LOOKUP(A254+1,Preguntas!$A$1:$A$2976,Preguntas!$D$1:$D$2976)="*",1,IF(LOOKUP(A254+2,Preguntas!$A$1:$A$2976,Preguntas!$D$1:$D$2976)="*",2,IF(LOOKUP(A254+3,Preguntas!$A$1:$A$2976,Preguntas!$D$1:$D$2976)="*",3,IF(LOOKUP(A254+4,Preguntas!$A$1:$A$2976,Preguntas!$D$1:$D$2976)="*",4))))</f>
        <v>2</v>
      </c>
    </row>
    <row r="255" spans="1:2" x14ac:dyDescent="0.25">
      <c r="A255">
        <f t="shared" si="4"/>
        <v>1241</v>
      </c>
      <c r="B255">
        <f>+IF(LOOKUP(A255+1,Preguntas!$A$1:$A$2976,Preguntas!$D$1:$D$2976)="*",1,IF(LOOKUP(A255+2,Preguntas!$A$1:$A$2976,Preguntas!$D$1:$D$2976)="*",2,IF(LOOKUP(A255+3,Preguntas!$A$1:$A$2976,Preguntas!$D$1:$D$2976)="*",3,IF(LOOKUP(A255+4,Preguntas!$A$1:$A$2976,Preguntas!$D$1:$D$2976)="*",4))))</f>
        <v>3</v>
      </c>
    </row>
    <row r="256" spans="1:2" x14ac:dyDescent="0.25">
      <c r="A256">
        <f t="shared" si="4"/>
        <v>1246</v>
      </c>
      <c r="B256">
        <f>+IF(LOOKUP(A256+1,Preguntas!$A$1:$A$2976,Preguntas!$D$1:$D$2976)="*",1,IF(LOOKUP(A256+2,Preguntas!$A$1:$A$2976,Preguntas!$D$1:$D$2976)="*",2,IF(LOOKUP(A256+3,Preguntas!$A$1:$A$2976,Preguntas!$D$1:$D$2976)="*",3,IF(LOOKUP(A256+4,Preguntas!$A$1:$A$2976,Preguntas!$D$1:$D$2976)="*",4))))</f>
        <v>4</v>
      </c>
    </row>
    <row r="257" spans="1:2" x14ac:dyDescent="0.25">
      <c r="A257">
        <f t="shared" si="4"/>
        <v>1251</v>
      </c>
      <c r="B257">
        <f>+IF(LOOKUP(A257+1,Preguntas!$A$1:$A$2976,Preguntas!$D$1:$D$2976)="*",1,IF(LOOKUP(A257+2,Preguntas!$A$1:$A$2976,Preguntas!$D$1:$D$2976)="*",2,IF(LOOKUP(A257+3,Preguntas!$A$1:$A$2976,Preguntas!$D$1:$D$2976)="*",3,IF(LOOKUP(A257+4,Preguntas!$A$1:$A$2976,Preguntas!$D$1:$D$2976)="*",4))))</f>
        <v>2</v>
      </c>
    </row>
    <row r="258" spans="1:2" x14ac:dyDescent="0.25">
      <c r="A258">
        <f t="shared" si="4"/>
        <v>1256</v>
      </c>
      <c r="B258">
        <f>+IF(LOOKUP(A258+1,Preguntas!$A$1:$A$2976,Preguntas!$D$1:$D$2976)="*",1,IF(LOOKUP(A258+2,Preguntas!$A$1:$A$2976,Preguntas!$D$1:$D$2976)="*",2,IF(LOOKUP(A258+3,Preguntas!$A$1:$A$2976,Preguntas!$D$1:$D$2976)="*",3,IF(LOOKUP(A258+4,Preguntas!$A$1:$A$2976,Preguntas!$D$1:$D$2976)="*",4))))</f>
        <v>2</v>
      </c>
    </row>
    <row r="259" spans="1:2" x14ac:dyDescent="0.25">
      <c r="A259">
        <f t="shared" si="4"/>
        <v>1261</v>
      </c>
      <c r="B259">
        <f>+IF(LOOKUP(A259+1,Preguntas!$A$1:$A$2976,Preguntas!$D$1:$D$2976)="*",1,IF(LOOKUP(A259+2,Preguntas!$A$1:$A$2976,Preguntas!$D$1:$D$2976)="*",2,IF(LOOKUP(A259+3,Preguntas!$A$1:$A$2976,Preguntas!$D$1:$D$2976)="*",3,IF(LOOKUP(A259+4,Preguntas!$A$1:$A$2976,Preguntas!$D$1:$D$2976)="*",4))))</f>
        <v>3</v>
      </c>
    </row>
    <row r="260" spans="1:2" x14ac:dyDescent="0.25">
      <c r="A260">
        <f t="shared" si="4"/>
        <v>1266</v>
      </c>
      <c r="B260">
        <f>+IF(LOOKUP(A260+1,Preguntas!$A$1:$A$2976,Preguntas!$D$1:$D$2976)="*",1,IF(LOOKUP(A260+2,Preguntas!$A$1:$A$2976,Preguntas!$D$1:$D$2976)="*",2,IF(LOOKUP(A260+3,Preguntas!$A$1:$A$2976,Preguntas!$D$1:$D$2976)="*",3,IF(LOOKUP(A260+4,Preguntas!$A$1:$A$2976,Preguntas!$D$1:$D$2976)="*",4))))</f>
        <v>4</v>
      </c>
    </row>
    <row r="261" spans="1:2" x14ac:dyDescent="0.25">
      <c r="A261">
        <f t="shared" si="4"/>
        <v>1271</v>
      </c>
      <c r="B261">
        <f>+IF(LOOKUP(A261+1,Preguntas!$A$1:$A$2976,Preguntas!$D$1:$D$2976)="*",1,IF(LOOKUP(A261+2,Preguntas!$A$1:$A$2976,Preguntas!$D$1:$D$2976)="*",2,IF(LOOKUP(A261+3,Preguntas!$A$1:$A$2976,Preguntas!$D$1:$D$2976)="*",3,IF(LOOKUP(A261+4,Preguntas!$A$1:$A$2976,Preguntas!$D$1:$D$2976)="*",4))))</f>
        <v>2</v>
      </c>
    </row>
    <row r="262" spans="1:2" x14ac:dyDescent="0.25">
      <c r="A262">
        <f t="shared" si="4"/>
        <v>1276</v>
      </c>
      <c r="B262">
        <f>+IF(LOOKUP(A262+1,Preguntas!$A$1:$A$2976,Preguntas!$D$1:$D$2976)="*",1,IF(LOOKUP(A262+2,Preguntas!$A$1:$A$2976,Preguntas!$D$1:$D$2976)="*",2,IF(LOOKUP(A262+3,Preguntas!$A$1:$A$2976,Preguntas!$D$1:$D$2976)="*",3,IF(LOOKUP(A262+4,Preguntas!$A$1:$A$2976,Preguntas!$D$1:$D$2976)="*",4))))</f>
        <v>2</v>
      </c>
    </row>
    <row r="263" spans="1:2" x14ac:dyDescent="0.25">
      <c r="A263">
        <f t="shared" si="4"/>
        <v>1281</v>
      </c>
      <c r="B263">
        <f>+IF(LOOKUP(A263+1,Preguntas!$A$1:$A$2976,Preguntas!$D$1:$D$2976)="*",1,IF(LOOKUP(A263+2,Preguntas!$A$1:$A$2976,Preguntas!$D$1:$D$2976)="*",2,IF(LOOKUP(A263+3,Preguntas!$A$1:$A$2976,Preguntas!$D$1:$D$2976)="*",3,IF(LOOKUP(A263+4,Preguntas!$A$1:$A$2976,Preguntas!$D$1:$D$2976)="*",4))))</f>
        <v>3</v>
      </c>
    </row>
    <row r="264" spans="1:2" x14ac:dyDescent="0.25">
      <c r="A264">
        <f t="shared" si="4"/>
        <v>1286</v>
      </c>
      <c r="B264">
        <f>+IF(LOOKUP(A264+1,Preguntas!$A$1:$A$2976,Preguntas!$D$1:$D$2976)="*",1,IF(LOOKUP(A264+2,Preguntas!$A$1:$A$2976,Preguntas!$D$1:$D$2976)="*",2,IF(LOOKUP(A264+3,Preguntas!$A$1:$A$2976,Preguntas!$D$1:$D$2976)="*",3,IF(LOOKUP(A264+4,Preguntas!$A$1:$A$2976,Preguntas!$D$1:$D$2976)="*",4))))</f>
        <v>4</v>
      </c>
    </row>
    <row r="265" spans="1:2" x14ac:dyDescent="0.25">
      <c r="A265">
        <f t="shared" ref="A265:A328" si="5">+A264+5</f>
        <v>1291</v>
      </c>
      <c r="B265">
        <f>+IF(LOOKUP(A265+1,Preguntas!$A$1:$A$2976,Preguntas!$D$1:$D$2976)="*",1,IF(LOOKUP(A265+2,Preguntas!$A$1:$A$2976,Preguntas!$D$1:$D$2976)="*",2,IF(LOOKUP(A265+3,Preguntas!$A$1:$A$2976,Preguntas!$D$1:$D$2976)="*",3,IF(LOOKUP(A265+4,Preguntas!$A$1:$A$2976,Preguntas!$D$1:$D$2976)="*",4))))</f>
        <v>1</v>
      </c>
    </row>
    <row r="266" spans="1:2" x14ac:dyDescent="0.25">
      <c r="A266">
        <f t="shared" si="5"/>
        <v>1296</v>
      </c>
      <c r="B266">
        <f>+IF(LOOKUP(A266+1,Preguntas!$A$1:$A$2976,Preguntas!$D$1:$D$2976)="*",1,IF(LOOKUP(A266+2,Preguntas!$A$1:$A$2976,Preguntas!$D$1:$D$2976)="*",2,IF(LOOKUP(A266+3,Preguntas!$A$1:$A$2976,Preguntas!$D$1:$D$2976)="*",3,IF(LOOKUP(A266+4,Preguntas!$A$1:$A$2976,Preguntas!$D$1:$D$2976)="*",4))))</f>
        <v>3</v>
      </c>
    </row>
    <row r="267" spans="1:2" x14ac:dyDescent="0.25">
      <c r="A267">
        <f t="shared" si="5"/>
        <v>1301</v>
      </c>
      <c r="B267">
        <f>+IF(LOOKUP(A267+1,Preguntas!$A$1:$A$2976,Preguntas!$D$1:$D$2976)="*",1,IF(LOOKUP(A267+2,Preguntas!$A$1:$A$2976,Preguntas!$D$1:$D$2976)="*",2,IF(LOOKUP(A267+3,Preguntas!$A$1:$A$2976,Preguntas!$D$1:$D$2976)="*",3,IF(LOOKUP(A267+4,Preguntas!$A$1:$A$2976,Preguntas!$D$1:$D$2976)="*",4))))</f>
        <v>2</v>
      </c>
    </row>
    <row r="268" spans="1:2" x14ac:dyDescent="0.25">
      <c r="A268">
        <f t="shared" si="5"/>
        <v>1306</v>
      </c>
      <c r="B268">
        <f>+IF(LOOKUP(A268+1,Preguntas!$A$1:$A$2976,Preguntas!$D$1:$D$2976)="*",1,IF(LOOKUP(A268+2,Preguntas!$A$1:$A$2976,Preguntas!$D$1:$D$2976)="*",2,IF(LOOKUP(A268+3,Preguntas!$A$1:$A$2976,Preguntas!$D$1:$D$2976)="*",3,IF(LOOKUP(A268+4,Preguntas!$A$1:$A$2976,Preguntas!$D$1:$D$2976)="*",4))))</f>
        <v>3</v>
      </c>
    </row>
    <row r="269" spans="1:2" x14ac:dyDescent="0.25">
      <c r="A269">
        <f t="shared" si="5"/>
        <v>1311</v>
      </c>
      <c r="B269">
        <f>+IF(LOOKUP(A269+1,Preguntas!$A$1:$A$2976,Preguntas!$D$1:$D$2976)="*",1,IF(LOOKUP(A269+2,Preguntas!$A$1:$A$2976,Preguntas!$D$1:$D$2976)="*",2,IF(LOOKUP(A269+3,Preguntas!$A$1:$A$2976,Preguntas!$D$1:$D$2976)="*",3,IF(LOOKUP(A269+4,Preguntas!$A$1:$A$2976,Preguntas!$D$1:$D$2976)="*",4))))</f>
        <v>3</v>
      </c>
    </row>
    <row r="270" spans="1:2" x14ac:dyDescent="0.25">
      <c r="A270">
        <f t="shared" si="5"/>
        <v>1316</v>
      </c>
      <c r="B270">
        <f>+IF(LOOKUP(A270+1,Preguntas!$A$1:$A$2976,Preguntas!$D$1:$D$2976)="*",1,IF(LOOKUP(A270+2,Preguntas!$A$1:$A$2976,Preguntas!$D$1:$D$2976)="*",2,IF(LOOKUP(A270+3,Preguntas!$A$1:$A$2976,Preguntas!$D$1:$D$2976)="*",3,IF(LOOKUP(A270+4,Preguntas!$A$1:$A$2976,Preguntas!$D$1:$D$2976)="*",4))))</f>
        <v>2</v>
      </c>
    </row>
    <row r="271" spans="1:2" x14ac:dyDescent="0.25">
      <c r="A271">
        <f t="shared" si="5"/>
        <v>1321</v>
      </c>
      <c r="B271">
        <f>+IF(LOOKUP(A271+1,Preguntas!$A$1:$A$2976,Preguntas!$D$1:$D$2976)="*",1,IF(LOOKUP(A271+2,Preguntas!$A$1:$A$2976,Preguntas!$D$1:$D$2976)="*",2,IF(LOOKUP(A271+3,Preguntas!$A$1:$A$2976,Preguntas!$D$1:$D$2976)="*",3,IF(LOOKUP(A271+4,Preguntas!$A$1:$A$2976,Preguntas!$D$1:$D$2976)="*",4))))</f>
        <v>1</v>
      </c>
    </row>
    <row r="272" spans="1:2" x14ac:dyDescent="0.25">
      <c r="A272">
        <f t="shared" si="5"/>
        <v>1326</v>
      </c>
      <c r="B272">
        <f>+IF(LOOKUP(A272+1,Preguntas!$A$1:$A$2976,Preguntas!$D$1:$D$2976)="*",1,IF(LOOKUP(A272+2,Preguntas!$A$1:$A$2976,Preguntas!$D$1:$D$2976)="*",2,IF(LOOKUP(A272+3,Preguntas!$A$1:$A$2976,Preguntas!$D$1:$D$2976)="*",3,IF(LOOKUP(A272+4,Preguntas!$A$1:$A$2976,Preguntas!$D$1:$D$2976)="*",4))))</f>
        <v>2</v>
      </c>
    </row>
    <row r="273" spans="1:2" x14ac:dyDescent="0.25">
      <c r="A273">
        <f t="shared" si="5"/>
        <v>1331</v>
      </c>
      <c r="B273">
        <f>+IF(LOOKUP(A273+1,Preguntas!$A$1:$A$2976,Preguntas!$D$1:$D$2976)="*",1,IF(LOOKUP(A273+2,Preguntas!$A$1:$A$2976,Preguntas!$D$1:$D$2976)="*",2,IF(LOOKUP(A273+3,Preguntas!$A$1:$A$2976,Preguntas!$D$1:$D$2976)="*",3,IF(LOOKUP(A273+4,Preguntas!$A$1:$A$2976,Preguntas!$D$1:$D$2976)="*",4))))</f>
        <v>4</v>
      </c>
    </row>
    <row r="274" spans="1:2" x14ac:dyDescent="0.25">
      <c r="A274">
        <f t="shared" si="5"/>
        <v>1336</v>
      </c>
      <c r="B274">
        <f>+IF(LOOKUP(A274+1,Preguntas!$A$1:$A$2976,Preguntas!$D$1:$D$2976)="*",1,IF(LOOKUP(A274+2,Preguntas!$A$1:$A$2976,Preguntas!$D$1:$D$2976)="*",2,IF(LOOKUP(A274+3,Preguntas!$A$1:$A$2976,Preguntas!$D$1:$D$2976)="*",3,IF(LOOKUP(A274+4,Preguntas!$A$1:$A$2976,Preguntas!$D$1:$D$2976)="*",4))))</f>
        <v>2</v>
      </c>
    </row>
    <row r="275" spans="1:2" x14ac:dyDescent="0.25">
      <c r="A275">
        <f t="shared" si="5"/>
        <v>1341</v>
      </c>
      <c r="B275">
        <f>+IF(LOOKUP(A275+1,Preguntas!$A$1:$A$2976,Preguntas!$D$1:$D$2976)="*",1,IF(LOOKUP(A275+2,Preguntas!$A$1:$A$2976,Preguntas!$D$1:$D$2976)="*",2,IF(LOOKUP(A275+3,Preguntas!$A$1:$A$2976,Preguntas!$D$1:$D$2976)="*",3,IF(LOOKUP(A275+4,Preguntas!$A$1:$A$2976,Preguntas!$D$1:$D$2976)="*",4))))</f>
        <v>2</v>
      </c>
    </row>
    <row r="276" spans="1:2" x14ac:dyDescent="0.25">
      <c r="A276">
        <f t="shared" si="5"/>
        <v>1346</v>
      </c>
      <c r="B276">
        <f>+IF(LOOKUP(A276+1,Preguntas!$A$1:$A$2976,Preguntas!$D$1:$D$2976)="*",1,IF(LOOKUP(A276+2,Preguntas!$A$1:$A$2976,Preguntas!$D$1:$D$2976)="*",2,IF(LOOKUP(A276+3,Preguntas!$A$1:$A$2976,Preguntas!$D$1:$D$2976)="*",3,IF(LOOKUP(A276+4,Preguntas!$A$1:$A$2976,Preguntas!$D$1:$D$2976)="*",4))))</f>
        <v>1</v>
      </c>
    </row>
    <row r="277" spans="1:2" x14ac:dyDescent="0.25">
      <c r="A277">
        <f t="shared" si="5"/>
        <v>1351</v>
      </c>
      <c r="B277">
        <f>+IF(LOOKUP(A277+1,Preguntas!$A$1:$A$2976,Preguntas!$D$1:$D$2976)="*",1,IF(LOOKUP(A277+2,Preguntas!$A$1:$A$2976,Preguntas!$D$1:$D$2976)="*",2,IF(LOOKUP(A277+3,Preguntas!$A$1:$A$2976,Preguntas!$D$1:$D$2976)="*",3,IF(LOOKUP(A277+4,Preguntas!$A$1:$A$2976,Preguntas!$D$1:$D$2976)="*",4))))</f>
        <v>1</v>
      </c>
    </row>
    <row r="278" spans="1:2" x14ac:dyDescent="0.25">
      <c r="A278">
        <f t="shared" si="5"/>
        <v>1356</v>
      </c>
      <c r="B278">
        <f>+IF(LOOKUP(A278+1,Preguntas!$A$1:$A$2976,Preguntas!$D$1:$D$2976)="*",1,IF(LOOKUP(A278+2,Preguntas!$A$1:$A$2976,Preguntas!$D$1:$D$2976)="*",2,IF(LOOKUP(A278+3,Preguntas!$A$1:$A$2976,Preguntas!$D$1:$D$2976)="*",3,IF(LOOKUP(A278+4,Preguntas!$A$1:$A$2976,Preguntas!$D$1:$D$2976)="*",4))))</f>
        <v>3</v>
      </c>
    </row>
    <row r="279" spans="1:2" x14ac:dyDescent="0.25">
      <c r="A279">
        <f t="shared" si="5"/>
        <v>1361</v>
      </c>
      <c r="B279">
        <f>+IF(LOOKUP(A279+1,Preguntas!$A$1:$A$2976,Preguntas!$D$1:$D$2976)="*",1,IF(LOOKUP(A279+2,Preguntas!$A$1:$A$2976,Preguntas!$D$1:$D$2976)="*",2,IF(LOOKUP(A279+3,Preguntas!$A$1:$A$2976,Preguntas!$D$1:$D$2976)="*",3,IF(LOOKUP(A279+4,Preguntas!$A$1:$A$2976,Preguntas!$D$1:$D$2976)="*",4))))</f>
        <v>2</v>
      </c>
    </row>
    <row r="280" spans="1:2" x14ac:dyDescent="0.25">
      <c r="A280">
        <f t="shared" si="5"/>
        <v>1366</v>
      </c>
      <c r="B280">
        <f>+IF(LOOKUP(A280+1,Preguntas!$A$1:$A$2976,Preguntas!$D$1:$D$2976)="*",1,IF(LOOKUP(A280+2,Preguntas!$A$1:$A$2976,Preguntas!$D$1:$D$2976)="*",2,IF(LOOKUP(A280+3,Preguntas!$A$1:$A$2976,Preguntas!$D$1:$D$2976)="*",3,IF(LOOKUP(A280+4,Preguntas!$A$1:$A$2976,Preguntas!$D$1:$D$2976)="*",4))))</f>
        <v>3</v>
      </c>
    </row>
    <row r="281" spans="1:2" x14ac:dyDescent="0.25">
      <c r="A281">
        <f t="shared" si="5"/>
        <v>1371</v>
      </c>
      <c r="B281">
        <f>+IF(LOOKUP(A281+1,Preguntas!$A$1:$A$2976,Preguntas!$D$1:$D$2976)="*",1,IF(LOOKUP(A281+2,Preguntas!$A$1:$A$2976,Preguntas!$D$1:$D$2976)="*",2,IF(LOOKUP(A281+3,Preguntas!$A$1:$A$2976,Preguntas!$D$1:$D$2976)="*",3,IF(LOOKUP(A281+4,Preguntas!$A$1:$A$2976,Preguntas!$D$1:$D$2976)="*",4))))</f>
        <v>1</v>
      </c>
    </row>
    <row r="282" spans="1:2" x14ac:dyDescent="0.25">
      <c r="A282">
        <f t="shared" si="5"/>
        <v>1376</v>
      </c>
      <c r="B282">
        <f>+IF(LOOKUP(A282+1,Preguntas!$A$1:$A$2976,Preguntas!$D$1:$D$2976)="*",1,IF(LOOKUP(A282+2,Preguntas!$A$1:$A$2976,Preguntas!$D$1:$D$2976)="*",2,IF(LOOKUP(A282+3,Preguntas!$A$1:$A$2976,Preguntas!$D$1:$D$2976)="*",3,IF(LOOKUP(A282+4,Preguntas!$A$1:$A$2976,Preguntas!$D$1:$D$2976)="*",4))))</f>
        <v>3</v>
      </c>
    </row>
    <row r="283" spans="1:2" x14ac:dyDescent="0.25">
      <c r="A283">
        <f t="shared" si="5"/>
        <v>1381</v>
      </c>
      <c r="B283">
        <f>+IF(LOOKUP(A283+1,Preguntas!$A$1:$A$2976,Preguntas!$D$1:$D$2976)="*",1,IF(LOOKUP(A283+2,Preguntas!$A$1:$A$2976,Preguntas!$D$1:$D$2976)="*",2,IF(LOOKUP(A283+3,Preguntas!$A$1:$A$2976,Preguntas!$D$1:$D$2976)="*",3,IF(LOOKUP(A283+4,Preguntas!$A$1:$A$2976,Preguntas!$D$1:$D$2976)="*",4))))</f>
        <v>3</v>
      </c>
    </row>
    <row r="284" spans="1:2" x14ac:dyDescent="0.25">
      <c r="A284">
        <f t="shared" si="5"/>
        <v>1386</v>
      </c>
      <c r="B284">
        <f>+IF(LOOKUP(A284+1,Preguntas!$A$1:$A$2976,Preguntas!$D$1:$D$2976)="*",1,IF(LOOKUP(A284+2,Preguntas!$A$1:$A$2976,Preguntas!$D$1:$D$2976)="*",2,IF(LOOKUP(A284+3,Preguntas!$A$1:$A$2976,Preguntas!$D$1:$D$2976)="*",3,IF(LOOKUP(A284+4,Preguntas!$A$1:$A$2976,Preguntas!$D$1:$D$2976)="*",4))))</f>
        <v>4</v>
      </c>
    </row>
    <row r="285" spans="1:2" x14ac:dyDescent="0.25">
      <c r="A285">
        <f t="shared" si="5"/>
        <v>1391</v>
      </c>
      <c r="B285">
        <f>+IF(LOOKUP(A285+1,Preguntas!$A$1:$A$2976,Preguntas!$D$1:$D$2976)="*",1,IF(LOOKUP(A285+2,Preguntas!$A$1:$A$2976,Preguntas!$D$1:$D$2976)="*",2,IF(LOOKUP(A285+3,Preguntas!$A$1:$A$2976,Preguntas!$D$1:$D$2976)="*",3,IF(LOOKUP(A285+4,Preguntas!$A$1:$A$2976,Preguntas!$D$1:$D$2976)="*",4))))</f>
        <v>2</v>
      </c>
    </row>
    <row r="286" spans="1:2" x14ac:dyDescent="0.25">
      <c r="A286">
        <f t="shared" si="5"/>
        <v>1396</v>
      </c>
      <c r="B286">
        <f>+IF(LOOKUP(A286+1,Preguntas!$A$1:$A$2976,Preguntas!$D$1:$D$2976)="*",1,IF(LOOKUP(A286+2,Preguntas!$A$1:$A$2976,Preguntas!$D$1:$D$2976)="*",2,IF(LOOKUP(A286+3,Preguntas!$A$1:$A$2976,Preguntas!$D$1:$D$2976)="*",3,IF(LOOKUP(A286+4,Preguntas!$A$1:$A$2976,Preguntas!$D$1:$D$2976)="*",4))))</f>
        <v>2</v>
      </c>
    </row>
    <row r="287" spans="1:2" x14ac:dyDescent="0.25">
      <c r="A287">
        <f t="shared" si="5"/>
        <v>1401</v>
      </c>
      <c r="B287">
        <f>+IF(LOOKUP(A287+1,Preguntas!$A$1:$A$2976,Preguntas!$D$1:$D$2976)="*",1,IF(LOOKUP(A287+2,Preguntas!$A$1:$A$2976,Preguntas!$D$1:$D$2976)="*",2,IF(LOOKUP(A287+3,Preguntas!$A$1:$A$2976,Preguntas!$D$1:$D$2976)="*",3,IF(LOOKUP(A287+4,Preguntas!$A$1:$A$2976,Preguntas!$D$1:$D$2976)="*",4))))</f>
        <v>2</v>
      </c>
    </row>
    <row r="288" spans="1:2" x14ac:dyDescent="0.25">
      <c r="A288">
        <f t="shared" si="5"/>
        <v>1406</v>
      </c>
      <c r="B288">
        <f>+IF(LOOKUP(A288+1,Preguntas!$A$1:$A$2976,Preguntas!$D$1:$D$2976)="*",1,IF(LOOKUP(A288+2,Preguntas!$A$1:$A$2976,Preguntas!$D$1:$D$2976)="*",2,IF(LOOKUP(A288+3,Preguntas!$A$1:$A$2976,Preguntas!$D$1:$D$2976)="*",3,IF(LOOKUP(A288+4,Preguntas!$A$1:$A$2976,Preguntas!$D$1:$D$2976)="*",4))))</f>
        <v>1</v>
      </c>
    </row>
    <row r="289" spans="1:2" x14ac:dyDescent="0.25">
      <c r="A289">
        <f t="shared" si="5"/>
        <v>1411</v>
      </c>
      <c r="B289">
        <f>+IF(LOOKUP(A289+1,Preguntas!$A$1:$A$2976,Preguntas!$D$1:$D$2976)="*",1,IF(LOOKUP(A289+2,Preguntas!$A$1:$A$2976,Preguntas!$D$1:$D$2976)="*",2,IF(LOOKUP(A289+3,Preguntas!$A$1:$A$2976,Preguntas!$D$1:$D$2976)="*",3,IF(LOOKUP(A289+4,Preguntas!$A$1:$A$2976,Preguntas!$D$1:$D$2976)="*",4))))</f>
        <v>4</v>
      </c>
    </row>
    <row r="290" spans="1:2" x14ac:dyDescent="0.25">
      <c r="A290">
        <f t="shared" si="5"/>
        <v>1416</v>
      </c>
      <c r="B290">
        <f>+IF(LOOKUP(A290+1,Preguntas!$A$1:$A$2976,Preguntas!$D$1:$D$2976)="*",1,IF(LOOKUP(A290+2,Preguntas!$A$1:$A$2976,Preguntas!$D$1:$D$2976)="*",2,IF(LOOKUP(A290+3,Preguntas!$A$1:$A$2976,Preguntas!$D$1:$D$2976)="*",3,IF(LOOKUP(A290+4,Preguntas!$A$1:$A$2976,Preguntas!$D$1:$D$2976)="*",4))))</f>
        <v>4</v>
      </c>
    </row>
    <row r="291" spans="1:2" x14ac:dyDescent="0.25">
      <c r="A291">
        <f t="shared" si="5"/>
        <v>1421</v>
      </c>
      <c r="B291">
        <f>+IF(LOOKUP(A291+1,Preguntas!$A$1:$A$2976,Preguntas!$D$1:$D$2976)="*",1,IF(LOOKUP(A291+2,Preguntas!$A$1:$A$2976,Preguntas!$D$1:$D$2976)="*",2,IF(LOOKUP(A291+3,Preguntas!$A$1:$A$2976,Preguntas!$D$1:$D$2976)="*",3,IF(LOOKUP(A291+4,Preguntas!$A$1:$A$2976,Preguntas!$D$1:$D$2976)="*",4))))</f>
        <v>3</v>
      </c>
    </row>
    <row r="292" spans="1:2" x14ac:dyDescent="0.25">
      <c r="A292">
        <f t="shared" si="5"/>
        <v>1426</v>
      </c>
      <c r="B292">
        <f>+IF(LOOKUP(A292+1,Preguntas!$A$1:$A$2976,Preguntas!$D$1:$D$2976)="*",1,IF(LOOKUP(A292+2,Preguntas!$A$1:$A$2976,Preguntas!$D$1:$D$2976)="*",2,IF(LOOKUP(A292+3,Preguntas!$A$1:$A$2976,Preguntas!$D$1:$D$2976)="*",3,IF(LOOKUP(A292+4,Preguntas!$A$1:$A$2976,Preguntas!$D$1:$D$2976)="*",4))))</f>
        <v>1</v>
      </c>
    </row>
    <row r="293" spans="1:2" x14ac:dyDescent="0.25">
      <c r="A293">
        <f t="shared" si="5"/>
        <v>1431</v>
      </c>
      <c r="B293">
        <f>+IF(LOOKUP(A293+1,Preguntas!$A$1:$A$2976,Preguntas!$D$1:$D$2976)="*",1,IF(LOOKUP(A293+2,Preguntas!$A$1:$A$2976,Preguntas!$D$1:$D$2976)="*",2,IF(LOOKUP(A293+3,Preguntas!$A$1:$A$2976,Preguntas!$D$1:$D$2976)="*",3,IF(LOOKUP(A293+4,Preguntas!$A$1:$A$2976,Preguntas!$D$1:$D$2976)="*",4))))</f>
        <v>4</v>
      </c>
    </row>
    <row r="294" spans="1:2" x14ac:dyDescent="0.25">
      <c r="A294">
        <f t="shared" si="5"/>
        <v>1436</v>
      </c>
      <c r="B294">
        <f>+IF(LOOKUP(A294+1,Preguntas!$A$1:$A$2976,Preguntas!$D$1:$D$2976)="*",1,IF(LOOKUP(A294+2,Preguntas!$A$1:$A$2976,Preguntas!$D$1:$D$2976)="*",2,IF(LOOKUP(A294+3,Preguntas!$A$1:$A$2976,Preguntas!$D$1:$D$2976)="*",3,IF(LOOKUP(A294+4,Preguntas!$A$1:$A$2976,Preguntas!$D$1:$D$2976)="*",4))))</f>
        <v>1</v>
      </c>
    </row>
    <row r="295" spans="1:2" x14ac:dyDescent="0.25">
      <c r="A295">
        <f t="shared" si="5"/>
        <v>1441</v>
      </c>
      <c r="B295">
        <f>+IF(LOOKUP(A295+1,Preguntas!$A$1:$A$2976,Preguntas!$D$1:$D$2976)="*",1,IF(LOOKUP(A295+2,Preguntas!$A$1:$A$2976,Preguntas!$D$1:$D$2976)="*",2,IF(LOOKUP(A295+3,Preguntas!$A$1:$A$2976,Preguntas!$D$1:$D$2976)="*",3,IF(LOOKUP(A295+4,Preguntas!$A$1:$A$2976,Preguntas!$D$1:$D$2976)="*",4))))</f>
        <v>2</v>
      </c>
    </row>
    <row r="296" spans="1:2" x14ac:dyDescent="0.25">
      <c r="A296">
        <f t="shared" si="5"/>
        <v>1446</v>
      </c>
      <c r="B296">
        <f>+IF(LOOKUP(A296+1,Preguntas!$A$1:$A$2976,Preguntas!$D$1:$D$2976)="*",1,IF(LOOKUP(A296+2,Preguntas!$A$1:$A$2976,Preguntas!$D$1:$D$2976)="*",2,IF(LOOKUP(A296+3,Preguntas!$A$1:$A$2976,Preguntas!$D$1:$D$2976)="*",3,IF(LOOKUP(A296+4,Preguntas!$A$1:$A$2976,Preguntas!$D$1:$D$2976)="*",4))))</f>
        <v>3</v>
      </c>
    </row>
    <row r="297" spans="1:2" x14ac:dyDescent="0.25">
      <c r="A297">
        <f t="shared" si="5"/>
        <v>1451</v>
      </c>
      <c r="B297">
        <f>+IF(LOOKUP(A297+1,Preguntas!$A$1:$A$2976,Preguntas!$D$1:$D$2976)="*",1,IF(LOOKUP(A297+2,Preguntas!$A$1:$A$2976,Preguntas!$D$1:$D$2976)="*",2,IF(LOOKUP(A297+3,Preguntas!$A$1:$A$2976,Preguntas!$D$1:$D$2976)="*",3,IF(LOOKUP(A297+4,Preguntas!$A$1:$A$2976,Preguntas!$D$1:$D$2976)="*",4))))</f>
        <v>3</v>
      </c>
    </row>
    <row r="298" spans="1:2" x14ac:dyDescent="0.25">
      <c r="A298">
        <f t="shared" si="5"/>
        <v>1456</v>
      </c>
      <c r="B298">
        <f>+IF(LOOKUP(A298+1,Preguntas!$A$1:$A$2976,Preguntas!$D$1:$D$2976)="*",1,IF(LOOKUP(A298+2,Preguntas!$A$1:$A$2976,Preguntas!$D$1:$D$2976)="*",2,IF(LOOKUP(A298+3,Preguntas!$A$1:$A$2976,Preguntas!$D$1:$D$2976)="*",3,IF(LOOKUP(A298+4,Preguntas!$A$1:$A$2976,Preguntas!$D$1:$D$2976)="*",4))))</f>
        <v>2</v>
      </c>
    </row>
    <row r="299" spans="1:2" x14ac:dyDescent="0.25">
      <c r="A299">
        <f t="shared" si="5"/>
        <v>1461</v>
      </c>
      <c r="B299">
        <f>+IF(LOOKUP(A299+1,Preguntas!$A$1:$A$2976,Preguntas!$D$1:$D$2976)="*",1,IF(LOOKUP(A299+2,Preguntas!$A$1:$A$2976,Preguntas!$D$1:$D$2976)="*",2,IF(LOOKUP(A299+3,Preguntas!$A$1:$A$2976,Preguntas!$D$1:$D$2976)="*",3,IF(LOOKUP(A299+4,Preguntas!$A$1:$A$2976,Preguntas!$D$1:$D$2976)="*",4))))</f>
        <v>1</v>
      </c>
    </row>
    <row r="300" spans="1:2" x14ac:dyDescent="0.25">
      <c r="A300">
        <f t="shared" si="5"/>
        <v>1466</v>
      </c>
      <c r="B300">
        <f>+IF(LOOKUP(A300+1,Preguntas!$A$1:$A$2976,Preguntas!$D$1:$D$2976)="*",1,IF(LOOKUP(A300+2,Preguntas!$A$1:$A$2976,Preguntas!$D$1:$D$2976)="*",2,IF(LOOKUP(A300+3,Preguntas!$A$1:$A$2976,Preguntas!$D$1:$D$2976)="*",3,IF(LOOKUP(A300+4,Preguntas!$A$1:$A$2976,Preguntas!$D$1:$D$2976)="*",4))))</f>
        <v>2</v>
      </c>
    </row>
    <row r="301" spans="1:2" x14ac:dyDescent="0.25">
      <c r="A301">
        <f t="shared" si="5"/>
        <v>1471</v>
      </c>
      <c r="B301">
        <f>+IF(LOOKUP(A301+1,Preguntas!$A$1:$A$2976,Preguntas!$D$1:$D$2976)="*",1,IF(LOOKUP(A301+2,Preguntas!$A$1:$A$2976,Preguntas!$D$1:$D$2976)="*",2,IF(LOOKUP(A301+3,Preguntas!$A$1:$A$2976,Preguntas!$D$1:$D$2976)="*",3,IF(LOOKUP(A301+4,Preguntas!$A$1:$A$2976,Preguntas!$D$1:$D$2976)="*",4))))</f>
        <v>4</v>
      </c>
    </row>
    <row r="302" spans="1:2" x14ac:dyDescent="0.25">
      <c r="A302">
        <f t="shared" si="5"/>
        <v>1476</v>
      </c>
      <c r="B302">
        <f>+IF(LOOKUP(A302+1,Preguntas!$A$1:$A$2976,Preguntas!$D$1:$D$2976)="*",1,IF(LOOKUP(A302+2,Preguntas!$A$1:$A$2976,Preguntas!$D$1:$D$2976)="*",2,IF(LOOKUP(A302+3,Preguntas!$A$1:$A$2976,Preguntas!$D$1:$D$2976)="*",3,IF(LOOKUP(A302+4,Preguntas!$A$1:$A$2976,Preguntas!$D$1:$D$2976)="*",4))))</f>
        <v>3</v>
      </c>
    </row>
    <row r="303" spans="1:2" x14ac:dyDescent="0.25">
      <c r="A303">
        <f t="shared" si="5"/>
        <v>1481</v>
      </c>
      <c r="B303">
        <f>+IF(LOOKUP(A303+1,Preguntas!$A$1:$A$2976,Preguntas!$D$1:$D$2976)="*",1,IF(LOOKUP(A303+2,Preguntas!$A$1:$A$2976,Preguntas!$D$1:$D$2976)="*",2,IF(LOOKUP(A303+3,Preguntas!$A$1:$A$2976,Preguntas!$D$1:$D$2976)="*",3,IF(LOOKUP(A303+4,Preguntas!$A$1:$A$2976,Preguntas!$D$1:$D$2976)="*",4))))</f>
        <v>3</v>
      </c>
    </row>
    <row r="304" spans="1:2" x14ac:dyDescent="0.25">
      <c r="A304">
        <f t="shared" si="5"/>
        <v>1486</v>
      </c>
      <c r="B304">
        <f>+IF(LOOKUP(A304+1,Preguntas!$A$1:$A$2976,Preguntas!$D$1:$D$2976)="*",1,IF(LOOKUP(A304+2,Preguntas!$A$1:$A$2976,Preguntas!$D$1:$D$2976)="*",2,IF(LOOKUP(A304+3,Preguntas!$A$1:$A$2976,Preguntas!$D$1:$D$2976)="*",3,IF(LOOKUP(A304+4,Preguntas!$A$1:$A$2976,Preguntas!$D$1:$D$2976)="*",4))))</f>
        <v>2</v>
      </c>
    </row>
    <row r="305" spans="1:2" x14ac:dyDescent="0.25">
      <c r="A305">
        <f t="shared" si="5"/>
        <v>1491</v>
      </c>
      <c r="B305">
        <f>+IF(LOOKUP(A305+1,Preguntas!$A$1:$A$2976,Preguntas!$D$1:$D$2976)="*",1,IF(LOOKUP(A305+2,Preguntas!$A$1:$A$2976,Preguntas!$D$1:$D$2976)="*",2,IF(LOOKUP(A305+3,Preguntas!$A$1:$A$2976,Preguntas!$D$1:$D$2976)="*",3,IF(LOOKUP(A305+4,Preguntas!$A$1:$A$2976,Preguntas!$D$1:$D$2976)="*",4))))</f>
        <v>3</v>
      </c>
    </row>
    <row r="306" spans="1:2" x14ac:dyDescent="0.25">
      <c r="A306">
        <f t="shared" si="5"/>
        <v>1496</v>
      </c>
      <c r="B306">
        <f>+IF(LOOKUP(A306+1,Preguntas!$A$1:$A$2976,Preguntas!$D$1:$D$2976)="*",1,IF(LOOKUP(A306+2,Preguntas!$A$1:$A$2976,Preguntas!$D$1:$D$2976)="*",2,IF(LOOKUP(A306+3,Preguntas!$A$1:$A$2976,Preguntas!$D$1:$D$2976)="*",3,IF(LOOKUP(A306+4,Preguntas!$A$1:$A$2976,Preguntas!$D$1:$D$2976)="*",4))))</f>
        <v>2</v>
      </c>
    </row>
    <row r="307" spans="1:2" x14ac:dyDescent="0.25">
      <c r="A307">
        <f t="shared" si="5"/>
        <v>1501</v>
      </c>
      <c r="B307">
        <f>+IF(LOOKUP(A307+1,Preguntas!$A$1:$A$2976,Preguntas!$D$1:$D$2976)="*",1,IF(LOOKUP(A307+2,Preguntas!$A$1:$A$2976,Preguntas!$D$1:$D$2976)="*",2,IF(LOOKUP(A307+3,Preguntas!$A$1:$A$2976,Preguntas!$D$1:$D$2976)="*",3,IF(LOOKUP(A307+4,Preguntas!$A$1:$A$2976,Preguntas!$D$1:$D$2976)="*",4))))</f>
        <v>1</v>
      </c>
    </row>
    <row r="308" spans="1:2" x14ac:dyDescent="0.25">
      <c r="A308">
        <f t="shared" si="5"/>
        <v>1506</v>
      </c>
      <c r="B308">
        <f>+IF(LOOKUP(A308+1,Preguntas!$A$1:$A$2976,Preguntas!$D$1:$D$2976)="*",1,IF(LOOKUP(A308+2,Preguntas!$A$1:$A$2976,Preguntas!$D$1:$D$2976)="*",2,IF(LOOKUP(A308+3,Preguntas!$A$1:$A$2976,Preguntas!$D$1:$D$2976)="*",3,IF(LOOKUP(A308+4,Preguntas!$A$1:$A$2976,Preguntas!$D$1:$D$2976)="*",4))))</f>
        <v>3</v>
      </c>
    </row>
    <row r="309" spans="1:2" x14ac:dyDescent="0.25">
      <c r="A309">
        <f t="shared" si="5"/>
        <v>1511</v>
      </c>
      <c r="B309">
        <f>+IF(LOOKUP(A309+1,Preguntas!$A$1:$A$2976,Preguntas!$D$1:$D$2976)="*",1,IF(LOOKUP(A309+2,Preguntas!$A$1:$A$2976,Preguntas!$D$1:$D$2976)="*",2,IF(LOOKUP(A309+3,Preguntas!$A$1:$A$2976,Preguntas!$D$1:$D$2976)="*",3,IF(LOOKUP(A309+4,Preguntas!$A$1:$A$2976,Preguntas!$D$1:$D$2976)="*",4))))</f>
        <v>3</v>
      </c>
    </row>
    <row r="310" spans="1:2" x14ac:dyDescent="0.25">
      <c r="A310">
        <f t="shared" si="5"/>
        <v>1516</v>
      </c>
      <c r="B310">
        <f>+IF(LOOKUP(A310+1,Preguntas!$A$1:$A$2976,Preguntas!$D$1:$D$2976)="*",1,IF(LOOKUP(A310+2,Preguntas!$A$1:$A$2976,Preguntas!$D$1:$D$2976)="*",2,IF(LOOKUP(A310+3,Preguntas!$A$1:$A$2976,Preguntas!$D$1:$D$2976)="*",3,IF(LOOKUP(A310+4,Preguntas!$A$1:$A$2976,Preguntas!$D$1:$D$2976)="*",4))))</f>
        <v>1</v>
      </c>
    </row>
    <row r="311" spans="1:2" x14ac:dyDescent="0.25">
      <c r="A311">
        <f t="shared" si="5"/>
        <v>1521</v>
      </c>
      <c r="B311">
        <f>+IF(LOOKUP(A311+1,Preguntas!$A$1:$A$2976,Preguntas!$D$1:$D$2976)="*",1,IF(LOOKUP(A311+2,Preguntas!$A$1:$A$2976,Preguntas!$D$1:$D$2976)="*",2,IF(LOOKUP(A311+3,Preguntas!$A$1:$A$2976,Preguntas!$D$1:$D$2976)="*",3,IF(LOOKUP(A311+4,Preguntas!$A$1:$A$2976,Preguntas!$D$1:$D$2976)="*",4))))</f>
        <v>3</v>
      </c>
    </row>
    <row r="312" spans="1:2" x14ac:dyDescent="0.25">
      <c r="A312">
        <f t="shared" si="5"/>
        <v>1526</v>
      </c>
      <c r="B312">
        <f>+IF(LOOKUP(A312+1,Preguntas!$A$1:$A$2976,Preguntas!$D$1:$D$2976)="*",1,IF(LOOKUP(A312+2,Preguntas!$A$1:$A$2976,Preguntas!$D$1:$D$2976)="*",2,IF(LOOKUP(A312+3,Preguntas!$A$1:$A$2976,Preguntas!$D$1:$D$2976)="*",3,IF(LOOKUP(A312+4,Preguntas!$A$1:$A$2976,Preguntas!$D$1:$D$2976)="*",4))))</f>
        <v>4</v>
      </c>
    </row>
    <row r="313" spans="1:2" x14ac:dyDescent="0.25">
      <c r="A313">
        <f t="shared" si="5"/>
        <v>1531</v>
      </c>
      <c r="B313">
        <f>+IF(LOOKUP(A313+1,Preguntas!$A$1:$A$2976,Preguntas!$D$1:$D$2976)="*",1,IF(LOOKUP(A313+2,Preguntas!$A$1:$A$2976,Preguntas!$D$1:$D$2976)="*",2,IF(LOOKUP(A313+3,Preguntas!$A$1:$A$2976,Preguntas!$D$1:$D$2976)="*",3,IF(LOOKUP(A313+4,Preguntas!$A$1:$A$2976,Preguntas!$D$1:$D$2976)="*",4))))</f>
        <v>2</v>
      </c>
    </row>
    <row r="314" spans="1:2" x14ac:dyDescent="0.25">
      <c r="A314">
        <f t="shared" si="5"/>
        <v>1536</v>
      </c>
      <c r="B314">
        <f>+IF(LOOKUP(A314+1,Preguntas!$A$1:$A$2976,Preguntas!$D$1:$D$2976)="*",1,IF(LOOKUP(A314+2,Preguntas!$A$1:$A$2976,Preguntas!$D$1:$D$2976)="*",2,IF(LOOKUP(A314+3,Preguntas!$A$1:$A$2976,Preguntas!$D$1:$D$2976)="*",3,IF(LOOKUP(A314+4,Preguntas!$A$1:$A$2976,Preguntas!$D$1:$D$2976)="*",4))))</f>
        <v>4</v>
      </c>
    </row>
    <row r="315" spans="1:2" x14ac:dyDescent="0.25">
      <c r="A315">
        <f t="shared" si="5"/>
        <v>1541</v>
      </c>
      <c r="B315">
        <f>+IF(LOOKUP(A315+1,Preguntas!$A$1:$A$2976,Preguntas!$D$1:$D$2976)="*",1,IF(LOOKUP(A315+2,Preguntas!$A$1:$A$2976,Preguntas!$D$1:$D$2976)="*",2,IF(LOOKUP(A315+3,Preguntas!$A$1:$A$2976,Preguntas!$D$1:$D$2976)="*",3,IF(LOOKUP(A315+4,Preguntas!$A$1:$A$2976,Preguntas!$D$1:$D$2976)="*",4))))</f>
        <v>3</v>
      </c>
    </row>
    <row r="316" spans="1:2" x14ac:dyDescent="0.25">
      <c r="A316">
        <f t="shared" si="5"/>
        <v>1546</v>
      </c>
      <c r="B316">
        <f>+IF(LOOKUP(A316+1,Preguntas!$A$1:$A$2976,Preguntas!$D$1:$D$2976)="*",1,IF(LOOKUP(A316+2,Preguntas!$A$1:$A$2976,Preguntas!$D$1:$D$2976)="*",2,IF(LOOKUP(A316+3,Preguntas!$A$1:$A$2976,Preguntas!$D$1:$D$2976)="*",3,IF(LOOKUP(A316+4,Preguntas!$A$1:$A$2976,Preguntas!$D$1:$D$2976)="*",4))))</f>
        <v>4</v>
      </c>
    </row>
    <row r="317" spans="1:2" x14ac:dyDescent="0.25">
      <c r="A317">
        <f t="shared" si="5"/>
        <v>1551</v>
      </c>
      <c r="B317">
        <f>+IF(LOOKUP(A317+1,Preguntas!$A$1:$A$2976,Preguntas!$D$1:$D$2976)="*",1,IF(LOOKUP(A317+2,Preguntas!$A$1:$A$2976,Preguntas!$D$1:$D$2976)="*",2,IF(LOOKUP(A317+3,Preguntas!$A$1:$A$2976,Preguntas!$D$1:$D$2976)="*",3,IF(LOOKUP(A317+4,Preguntas!$A$1:$A$2976,Preguntas!$D$1:$D$2976)="*",4))))</f>
        <v>1</v>
      </c>
    </row>
    <row r="318" spans="1:2" x14ac:dyDescent="0.25">
      <c r="A318">
        <f t="shared" si="5"/>
        <v>1556</v>
      </c>
      <c r="B318">
        <f>+IF(LOOKUP(A318+1,Preguntas!$A$1:$A$2976,Preguntas!$D$1:$D$2976)="*",1,IF(LOOKUP(A318+2,Preguntas!$A$1:$A$2976,Preguntas!$D$1:$D$2976)="*",2,IF(LOOKUP(A318+3,Preguntas!$A$1:$A$2976,Preguntas!$D$1:$D$2976)="*",3,IF(LOOKUP(A318+4,Preguntas!$A$1:$A$2976,Preguntas!$D$1:$D$2976)="*",4))))</f>
        <v>3</v>
      </c>
    </row>
    <row r="319" spans="1:2" x14ac:dyDescent="0.25">
      <c r="A319">
        <f t="shared" si="5"/>
        <v>1561</v>
      </c>
      <c r="B319">
        <f>+IF(LOOKUP(A319+1,Preguntas!$A$1:$A$2976,Preguntas!$D$1:$D$2976)="*",1,IF(LOOKUP(A319+2,Preguntas!$A$1:$A$2976,Preguntas!$D$1:$D$2976)="*",2,IF(LOOKUP(A319+3,Preguntas!$A$1:$A$2976,Preguntas!$D$1:$D$2976)="*",3,IF(LOOKUP(A319+4,Preguntas!$A$1:$A$2976,Preguntas!$D$1:$D$2976)="*",4))))</f>
        <v>4</v>
      </c>
    </row>
    <row r="320" spans="1:2" x14ac:dyDescent="0.25">
      <c r="A320">
        <f t="shared" si="5"/>
        <v>1566</v>
      </c>
      <c r="B320">
        <f>+IF(LOOKUP(A320+1,Preguntas!$A$1:$A$2976,Preguntas!$D$1:$D$2976)="*",1,IF(LOOKUP(A320+2,Preguntas!$A$1:$A$2976,Preguntas!$D$1:$D$2976)="*",2,IF(LOOKUP(A320+3,Preguntas!$A$1:$A$2976,Preguntas!$D$1:$D$2976)="*",3,IF(LOOKUP(A320+4,Preguntas!$A$1:$A$2976,Preguntas!$D$1:$D$2976)="*",4))))</f>
        <v>4</v>
      </c>
    </row>
    <row r="321" spans="1:2" x14ac:dyDescent="0.25">
      <c r="A321">
        <f t="shared" si="5"/>
        <v>1571</v>
      </c>
      <c r="B321">
        <f>+IF(LOOKUP(A321+1,Preguntas!$A$1:$A$2976,Preguntas!$D$1:$D$2976)="*",1,IF(LOOKUP(A321+2,Preguntas!$A$1:$A$2976,Preguntas!$D$1:$D$2976)="*",2,IF(LOOKUP(A321+3,Preguntas!$A$1:$A$2976,Preguntas!$D$1:$D$2976)="*",3,IF(LOOKUP(A321+4,Preguntas!$A$1:$A$2976,Preguntas!$D$1:$D$2976)="*",4))))</f>
        <v>3</v>
      </c>
    </row>
    <row r="322" spans="1:2" x14ac:dyDescent="0.25">
      <c r="A322">
        <f t="shared" si="5"/>
        <v>1576</v>
      </c>
      <c r="B322">
        <f>+IF(LOOKUP(A322+1,Preguntas!$A$1:$A$2976,Preguntas!$D$1:$D$2976)="*",1,IF(LOOKUP(A322+2,Preguntas!$A$1:$A$2976,Preguntas!$D$1:$D$2976)="*",2,IF(LOOKUP(A322+3,Preguntas!$A$1:$A$2976,Preguntas!$D$1:$D$2976)="*",3,IF(LOOKUP(A322+4,Preguntas!$A$1:$A$2976,Preguntas!$D$1:$D$2976)="*",4))))</f>
        <v>1</v>
      </c>
    </row>
    <row r="323" spans="1:2" x14ac:dyDescent="0.25">
      <c r="A323">
        <f t="shared" si="5"/>
        <v>1581</v>
      </c>
      <c r="B323">
        <f>+IF(LOOKUP(A323+1,Preguntas!$A$1:$A$2976,Preguntas!$D$1:$D$2976)="*",1,IF(LOOKUP(A323+2,Preguntas!$A$1:$A$2976,Preguntas!$D$1:$D$2976)="*",2,IF(LOOKUP(A323+3,Preguntas!$A$1:$A$2976,Preguntas!$D$1:$D$2976)="*",3,IF(LOOKUP(A323+4,Preguntas!$A$1:$A$2976,Preguntas!$D$1:$D$2976)="*",4))))</f>
        <v>3</v>
      </c>
    </row>
    <row r="324" spans="1:2" x14ac:dyDescent="0.25">
      <c r="A324">
        <f t="shared" si="5"/>
        <v>1586</v>
      </c>
      <c r="B324">
        <f>+IF(LOOKUP(A324+1,Preguntas!$A$1:$A$2976,Preguntas!$D$1:$D$2976)="*",1,IF(LOOKUP(A324+2,Preguntas!$A$1:$A$2976,Preguntas!$D$1:$D$2976)="*",2,IF(LOOKUP(A324+3,Preguntas!$A$1:$A$2976,Preguntas!$D$1:$D$2976)="*",3,IF(LOOKUP(A324+4,Preguntas!$A$1:$A$2976,Preguntas!$D$1:$D$2976)="*",4))))</f>
        <v>3</v>
      </c>
    </row>
    <row r="325" spans="1:2" x14ac:dyDescent="0.25">
      <c r="A325">
        <f t="shared" si="5"/>
        <v>1591</v>
      </c>
      <c r="B325">
        <f>+IF(LOOKUP(A325+1,Preguntas!$A$1:$A$2976,Preguntas!$D$1:$D$2976)="*",1,IF(LOOKUP(A325+2,Preguntas!$A$1:$A$2976,Preguntas!$D$1:$D$2976)="*",2,IF(LOOKUP(A325+3,Preguntas!$A$1:$A$2976,Preguntas!$D$1:$D$2976)="*",3,IF(LOOKUP(A325+4,Preguntas!$A$1:$A$2976,Preguntas!$D$1:$D$2976)="*",4))))</f>
        <v>3</v>
      </c>
    </row>
    <row r="326" spans="1:2" x14ac:dyDescent="0.25">
      <c r="A326">
        <f t="shared" si="5"/>
        <v>1596</v>
      </c>
      <c r="B326">
        <f>+IF(LOOKUP(A326+1,Preguntas!$A$1:$A$2976,Preguntas!$D$1:$D$2976)="*",1,IF(LOOKUP(A326+2,Preguntas!$A$1:$A$2976,Preguntas!$D$1:$D$2976)="*",2,IF(LOOKUP(A326+3,Preguntas!$A$1:$A$2976,Preguntas!$D$1:$D$2976)="*",3,IF(LOOKUP(A326+4,Preguntas!$A$1:$A$2976,Preguntas!$D$1:$D$2976)="*",4))))</f>
        <v>4</v>
      </c>
    </row>
    <row r="327" spans="1:2" x14ac:dyDescent="0.25">
      <c r="A327">
        <f t="shared" si="5"/>
        <v>1601</v>
      </c>
      <c r="B327">
        <f>+IF(LOOKUP(A327+1,Preguntas!$A$1:$A$2976,Preguntas!$D$1:$D$2976)="*",1,IF(LOOKUP(A327+2,Preguntas!$A$1:$A$2976,Preguntas!$D$1:$D$2976)="*",2,IF(LOOKUP(A327+3,Preguntas!$A$1:$A$2976,Preguntas!$D$1:$D$2976)="*",3,IF(LOOKUP(A327+4,Preguntas!$A$1:$A$2976,Preguntas!$D$1:$D$2976)="*",4))))</f>
        <v>2</v>
      </c>
    </row>
    <row r="328" spans="1:2" x14ac:dyDescent="0.25">
      <c r="A328">
        <f t="shared" si="5"/>
        <v>1606</v>
      </c>
      <c r="B328">
        <f>+IF(LOOKUP(A328+1,Preguntas!$A$1:$A$2976,Preguntas!$D$1:$D$2976)="*",1,IF(LOOKUP(A328+2,Preguntas!$A$1:$A$2976,Preguntas!$D$1:$D$2976)="*",2,IF(LOOKUP(A328+3,Preguntas!$A$1:$A$2976,Preguntas!$D$1:$D$2976)="*",3,IF(LOOKUP(A328+4,Preguntas!$A$1:$A$2976,Preguntas!$D$1:$D$2976)="*",4))))</f>
        <v>2</v>
      </c>
    </row>
    <row r="329" spans="1:2" x14ac:dyDescent="0.25">
      <c r="A329">
        <f t="shared" ref="A329:A392" si="6">+A328+5</f>
        <v>1611</v>
      </c>
      <c r="B329">
        <f>+IF(LOOKUP(A329+1,Preguntas!$A$1:$A$2976,Preguntas!$D$1:$D$2976)="*",1,IF(LOOKUP(A329+2,Preguntas!$A$1:$A$2976,Preguntas!$D$1:$D$2976)="*",2,IF(LOOKUP(A329+3,Preguntas!$A$1:$A$2976,Preguntas!$D$1:$D$2976)="*",3,IF(LOOKUP(A329+4,Preguntas!$A$1:$A$2976,Preguntas!$D$1:$D$2976)="*",4))))</f>
        <v>3</v>
      </c>
    </row>
    <row r="330" spans="1:2" x14ac:dyDescent="0.25">
      <c r="A330">
        <f t="shared" si="6"/>
        <v>1616</v>
      </c>
      <c r="B330">
        <f>+IF(LOOKUP(A330+1,Preguntas!$A$1:$A$2976,Preguntas!$D$1:$D$2976)="*",1,IF(LOOKUP(A330+2,Preguntas!$A$1:$A$2976,Preguntas!$D$1:$D$2976)="*",2,IF(LOOKUP(A330+3,Preguntas!$A$1:$A$2976,Preguntas!$D$1:$D$2976)="*",3,IF(LOOKUP(A330+4,Preguntas!$A$1:$A$2976,Preguntas!$D$1:$D$2976)="*",4))))</f>
        <v>3</v>
      </c>
    </row>
    <row r="331" spans="1:2" x14ac:dyDescent="0.25">
      <c r="A331">
        <f t="shared" si="6"/>
        <v>1621</v>
      </c>
      <c r="B331">
        <f>+IF(LOOKUP(A331+1,Preguntas!$A$1:$A$2976,Preguntas!$D$1:$D$2976)="*",1,IF(LOOKUP(A331+2,Preguntas!$A$1:$A$2976,Preguntas!$D$1:$D$2976)="*",2,IF(LOOKUP(A331+3,Preguntas!$A$1:$A$2976,Preguntas!$D$1:$D$2976)="*",3,IF(LOOKUP(A331+4,Preguntas!$A$1:$A$2976,Preguntas!$D$1:$D$2976)="*",4))))</f>
        <v>3</v>
      </c>
    </row>
    <row r="332" spans="1:2" x14ac:dyDescent="0.25">
      <c r="A332">
        <f t="shared" si="6"/>
        <v>1626</v>
      </c>
      <c r="B332">
        <f>+IF(LOOKUP(A332+1,Preguntas!$A$1:$A$2976,Preguntas!$D$1:$D$2976)="*",1,IF(LOOKUP(A332+2,Preguntas!$A$1:$A$2976,Preguntas!$D$1:$D$2976)="*",2,IF(LOOKUP(A332+3,Preguntas!$A$1:$A$2976,Preguntas!$D$1:$D$2976)="*",3,IF(LOOKUP(A332+4,Preguntas!$A$1:$A$2976,Preguntas!$D$1:$D$2976)="*",4))))</f>
        <v>4</v>
      </c>
    </row>
    <row r="333" spans="1:2" x14ac:dyDescent="0.25">
      <c r="A333">
        <f t="shared" si="6"/>
        <v>1631</v>
      </c>
      <c r="B333">
        <f>+IF(LOOKUP(A333+1,Preguntas!$A$1:$A$2976,Preguntas!$D$1:$D$2976)="*",1,IF(LOOKUP(A333+2,Preguntas!$A$1:$A$2976,Preguntas!$D$1:$D$2976)="*",2,IF(LOOKUP(A333+3,Preguntas!$A$1:$A$2976,Preguntas!$D$1:$D$2976)="*",3,IF(LOOKUP(A333+4,Preguntas!$A$1:$A$2976,Preguntas!$D$1:$D$2976)="*",4))))</f>
        <v>2</v>
      </c>
    </row>
    <row r="334" spans="1:2" x14ac:dyDescent="0.25">
      <c r="A334">
        <f t="shared" si="6"/>
        <v>1636</v>
      </c>
      <c r="B334">
        <f>+IF(LOOKUP(A334+1,Preguntas!$A$1:$A$2976,Preguntas!$D$1:$D$2976)="*",1,IF(LOOKUP(A334+2,Preguntas!$A$1:$A$2976,Preguntas!$D$1:$D$2976)="*",2,IF(LOOKUP(A334+3,Preguntas!$A$1:$A$2976,Preguntas!$D$1:$D$2976)="*",3,IF(LOOKUP(A334+4,Preguntas!$A$1:$A$2976,Preguntas!$D$1:$D$2976)="*",4))))</f>
        <v>1</v>
      </c>
    </row>
    <row r="335" spans="1:2" x14ac:dyDescent="0.25">
      <c r="A335">
        <f t="shared" si="6"/>
        <v>1641</v>
      </c>
      <c r="B335">
        <f>+IF(LOOKUP(A335+1,Preguntas!$A$1:$A$2976,Preguntas!$D$1:$D$2976)="*",1,IF(LOOKUP(A335+2,Preguntas!$A$1:$A$2976,Preguntas!$D$1:$D$2976)="*",2,IF(LOOKUP(A335+3,Preguntas!$A$1:$A$2976,Preguntas!$D$1:$D$2976)="*",3,IF(LOOKUP(A335+4,Preguntas!$A$1:$A$2976,Preguntas!$D$1:$D$2976)="*",4))))</f>
        <v>4</v>
      </c>
    </row>
    <row r="336" spans="1:2" x14ac:dyDescent="0.25">
      <c r="A336">
        <f t="shared" si="6"/>
        <v>1646</v>
      </c>
      <c r="B336">
        <f>+IF(LOOKUP(A336+1,Preguntas!$A$1:$A$2976,Preguntas!$D$1:$D$2976)="*",1,IF(LOOKUP(A336+2,Preguntas!$A$1:$A$2976,Preguntas!$D$1:$D$2976)="*",2,IF(LOOKUP(A336+3,Preguntas!$A$1:$A$2976,Preguntas!$D$1:$D$2976)="*",3,IF(LOOKUP(A336+4,Preguntas!$A$1:$A$2976,Preguntas!$D$1:$D$2976)="*",4))))</f>
        <v>2</v>
      </c>
    </row>
    <row r="337" spans="1:2" x14ac:dyDescent="0.25">
      <c r="A337">
        <f t="shared" si="6"/>
        <v>1651</v>
      </c>
      <c r="B337">
        <f>+IF(LOOKUP(A337+1,Preguntas!$A$1:$A$2976,Preguntas!$D$1:$D$2976)="*",1,IF(LOOKUP(A337+2,Preguntas!$A$1:$A$2976,Preguntas!$D$1:$D$2976)="*",2,IF(LOOKUP(A337+3,Preguntas!$A$1:$A$2976,Preguntas!$D$1:$D$2976)="*",3,IF(LOOKUP(A337+4,Preguntas!$A$1:$A$2976,Preguntas!$D$1:$D$2976)="*",4))))</f>
        <v>3</v>
      </c>
    </row>
    <row r="338" spans="1:2" x14ac:dyDescent="0.25">
      <c r="A338">
        <f t="shared" si="6"/>
        <v>1656</v>
      </c>
      <c r="B338">
        <f>+IF(LOOKUP(A338+1,Preguntas!$A$1:$A$2976,Preguntas!$D$1:$D$2976)="*",1,IF(LOOKUP(A338+2,Preguntas!$A$1:$A$2976,Preguntas!$D$1:$D$2976)="*",2,IF(LOOKUP(A338+3,Preguntas!$A$1:$A$2976,Preguntas!$D$1:$D$2976)="*",3,IF(LOOKUP(A338+4,Preguntas!$A$1:$A$2976,Preguntas!$D$1:$D$2976)="*",4))))</f>
        <v>4</v>
      </c>
    </row>
    <row r="339" spans="1:2" x14ac:dyDescent="0.25">
      <c r="A339">
        <f t="shared" si="6"/>
        <v>1661</v>
      </c>
      <c r="B339">
        <f>+IF(LOOKUP(A339+1,Preguntas!$A$1:$A$2976,Preguntas!$D$1:$D$2976)="*",1,IF(LOOKUP(A339+2,Preguntas!$A$1:$A$2976,Preguntas!$D$1:$D$2976)="*",2,IF(LOOKUP(A339+3,Preguntas!$A$1:$A$2976,Preguntas!$D$1:$D$2976)="*",3,IF(LOOKUP(A339+4,Preguntas!$A$1:$A$2976,Preguntas!$D$1:$D$2976)="*",4))))</f>
        <v>2</v>
      </c>
    </row>
    <row r="340" spans="1:2" x14ac:dyDescent="0.25">
      <c r="A340">
        <f t="shared" si="6"/>
        <v>1666</v>
      </c>
      <c r="B340">
        <f>+IF(LOOKUP(A340+1,Preguntas!$A$1:$A$2976,Preguntas!$D$1:$D$2976)="*",1,IF(LOOKUP(A340+2,Preguntas!$A$1:$A$2976,Preguntas!$D$1:$D$2976)="*",2,IF(LOOKUP(A340+3,Preguntas!$A$1:$A$2976,Preguntas!$D$1:$D$2976)="*",3,IF(LOOKUP(A340+4,Preguntas!$A$1:$A$2976,Preguntas!$D$1:$D$2976)="*",4))))</f>
        <v>4</v>
      </c>
    </row>
    <row r="341" spans="1:2" x14ac:dyDescent="0.25">
      <c r="A341">
        <f t="shared" si="6"/>
        <v>1671</v>
      </c>
      <c r="B341">
        <f>+IF(LOOKUP(A341+1,Preguntas!$A$1:$A$2976,Preguntas!$D$1:$D$2976)="*",1,IF(LOOKUP(A341+2,Preguntas!$A$1:$A$2976,Preguntas!$D$1:$D$2976)="*",2,IF(LOOKUP(A341+3,Preguntas!$A$1:$A$2976,Preguntas!$D$1:$D$2976)="*",3,IF(LOOKUP(A341+4,Preguntas!$A$1:$A$2976,Preguntas!$D$1:$D$2976)="*",4))))</f>
        <v>1</v>
      </c>
    </row>
    <row r="342" spans="1:2" x14ac:dyDescent="0.25">
      <c r="A342">
        <f t="shared" si="6"/>
        <v>1676</v>
      </c>
      <c r="B342">
        <f>+IF(LOOKUP(A342+1,Preguntas!$A$1:$A$2976,Preguntas!$D$1:$D$2976)="*",1,IF(LOOKUP(A342+2,Preguntas!$A$1:$A$2976,Preguntas!$D$1:$D$2976)="*",2,IF(LOOKUP(A342+3,Preguntas!$A$1:$A$2976,Preguntas!$D$1:$D$2976)="*",3,IF(LOOKUP(A342+4,Preguntas!$A$1:$A$2976,Preguntas!$D$1:$D$2976)="*",4))))</f>
        <v>2</v>
      </c>
    </row>
    <row r="343" spans="1:2" x14ac:dyDescent="0.25">
      <c r="A343">
        <f t="shared" si="6"/>
        <v>1681</v>
      </c>
      <c r="B343">
        <f>+IF(LOOKUP(A343+1,Preguntas!$A$1:$A$2976,Preguntas!$D$1:$D$2976)="*",1,IF(LOOKUP(A343+2,Preguntas!$A$1:$A$2976,Preguntas!$D$1:$D$2976)="*",2,IF(LOOKUP(A343+3,Preguntas!$A$1:$A$2976,Preguntas!$D$1:$D$2976)="*",3,IF(LOOKUP(A343+4,Preguntas!$A$1:$A$2976,Preguntas!$D$1:$D$2976)="*",4))))</f>
        <v>4</v>
      </c>
    </row>
    <row r="344" spans="1:2" x14ac:dyDescent="0.25">
      <c r="A344">
        <f t="shared" si="6"/>
        <v>1686</v>
      </c>
      <c r="B344">
        <f>+IF(LOOKUP(A344+1,Preguntas!$A$1:$A$2976,Preguntas!$D$1:$D$2976)="*",1,IF(LOOKUP(A344+2,Preguntas!$A$1:$A$2976,Preguntas!$D$1:$D$2976)="*",2,IF(LOOKUP(A344+3,Preguntas!$A$1:$A$2976,Preguntas!$D$1:$D$2976)="*",3,IF(LOOKUP(A344+4,Preguntas!$A$1:$A$2976,Preguntas!$D$1:$D$2976)="*",4))))</f>
        <v>4</v>
      </c>
    </row>
    <row r="345" spans="1:2" x14ac:dyDescent="0.25">
      <c r="A345">
        <f t="shared" si="6"/>
        <v>1691</v>
      </c>
      <c r="B345">
        <f>+IF(LOOKUP(A345+1,Preguntas!$A$1:$A$2976,Preguntas!$D$1:$D$2976)="*",1,IF(LOOKUP(A345+2,Preguntas!$A$1:$A$2976,Preguntas!$D$1:$D$2976)="*",2,IF(LOOKUP(A345+3,Preguntas!$A$1:$A$2976,Preguntas!$D$1:$D$2976)="*",3,IF(LOOKUP(A345+4,Preguntas!$A$1:$A$2976,Preguntas!$D$1:$D$2976)="*",4))))</f>
        <v>2</v>
      </c>
    </row>
    <row r="346" spans="1:2" x14ac:dyDescent="0.25">
      <c r="A346">
        <f t="shared" si="6"/>
        <v>1696</v>
      </c>
      <c r="B346">
        <f>+IF(LOOKUP(A346+1,Preguntas!$A$1:$A$2976,Preguntas!$D$1:$D$2976)="*",1,IF(LOOKUP(A346+2,Preguntas!$A$1:$A$2976,Preguntas!$D$1:$D$2976)="*",2,IF(LOOKUP(A346+3,Preguntas!$A$1:$A$2976,Preguntas!$D$1:$D$2976)="*",3,IF(LOOKUP(A346+4,Preguntas!$A$1:$A$2976,Preguntas!$D$1:$D$2976)="*",4))))</f>
        <v>4</v>
      </c>
    </row>
    <row r="347" spans="1:2" x14ac:dyDescent="0.25">
      <c r="A347">
        <f t="shared" si="6"/>
        <v>1701</v>
      </c>
      <c r="B347">
        <f>+IF(LOOKUP(A347+1,Preguntas!$A$1:$A$2976,Preguntas!$D$1:$D$2976)="*",1,IF(LOOKUP(A347+2,Preguntas!$A$1:$A$2976,Preguntas!$D$1:$D$2976)="*",2,IF(LOOKUP(A347+3,Preguntas!$A$1:$A$2976,Preguntas!$D$1:$D$2976)="*",3,IF(LOOKUP(A347+4,Preguntas!$A$1:$A$2976,Preguntas!$D$1:$D$2976)="*",4))))</f>
        <v>4</v>
      </c>
    </row>
    <row r="348" spans="1:2" x14ac:dyDescent="0.25">
      <c r="A348">
        <f t="shared" si="6"/>
        <v>1706</v>
      </c>
      <c r="B348">
        <f>+IF(LOOKUP(A348+1,Preguntas!$A$1:$A$2976,Preguntas!$D$1:$D$2976)="*",1,IF(LOOKUP(A348+2,Preguntas!$A$1:$A$2976,Preguntas!$D$1:$D$2976)="*",2,IF(LOOKUP(A348+3,Preguntas!$A$1:$A$2976,Preguntas!$D$1:$D$2976)="*",3,IF(LOOKUP(A348+4,Preguntas!$A$1:$A$2976,Preguntas!$D$1:$D$2976)="*",4))))</f>
        <v>3</v>
      </c>
    </row>
    <row r="349" spans="1:2" x14ac:dyDescent="0.25">
      <c r="A349">
        <f t="shared" si="6"/>
        <v>1711</v>
      </c>
      <c r="B349">
        <f>+IF(LOOKUP(A349+1,Preguntas!$A$1:$A$2976,Preguntas!$D$1:$D$2976)="*",1,IF(LOOKUP(A349+2,Preguntas!$A$1:$A$2976,Preguntas!$D$1:$D$2976)="*",2,IF(LOOKUP(A349+3,Preguntas!$A$1:$A$2976,Preguntas!$D$1:$D$2976)="*",3,IF(LOOKUP(A349+4,Preguntas!$A$1:$A$2976,Preguntas!$D$1:$D$2976)="*",4))))</f>
        <v>1</v>
      </c>
    </row>
    <row r="350" spans="1:2" x14ac:dyDescent="0.25">
      <c r="A350">
        <f t="shared" si="6"/>
        <v>1716</v>
      </c>
      <c r="B350">
        <f>+IF(LOOKUP(A350+1,Preguntas!$A$1:$A$2976,Preguntas!$D$1:$D$2976)="*",1,IF(LOOKUP(A350+2,Preguntas!$A$1:$A$2976,Preguntas!$D$1:$D$2976)="*",2,IF(LOOKUP(A350+3,Preguntas!$A$1:$A$2976,Preguntas!$D$1:$D$2976)="*",3,IF(LOOKUP(A350+4,Preguntas!$A$1:$A$2976,Preguntas!$D$1:$D$2976)="*",4))))</f>
        <v>1</v>
      </c>
    </row>
    <row r="351" spans="1:2" x14ac:dyDescent="0.25">
      <c r="A351">
        <f t="shared" si="6"/>
        <v>1721</v>
      </c>
      <c r="B351">
        <f>+IF(LOOKUP(A351+1,Preguntas!$A$1:$A$2976,Preguntas!$D$1:$D$2976)="*",1,IF(LOOKUP(A351+2,Preguntas!$A$1:$A$2976,Preguntas!$D$1:$D$2976)="*",2,IF(LOOKUP(A351+3,Preguntas!$A$1:$A$2976,Preguntas!$D$1:$D$2976)="*",3,IF(LOOKUP(A351+4,Preguntas!$A$1:$A$2976,Preguntas!$D$1:$D$2976)="*",4))))</f>
        <v>3</v>
      </c>
    </row>
    <row r="352" spans="1:2" x14ac:dyDescent="0.25">
      <c r="A352">
        <f t="shared" si="6"/>
        <v>1726</v>
      </c>
      <c r="B352">
        <f>+IF(LOOKUP(A352+1,Preguntas!$A$1:$A$2976,Preguntas!$D$1:$D$2976)="*",1,IF(LOOKUP(A352+2,Preguntas!$A$1:$A$2976,Preguntas!$D$1:$D$2976)="*",2,IF(LOOKUP(A352+3,Preguntas!$A$1:$A$2976,Preguntas!$D$1:$D$2976)="*",3,IF(LOOKUP(A352+4,Preguntas!$A$1:$A$2976,Preguntas!$D$1:$D$2976)="*",4))))</f>
        <v>3</v>
      </c>
    </row>
    <row r="353" spans="1:2" x14ac:dyDescent="0.25">
      <c r="A353">
        <f t="shared" si="6"/>
        <v>1731</v>
      </c>
      <c r="B353">
        <f>+IF(LOOKUP(A353+1,Preguntas!$A$1:$A$2976,Preguntas!$D$1:$D$2976)="*",1,IF(LOOKUP(A353+2,Preguntas!$A$1:$A$2976,Preguntas!$D$1:$D$2976)="*",2,IF(LOOKUP(A353+3,Preguntas!$A$1:$A$2976,Preguntas!$D$1:$D$2976)="*",3,IF(LOOKUP(A353+4,Preguntas!$A$1:$A$2976,Preguntas!$D$1:$D$2976)="*",4))))</f>
        <v>3</v>
      </c>
    </row>
    <row r="354" spans="1:2" x14ac:dyDescent="0.25">
      <c r="A354">
        <f t="shared" si="6"/>
        <v>1736</v>
      </c>
      <c r="B354">
        <f>+IF(LOOKUP(A354+1,Preguntas!$A$1:$A$2976,Preguntas!$D$1:$D$2976)="*",1,IF(LOOKUP(A354+2,Preguntas!$A$1:$A$2976,Preguntas!$D$1:$D$2976)="*",2,IF(LOOKUP(A354+3,Preguntas!$A$1:$A$2976,Preguntas!$D$1:$D$2976)="*",3,IF(LOOKUP(A354+4,Preguntas!$A$1:$A$2976,Preguntas!$D$1:$D$2976)="*",4))))</f>
        <v>4</v>
      </c>
    </row>
    <row r="355" spans="1:2" x14ac:dyDescent="0.25">
      <c r="A355">
        <f t="shared" si="6"/>
        <v>1741</v>
      </c>
      <c r="B355">
        <f>+IF(LOOKUP(A355+1,Preguntas!$A$1:$A$2976,Preguntas!$D$1:$D$2976)="*",1,IF(LOOKUP(A355+2,Preguntas!$A$1:$A$2976,Preguntas!$D$1:$D$2976)="*",2,IF(LOOKUP(A355+3,Preguntas!$A$1:$A$2976,Preguntas!$D$1:$D$2976)="*",3,IF(LOOKUP(A355+4,Preguntas!$A$1:$A$2976,Preguntas!$D$1:$D$2976)="*",4))))</f>
        <v>2</v>
      </c>
    </row>
    <row r="356" spans="1:2" x14ac:dyDescent="0.25">
      <c r="A356">
        <f t="shared" si="6"/>
        <v>1746</v>
      </c>
      <c r="B356">
        <f>+IF(LOOKUP(A356+1,Preguntas!$A$1:$A$2976,Preguntas!$D$1:$D$2976)="*",1,IF(LOOKUP(A356+2,Preguntas!$A$1:$A$2976,Preguntas!$D$1:$D$2976)="*",2,IF(LOOKUP(A356+3,Preguntas!$A$1:$A$2976,Preguntas!$D$1:$D$2976)="*",3,IF(LOOKUP(A356+4,Preguntas!$A$1:$A$2976,Preguntas!$D$1:$D$2976)="*",4))))</f>
        <v>1</v>
      </c>
    </row>
    <row r="357" spans="1:2" x14ac:dyDescent="0.25">
      <c r="A357">
        <f t="shared" si="6"/>
        <v>1751</v>
      </c>
      <c r="B357">
        <f>+IF(LOOKUP(A357+1,Preguntas!$A$1:$A$2976,Preguntas!$D$1:$D$2976)="*",1,IF(LOOKUP(A357+2,Preguntas!$A$1:$A$2976,Preguntas!$D$1:$D$2976)="*",2,IF(LOOKUP(A357+3,Preguntas!$A$1:$A$2976,Preguntas!$D$1:$D$2976)="*",3,IF(LOOKUP(A357+4,Preguntas!$A$1:$A$2976,Preguntas!$D$1:$D$2976)="*",4))))</f>
        <v>2</v>
      </c>
    </row>
    <row r="358" spans="1:2" x14ac:dyDescent="0.25">
      <c r="A358">
        <f t="shared" si="6"/>
        <v>1756</v>
      </c>
      <c r="B358">
        <f>+IF(LOOKUP(A358+1,Preguntas!$A$1:$A$2976,Preguntas!$D$1:$D$2976)="*",1,IF(LOOKUP(A358+2,Preguntas!$A$1:$A$2976,Preguntas!$D$1:$D$2976)="*",2,IF(LOOKUP(A358+3,Preguntas!$A$1:$A$2976,Preguntas!$D$1:$D$2976)="*",3,IF(LOOKUP(A358+4,Preguntas!$A$1:$A$2976,Preguntas!$D$1:$D$2976)="*",4))))</f>
        <v>3</v>
      </c>
    </row>
    <row r="359" spans="1:2" x14ac:dyDescent="0.25">
      <c r="A359">
        <f t="shared" si="6"/>
        <v>1761</v>
      </c>
      <c r="B359">
        <f>+IF(LOOKUP(A359+1,Preguntas!$A$1:$A$2976,Preguntas!$D$1:$D$2976)="*",1,IF(LOOKUP(A359+2,Preguntas!$A$1:$A$2976,Preguntas!$D$1:$D$2976)="*",2,IF(LOOKUP(A359+3,Preguntas!$A$1:$A$2976,Preguntas!$D$1:$D$2976)="*",3,IF(LOOKUP(A359+4,Preguntas!$A$1:$A$2976,Preguntas!$D$1:$D$2976)="*",4))))</f>
        <v>1</v>
      </c>
    </row>
    <row r="360" spans="1:2" x14ac:dyDescent="0.25">
      <c r="A360">
        <f t="shared" si="6"/>
        <v>1766</v>
      </c>
      <c r="B360">
        <f>+IF(LOOKUP(A360+1,Preguntas!$A$1:$A$2976,Preguntas!$D$1:$D$2976)="*",1,IF(LOOKUP(A360+2,Preguntas!$A$1:$A$2976,Preguntas!$D$1:$D$2976)="*",2,IF(LOOKUP(A360+3,Preguntas!$A$1:$A$2976,Preguntas!$D$1:$D$2976)="*",3,IF(LOOKUP(A360+4,Preguntas!$A$1:$A$2976,Preguntas!$D$1:$D$2976)="*",4))))</f>
        <v>3</v>
      </c>
    </row>
    <row r="361" spans="1:2" x14ac:dyDescent="0.25">
      <c r="A361">
        <f t="shared" si="6"/>
        <v>1771</v>
      </c>
      <c r="B361">
        <f>+IF(LOOKUP(A361+1,Preguntas!$A$1:$A$2976,Preguntas!$D$1:$D$2976)="*",1,IF(LOOKUP(A361+2,Preguntas!$A$1:$A$2976,Preguntas!$D$1:$D$2976)="*",2,IF(LOOKUP(A361+3,Preguntas!$A$1:$A$2976,Preguntas!$D$1:$D$2976)="*",3,IF(LOOKUP(A361+4,Preguntas!$A$1:$A$2976,Preguntas!$D$1:$D$2976)="*",4))))</f>
        <v>1</v>
      </c>
    </row>
    <row r="362" spans="1:2" x14ac:dyDescent="0.25">
      <c r="A362">
        <f t="shared" si="6"/>
        <v>1776</v>
      </c>
      <c r="B362">
        <f>+IF(LOOKUP(A362+1,Preguntas!$A$1:$A$2976,Preguntas!$D$1:$D$2976)="*",1,IF(LOOKUP(A362+2,Preguntas!$A$1:$A$2976,Preguntas!$D$1:$D$2976)="*",2,IF(LOOKUP(A362+3,Preguntas!$A$1:$A$2976,Preguntas!$D$1:$D$2976)="*",3,IF(LOOKUP(A362+4,Preguntas!$A$1:$A$2976,Preguntas!$D$1:$D$2976)="*",4))))</f>
        <v>2</v>
      </c>
    </row>
    <row r="363" spans="1:2" x14ac:dyDescent="0.25">
      <c r="A363">
        <f t="shared" si="6"/>
        <v>1781</v>
      </c>
      <c r="B363">
        <f>+IF(LOOKUP(A363+1,Preguntas!$A$1:$A$2976,Preguntas!$D$1:$D$2976)="*",1,IF(LOOKUP(A363+2,Preguntas!$A$1:$A$2976,Preguntas!$D$1:$D$2976)="*",2,IF(LOOKUP(A363+3,Preguntas!$A$1:$A$2976,Preguntas!$D$1:$D$2976)="*",3,IF(LOOKUP(A363+4,Preguntas!$A$1:$A$2976,Preguntas!$D$1:$D$2976)="*",4))))</f>
        <v>1</v>
      </c>
    </row>
    <row r="364" spans="1:2" x14ac:dyDescent="0.25">
      <c r="A364">
        <f t="shared" si="6"/>
        <v>1786</v>
      </c>
      <c r="B364">
        <f>+IF(LOOKUP(A364+1,Preguntas!$A$1:$A$2976,Preguntas!$D$1:$D$2976)="*",1,IF(LOOKUP(A364+2,Preguntas!$A$1:$A$2976,Preguntas!$D$1:$D$2976)="*",2,IF(LOOKUP(A364+3,Preguntas!$A$1:$A$2976,Preguntas!$D$1:$D$2976)="*",3,IF(LOOKUP(A364+4,Preguntas!$A$1:$A$2976,Preguntas!$D$1:$D$2976)="*",4))))</f>
        <v>4</v>
      </c>
    </row>
    <row r="365" spans="1:2" x14ac:dyDescent="0.25">
      <c r="A365">
        <f t="shared" si="6"/>
        <v>1791</v>
      </c>
      <c r="B365">
        <f>+IF(LOOKUP(A365+1,Preguntas!$A$1:$A$2976,Preguntas!$D$1:$D$2976)="*",1,IF(LOOKUP(A365+2,Preguntas!$A$1:$A$2976,Preguntas!$D$1:$D$2976)="*",2,IF(LOOKUP(A365+3,Preguntas!$A$1:$A$2976,Preguntas!$D$1:$D$2976)="*",3,IF(LOOKUP(A365+4,Preguntas!$A$1:$A$2976,Preguntas!$D$1:$D$2976)="*",4))))</f>
        <v>3</v>
      </c>
    </row>
    <row r="366" spans="1:2" x14ac:dyDescent="0.25">
      <c r="A366">
        <f t="shared" si="6"/>
        <v>1796</v>
      </c>
      <c r="B366">
        <f>+IF(LOOKUP(A366+1,Preguntas!$A$1:$A$2976,Preguntas!$D$1:$D$2976)="*",1,IF(LOOKUP(A366+2,Preguntas!$A$1:$A$2976,Preguntas!$D$1:$D$2976)="*",2,IF(LOOKUP(A366+3,Preguntas!$A$1:$A$2976,Preguntas!$D$1:$D$2976)="*",3,IF(LOOKUP(A366+4,Preguntas!$A$1:$A$2976,Preguntas!$D$1:$D$2976)="*",4))))</f>
        <v>1</v>
      </c>
    </row>
    <row r="367" spans="1:2" x14ac:dyDescent="0.25">
      <c r="A367">
        <f t="shared" si="6"/>
        <v>1801</v>
      </c>
      <c r="B367">
        <f>+IF(LOOKUP(A367+1,Preguntas!$A$1:$A$2976,Preguntas!$D$1:$D$2976)="*",1,IF(LOOKUP(A367+2,Preguntas!$A$1:$A$2976,Preguntas!$D$1:$D$2976)="*",2,IF(LOOKUP(A367+3,Preguntas!$A$1:$A$2976,Preguntas!$D$1:$D$2976)="*",3,IF(LOOKUP(A367+4,Preguntas!$A$1:$A$2976,Preguntas!$D$1:$D$2976)="*",4))))</f>
        <v>2</v>
      </c>
    </row>
    <row r="368" spans="1:2" x14ac:dyDescent="0.25">
      <c r="A368">
        <f t="shared" si="6"/>
        <v>1806</v>
      </c>
      <c r="B368">
        <f>+IF(LOOKUP(A368+1,Preguntas!$A$1:$A$2976,Preguntas!$D$1:$D$2976)="*",1,IF(LOOKUP(A368+2,Preguntas!$A$1:$A$2976,Preguntas!$D$1:$D$2976)="*",2,IF(LOOKUP(A368+3,Preguntas!$A$1:$A$2976,Preguntas!$D$1:$D$2976)="*",3,IF(LOOKUP(A368+4,Preguntas!$A$1:$A$2976,Preguntas!$D$1:$D$2976)="*",4))))</f>
        <v>4</v>
      </c>
    </row>
    <row r="369" spans="1:2" x14ac:dyDescent="0.25">
      <c r="A369">
        <f t="shared" si="6"/>
        <v>1811</v>
      </c>
      <c r="B369">
        <f>+IF(LOOKUP(A369+1,Preguntas!$A$1:$A$2976,Preguntas!$D$1:$D$2976)="*",1,IF(LOOKUP(A369+2,Preguntas!$A$1:$A$2976,Preguntas!$D$1:$D$2976)="*",2,IF(LOOKUP(A369+3,Preguntas!$A$1:$A$2976,Preguntas!$D$1:$D$2976)="*",3,IF(LOOKUP(A369+4,Preguntas!$A$1:$A$2976,Preguntas!$D$1:$D$2976)="*",4))))</f>
        <v>1</v>
      </c>
    </row>
    <row r="370" spans="1:2" x14ac:dyDescent="0.25">
      <c r="A370">
        <f t="shared" si="6"/>
        <v>1816</v>
      </c>
      <c r="B370">
        <f>+IF(LOOKUP(A370+1,Preguntas!$A$1:$A$2976,Preguntas!$D$1:$D$2976)="*",1,IF(LOOKUP(A370+2,Preguntas!$A$1:$A$2976,Preguntas!$D$1:$D$2976)="*",2,IF(LOOKUP(A370+3,Preguntas!$A$1:$A$2976,Preguntas!$D$1:$D$2976)="*",3,IF(LOOKUP(A370+4,Preguntas!$A$1:$A$2976,Preguntas!$D$1:$D$2976)="*",4))))</f>
        <v>4</v>
      </c>
    </row>
    <row r="371" spans="1:2" x14ac:dyDescent="0.25">
      <c r="A371">
        <f t="shared" si="6"/>
        <v>1821</v>
      </c>
      <c r="B371">
        <f>+IF(LOOKUP(A371+1,Preguntas!$A$1:$A$2976,Preguntas!$D$1:$D$2976)="*",1,IF(LOOKUP(A371+2,Preguntas!$A$1:$A$2976,Preguntas!$D$1:$D$2976)="*",2,IF(LOOKUP(A371+3,Preguntas!$A$1:$A$2976,Preguntas!$D$1:$D$2976)="*",3,IF(LOOKUP(A371+4,Preguntas!$A$1:$A$2976,Preguntas!$D$1:$D$2976)="*",4))))</f>
        <v>4</v>
      </c>
    </row>
    <row r="372" spans="1:2" x14ac:dyDescent="0.25">
      <c r="A372">
        <f t="shared" si="6"/>
        <v>1826</v>
      </c>
      <c r="B372">
        <f>+IF(LOOKUP(A372+1,Preguntas!$A$1:$A$2976,Preguntas!$D$1:$D$2976)="*",1,IF(LOOKUP(A372+2,Preguntas!$A$1:$A$2976,Preguntas!$D$1:$D$2976)="*",2,IF(LOOKUP(A372+3,Preguntas!$A$1:$A$2976,Preguntas!$D$1:$D$2976)="*",3,IF(LOOKUP(A372+4,Preguntas!$A$1:$A$2976,Preguntas!$D$1:$D$2976)="*",4))))</f>
        <v>1</v>
      </c>
    </row>
    <row r="373" spans="1:2" x14ac:dyDescent="0.25">
      <c r="A373">
        <f t="shared" si="6"/>
        <v>1831</v>
      </c>
      <c r="B373">
        <f>+IF(LOOKUP(A373+1,Preguntas!$A$1:$A$2976,Preguntas!$D$1:$D$2976)="*",1,IF(LOOKUP(A373+2,Preguntas!$A$1:$A$2976,Preguntas!$D$1:$D$2976)="*",2,IF(LOOKUP(A373+3,Preguntas!$A$1:$A$2976,Preguntas!$D$1:$D$2976)="*",3,IF(LOOKUP(A373+4,Preguntas!$A$1:$A$2976,Preguntas!$D$1:$D$2976)="*",4))))</f>
        <v>4</v>
      </c>
    </row>
    <row r="374" spans="1:2" x14ac:dyDescent="0.25">
      <c r="A374">
        <f t="shared" si="6"/>
        <v>1836</v>
      </c>
      <c r="B374">
        <f>+IF(LOOKUP(A374+1,Preguntas!$A$1:$A$2976,Preguntas!$D$1:$D$2976)="*",1,IF(LOOKUP(A374+2,Preguntas!$A$1:$A$2976,Preguntas!$D$1:$D$2976)="*",2,IF(LOOKUP(A374+3,Preguntas!$A$1:$A$2976,Preguntas!$D$1:$D$2976)="*",3,IF(LOOKUP(A374+4,Preguntas!$A$1:$A$2976,Preguntas!$D$1:$D$2976)="*",4))))</f>
        <v>1</v>
      </c>
    </row>
    <row r="375" spans="1:2" x14ac:dyDescent="0.25">
      <c r="A375">
        <f t="shared" si="6"/>
        <v>1841</v>
      </c>
      <c r="B375">
        <f>+IF(LOOKUP(A375+1,Preguntas!$A$1:$A$2976,Preguntas!$D$1:$D$2976)="*",1,IF(LOOKUP(A375+2,Preguntas!$A$1:$A$2976,Preguntas!$D$1:$D$2976)="*",2,IF(LOOKUP(A375+3,Preguntas!$A$1:$A$2976,Preguntas!$D$1:$D$2976)="*",3,IF(LOOKUP(A375+4,Preguntas!$A$1:$A$2976,Preguntas!$D$1:$D$2976)="*",4))))</f>
        <v>2</v>
      </c>
    </row>
    <row r="376" spans="1:2" x14ac:dyDescent="0.25">
      <c r="A376">
        <f t="shared" si="6"/>
        <v>1846</v>
      </c>
      <c r="B376">
        <f>+IF(LOOKUP(A376+1,Preguntas!$A$1:$A$2976,Preguntas!$D$1:$D$2976)="*",1,IF(LOOKUP(A376+2,Preguntas!$A$1:$A$2976,Preguntas!$D$1:$D$2976)="*",2,IF(LOOKUP(A376+3,Preguntas!$A$1:$A$2976,Preguntas!$D$1:$D$2976)="*",3,IF(LOOKUP(A376+4,Preguntas!$A$1:$A$2976,Preguntas!$D$1:$D$2976)="*",4))))</f>
        <v>3</v>
      </c>
    </row>
    <row r="377" spans="1:2" x14ac:dyDescent="0.25">
      <c r="A377">
        <f t="shared" si="6"/>
        <v>1851</v>
      </c>
      <c r="B377">
        <f>+IF(LOOKUP(A377+1,Preguntas!$A$1:$A$2976,Preguntas!$D$1:$D$2976)="*",1,IF(LOOKUP(A377+2,Preguntas!$A$1:$A$2976,Preguntas!$D$1:$D$2976)="*",2,IF(LOOKUP(A377+3,Preguntas!$A$1:$A$2976,Preguntas!$D$1:$D$2976)="*",3,IF(LOOKUP(A377+4,Preguntas!$A$1:$A$2976,Preguntas!$D$1:$D$2976)="*",4))))</f>
        <v>3</v>
      </c>
    </row>
    <row r="378" spans="1:2" x14ac:dyDescent="0.25">
      <c r="A378">
        <f t="shared" si="6"/>
        <v>1856</v>
      </c>
      <c r="B378">
        <f>+IF(LOOKUP(A378+1,Preguntas!$A$1:$A$2976,Preguntas!$D$1:$D$2976)="*",1,IF(LOOKUP(A378+2,Preguntas!$A$1:$A$2976,Preguntas!$D$1:$D$2976)="*",2,IF(LOOKUP(A378+3,Preguntas!$A$1:$A$2976,Preguntas!$D$1:$D$2976)="*",3,IF(LOOKUP(A378+4,Preguntas!$A$1:$A$2976,Preguntas!$D$1:$D$2976)="*",4))))</f>
        <v>4</v>
      </c>
    </row>
    <row r="379" spans="1:2" x14ac:dyDescent="0.25">
      <c r="A379">
        <f t="shared" si="6"/>
        <v>1861</v>
      </c>
      <c r="B379">
        <f>+IF(LOOKUP(A379+1,Preguntas!$A$1:$A$2976,Preguntas!$D$1:$D$2976)="*",1,IF(LOOKUP(A379+2,Preguntas!$A$1:$A$2976,Preguntas!$D$1:$D$2976)="*",2,IF(LOOKUP(A379+3,Preguntas!$A$1:$A$2976,Preguntas!$D$1:$D$2976)="*",3,IF(LOOKUP(A379+4,Preguntas!$A$1:$A$2976,Preguntas!$D$1:$D$2976)="*",4))))</f>
        <v>2</v>
      </c>
    </row>
    <row r="380" spans="1:2" x14ac:dyDescent="0.25">
      <c r="A380">
        <f t="shared" si="6"/>
        <v>1866</v>
      </c>
      <c r="B380">
        <f>+IF(LOOKUP(A380+1,Preguntas!$A$1:$A$2976,Preguntas!$D$1:$D$2976)="*",1,IF(LOOKUP(A380+2,Preguntas!$A$1:$A$2976,Preguntas!$D$1:$D$2976)="*",2,IF(LOOKUP(A380+3,Preguntas!$A$1:$A$2976,Preguntas!$D$1:$D$2976)="*",3,IF(LOOKUP(A380+4,Preguntas!$A$1:$A$2976,Preguntas!$D$1:$D$2976)="*",4))))</f>
        <v>4</v>
      </c>
    </row>
    <row r="381" spans="1:2" x14ac:dyDescent="0.25">
      <c r="A381">
        <f t="shared" si="6"/>
        <v>1871</v>
      </c>
      <c r="B381">
        <f>+IF(LOOKUP(A381+1,Preguntas!$A$1:$A$2976,Preguntas!$D$1:$D$2976)="*",1,IF(LOOKUP(A381+2,Preguntas!$A$1:$A$2976,Preguntas!$D$1:$D$2976)="*",2,IF(LOOKUP(A381+3,Preguntas!$A$1:$A$2976,Preguntas!$D$1:$D$2976)="*",3,IF(LOOKUP(A381+4,Preguntas!$A$1:$A$2976,Preguntas!$D$1:$D$2976)="*",4))))</f>
        <v>2</v>
      </c>
    </row>
    <row r="382" spans="1:2" x14ac:dyDescent="0.25">
      <c r="A382">
        <f t="shared" si="6"/>
        <v>1876</v>
      </c>
      <c r="B382">
        <f>+IF(LOOKUP(A382+1,Preguntas!$A$1:$A$2976,Preguntas!$D$1:$D$2976)="*",1,IF(LOOKUP(A382+2,Preguntas!$A$1:$A$2976,Preguntas!$D$1:$D$2976)="*",2,IF(LOOKUP(A382+3,Preguntas!$A$1:$A$2976,Preguntas!$D$1:$D$2976)="*",3,IF(LOOKUP(A382+4,Preguntas!$A$1:$A$2976,Preguntas!$D$1:$D$2976)="*",4))))</f>
        <v>3</v>
      </c>
    </row>
    <row r="383" spans="1:2" x14ac:dyDescent="0.25">
      <c r="A383">
        <f t="shared" si="6"/>
        <v>1881</v>
      </c>
      <c r="B383">
        <f>+IF(LOOKUP(A383+1,Preguntas!$A$1:$A$2976,Preguntas!$D$1:$D$2976)="*",1,IF(LOOKUP(A383+2,Preguntas!$A$1:$A$2976,Preguntas!$D$1:$D$2976)="*",2,IF(LOOKUP(A383+3,Preguntas!$A$1:$A$2976,Preguntas!$D$1:$D$2976)="*",3,IF(LOOKUP(A383+4,Preguntas!$A$1:$A$2976,Preguntas!$D$1:$D$2976)="*",4))))</f>
        <v>4</v>
      </c>
    </row>
    <row r="384" spans="1:2" x14ac:dyDescent="0.25">
      <c r="A384">
        <f t="shared" si="6"/>
        <v>1886</v>
      </c>
      <c r="B384">
        <f>+IF(LOOKUP(A384+1,Preguntas!$A$1:$A$2976,Preguntas!$D$1:$D$2976)="*",1,IF(LOOKUP(A384+2,Preguntas!$A$1:$A$2976,Preguntas!$D$1:$D$2976)="*",2,IF(LOOKUP(A384+3,Preguntas!$A$1:$A$2976,Preguntas!$D$1:$D$2976)="*",3,IF(LOOKUP(A384+4,Preguntas!$A$1:$A$2976,Preguntas!$D$1:$D$2976)="*",4))))</f>
        <v>1</v>
      </c>
    </row>
    <row r="385" spans="1:2" x14ac:dyDescent="0.25">
      <c r="A385">
        <f t="shared" si="6"/>
        <v>1891</v>
      </c>
      <c r="B385">
        <f>+IF(LOOKUP(A385+1,Preguntas!$A$1:$A$2976,Preguntas!$D$1:$D$2976)="*",1,IF(LOOKUP(A385+2,Preguntas!$A$1:$A$2976,Preguntas!$D$1:$D$2976)="*",2,IF(LOOKUP(A385+3,Preguntas!$A$1:$A$2976,Preguntas!$D$1:$D$2976)="*",3,IF(LOOKUP(A385+4,Preguntas!$A$1:$A$2976,Preguntas!$D$1:$D$2976)="*",4))))</f>
        <v>2</v>
      </c>
    </row>
    <row r="386" spans="1:2" x14ac:dyDescent="0.25">
      <c r="A386">
        <f t="shared" si="6"/>
        <v>1896</v>
      </c>
      <c r="B386">
        <f>+IF(LOOKUP(A386+1,Preguntas!$A$1:$A$2976,Preguntas!$D$1:$D$2976)="*",1,IF(LOOKUP(A386+2,Preguntas!$A$1:$A$2976,Preguntas!$D$1:$D$2976)="*",2,IF(LOOKUP(A386+3,Preguntas!$A$1:$A$2976,Preguntas!$D$1:$D$2976)="*",3,IF(LOOKUP(A386+4,Preguntas!$A$1:$A$2976,Preguntas!$D$1:$D$2976)="*",4))))</f>
        <v>4</v>
      </c>
    </row>
    <row r="387" spans="1:2" x14ac:dyDescent="0.25">
      <c r="A387">
        <f t="shared" si="6"/>
        <v>1901</v>
      </c>
      <c r="B387">
        <f>+IF(LOOKUP(A387+1,Preguntas!$A$1:$A$2976,Preguntas!$D$1:$D$2976)="*",1,IF(LOOKUP(A387+2,Preguntas!$A$1:$A$2976,Preguntas!$D$1:$D$2976)="*",2,IF(LOOKUP(A387+3,Preguntas!$A$1:$A$2976,Preguntas!$D$1:$D$2976)="*",3,IF(LOOKUP(A387+4,Preguntas!$A$1:$A$2976,Preguntas!$D$1:$D$2976)="*",4))))</f>
        <v>3</v>
      </c>
    </row>
    <row r="388" spans="1:2" x14ac:dyDescent="0.25">
      <c r="A388">
        <f t="shared" si="6"/>
        <v>1906</v>
      </c>
      <c r="B388">
        <f>+IF(LOOKUP(A388+1,Preguntas!$A$1:$A$2976,Preguntas!$D$1:$D$2976)="*",1,IF(LOOKUP(A388+2,Preguntas!$A$1:$A$2976,Preguntas!$D$1:$D$2976)="*",2,IF(LOOKUP(A388+3,Preguntas!$A$1:$A$2976,Preguntas!$D$1:$D$2976)="*",3,IF(LOOKUP(A388+4,Preguntas!$A$1:$A$2976,Preguntas!$D$1:$D$2976)="*",4))))</f>
        <v>2</v>
      </c>
    </row>
    <row r="389" spans="1:2" x14ac:dyDescent="0.25">
      <c r="A389">
        <f t="shared" si="6"/>
        <v>1911</v>
      </c>
      <c r="B389">
        <f>+IF(LOOKUP(A389+1,Preguntas!$A$1:$A$2976,Preguntas!$D$1:$D$2976)="*",1,IF(LOOKUP(A389+2,Preguntas!$A$1:$A$2976,Preguntas!$D$1:$D$2976)="*",2,IF(LOOKUP(A389+3,Preguntas!$A$1:$A$2976,Preguntas!$D$1:$D$2976)="*",3,IF(LOOKUP(A389+4,Preguntas!$A$1:$A$2976,Preguntas!$D$1:$D$2976)="*",4))))</f>
        <v>1</v>
      </c>
    </row>
    <row r="390" spans="1:2" x14ac:dyDescent="0.25">
      <c r="A390">
        <f t="shared" si="6"/>
        <v>1916</v>
      </c>
      <c r="B390">
        <f>+IF(LOOKUP(A390+1,Preguntas!$A$1:$A$2976,Preguntas!$D$1:$D$2976)="*",1,IF(LOOKUP(A390+2,Preguntas!$A$1:$A$2976,Preguntas!$D$1:$D$2976)="*",2,IF(LOOKUP(A390+3,Preguntas!$A$1:$A$2976,Preguntas!$D$1:$D$2976)="*",3,IF(LOOKUP(A390+4,Preguntas!$A$1:$A$2976,Preguntas!$D$1:$D$2976)="*",4))))</f>
        <v>1</v>
      </c>
    </row>
    <row r="391" spans="1:2" x14ac:dyDescent="0.25">
      <c r="A391">
        <f t="shared" si="6"/>
        <v>1921</v>
      </c>
      <c r="B391">
        <f>+IF(LOOKUP(A391+1,Preguntas!$A$1:$A$2976,Preguntas!$D$1:$D$2976)="*",1,IF(LOOKUP(A391+2,Preguntas!$A$1:$A$2976,Preguntas!$D$1:$D$2976)="*",2,IF(LOOKUP(A391+3,Preguntas!$A$1:$A$2976,Preguntas!$D$1:$D$2976)="*",3,IF(LOOKUP(A391+4,Preguntas!$A$1:$A$2976,Preguntas!$D$1:$D$2976)="*",4))))</f>
        <v>2</v>
      </c>
    </row>
    <row r="392" spans="1:2" x14ac:dyDescent="0.25">
      <c r="A392">
        <f t="shared" si="6"/>
        <v>1926</v>
      </c>
      <c r="B392">
        <f>+IF(LOOKUP(A392+1,Preguntas!$A$1:$A$2976,Preguntas!$D$1:$D$2976)="*",1,IF(LOOKUP(A392+2,Preguntas!$A$1:$A$2976,Preguntas!$D$1:$D$2976)="*",2,IF(LOOKUP(A392+3,Preguntas!$A$1:$A$2976,Preguntas!$D$1:$D$2976)="*",3,IF(LOOKUP(A392+4,Preguntas!$A$1:$A$2976,Preguntas!$D$1:$D$2976)="*",4))))</f>
        <v>1</v>
      </c>
    </row>
    <row r="393" spans="1:2" x14ac:dyDescent="0.25">
      <c r="A393">
        <f t="shared" ref="A393:A456" si="7">+A392+5</f>
        <v>1931</v>
      </c>
      <c r="B393">
        <f>+IF(LOOKUP(A393+1,Preguntas!$A$1:$A$2976,Preguntas!$D$1:$D$2976)="*",1,IF(LOOKUP(A393+2,Preguntas!$A$1:$A$2976,Preguntas!$D$1:$D$2976)="*",2,IF(LOOKUP(A393+3,Preguntas!$A$1:$A$2976,Preguntas!$D$1:$D$2976)="*",3,IF(LOOKUP(A393+4,Preguntas!$A$1:$A$2976,Preguntas!$D$1:$D$2976)="*",4))))</f>
        <v>2</v>
      </c>
    </row>
    <row r="394" spans="1:2" x14ac:dyDescent="0.25">
      <c r="A394">
        <f t="shared" si="7"/>
        <v>1936</v>
      </c>
      <c r="B394">
        <f>+IF(LOOKUP(A394+1,Preguntas!$A$1:$A$2976,Preguntas!$D$1:$D$2976)="*",1,IF(LOOKUP(A394+2,Preguntas!$A$1:$A$2976,Preguntas!$D$1:$D$2976)="*",2,IF(LOOKUP(A394+3,Preguntas!$A$1:$A$2976,Preguntas!$D$1:$D$2976)="*",3,IF(LOOKUP(A394+4,Preguntas!$A$1:$A$2976,Preguntas!$D$1:$D$2976)="*",4))))</f>
        <v>4</v>
      </c>
    </row>
    <row r="395" spans="1:2" x14ac:dyDescent="0.25">
      <c r="A395">
        <f t="shared" si="7"/>
        <v>1941</v>
      </c>
      <c r="B395">
        <f>+IF(LOOKUP(A395+1,Preguntas!$A$1:$A$2976,Preguntas!$D$1:$D$2976)="*",1,IF(LOOKUP(A395+2,Preguntas!$A$1:$A$2976,Preguntas!$D$1:$D$2976)="*",2,IF(LOOKUP(A395+3,Preguntas!$A$1:$A$2976,Preguntas!$D$1:$D$2976)="*",3,IF(LOOKUP(A395+4,Preguntas!$A$1:$A$2976,Preguntas!$D$1:$D$2976)="*",4))))</f>
        <v>4</v>
      </c>
    </row>
    <row r="396" spans="1:2" x14ac:dyDescent="0.25">
      <c r="A396">
        <f t="shared" si="7"/>
        <v>1946</v>
      </c>
      <c r="B396">
        <f>+IF(LOOKUP(A396+1,Preguntas!$A$1:$A$2976,Preguntas!$D$1:$D$2976)="*",1,IF(LOOKUP(A396+2,Preguntas!$A$1:$A$2976,Preguntas!$D$1:$D$2976)="*",2,IF(LOOKUP(A396+3,Preguntas!$A$1:$A$2976,Preguntas!$D$1:$D$2976)="*",3,IF(LOOKUP(A396+4,Preguntas!$A$1:$A$2976,Preguntas!$D$1:$D$2976)="*",4))))</f>
        <v>2</v>
      </c>
    </row>
    <row r="397" spans="1:2" x14ac:dyDescent="0.25">
      <c r="A397">
        <f t="shared" si="7"/>
        <v>1951</v>
      </c>
      <c r="B397">
        <f>+IF(LOOKUP(A397+1,Preguntas!$A$1:$A$2976,Preguntas!$D$1:$D$2976)="*",1,IF(LOOKUP(A397+2,Preguntas!$A$1:$A$2976,Preguntas!$D$1:$D$2976)="*",2,IF(LOOKUP(A397+3,Preguntas!$A$1:$A$2976,Preguntas!$D$1:$D$2976)="*",3,IF(LOOKUP(A397+4,Preguntas!$A$1:$A$2976,Preguntas!$D$1:$D$2976)="*",4))))</f>
        <v>2</v>
      </c>
    </row>
    <row r="398" spans="1:2" x14ac:dyDescent="0.25">
      <c r="A398">
        <f t="shared" si="7"/>
        <v>1956</v>
      </c>
      <c r="B398">
        <f>+IF(LOOKUP(A398+1,Preguntas!$A$1:$A$2976,Preguntas!$D$1:$D$2976)="*",1,IF(LOOKUP(A398+2,Preguntas!$A$1:$A$2976,Preguntas!$D$1:$D$2976)="*",2,IF(LOOKUP(A398+3,Preguntas!$A$1:$A$2976,Preguntas!$D$1:$D$2976)="*",3,IF(LOOKUP(A398+4,Preguntas!$A$1:$A$2976,Preguntas!$D$1:$D$2976)="*",4))))</f>
        <v>1</v>
      </c>
    </row>
    <row r="399" spans="1:2" x14ac:dyDescent="0.25">
      <c r="A399">
        <f t="shared" si="7"/>
        <v>1961</v>
      </c>
      <c r="B399">
        <f>+IF(LOOKUP(A399+1,Preguntas!$A$1:$A$2976,Preguntas!$D$1:$D$2976)="*",1,IF(LOOKUP(A399+2,Preguntas!$A$1:$A$2976,Preguntas!$D$1:$D$2976)="*",2,IF(LOOKUP(A399+3,Preguntas!$A$1:$A$2976,Preguntas!$D$1:$D$2976)="*",3,IF(LOOKUP(A399+4,Preguntas!$A$1:$A$2976,Preguntas!$D$1:$D$2976)="*",4))))</f>
        <v>1</v>
      </c>
    </row>
    <row r="400" spans="1:2" x14ac:dyDescent="0.25">
      <c r="A400">
        <f t="shared" si="7"/>
        <v>1966</v>
      </c>
      <c r="B400">
        <f>+IF(LOOKUP(A400+1,Preguntas!$A$1:$A$2976,Preguntas!$D$1:$D$2976)="*",1,IF(LOOKUP(A400+2,Preguntas!$A$1:$A$2976,Preguntas!$D$1:$D$2976)="*",2,IF(LOOKUP(A400+3,Preguntas!$A$1:$A$2976,Preguntas!$D$1:$D$2976)="*",3,IF(LOOKUP(A400+4,Preguntas!$A$1:$A$2976,Preguntas!$D$1:$D$2976)="*",4))))</f>
        <v>3</v>
      </c>
    </row>
    <row r="401" spans="1:2" x14ac:dyDescent="0.25">
      <c r="A401">
        <f t="shared" si="7"/>
        <v>1971</v>
      </c>
      <c r="B401">
        <f>+IF(LOOKUP(A401+1,Preguntas!$A$1:$A$2976,Preguntas!$D$1:$D$2976)="*",1,IF(LOOKUP(A401+2,Preguntas!$A$1:$A$2976,Preguntas!$D$1:$D$2976)="*",2,IF(LOOKUP(A401+3,Preguntas!$A$1:$A$2976,Preguntas!$D$1:$D$2976)="*",3,IF(LOOKUP(A401+4,Preguntas!$A$1:$A$2976,Preguntas!$D$1:$D$2976)="*",4))))</f>
        <v>1</v>
      </c>
    </row>
    <row r="402" spans="1:2" x14ac:dyDescent="0.25">
      <c r="A402">
        <f t="shared" si="7"/>
        <v>1976</v>
      </c>
      <c r="B402">
        <f>+IF(LOOKUP(A402+1,Preguntas!$A$1:$A$2976,Preguntas!$D$1:$D$2976)="*",1,IF(LOOKUP(A402+2,Preguntas!$A$1:$A$2976,Preguntas!$D$1:$D$2976)="*",2,IF(LOOKUP(A402+3,Preguntas!$A$1:$A$2976,Preguntas!$D$1:$D$2976)="*",3,IF(LOOKUP(A402+4,Preguntas!$A$1:$A$2976,Preguntas!$D$1:$D$2976)="*",4))))</f>
        <v>2</v>
      </c>
    </row>
    <row r="403" spans="1:2" x14ac:dyDescent="0.25">
      <c r="A403">
        <f t="shared" si="7"/>
        <v>1981</v>
      </c>
      <c r="B403">
        <f>+IF(LOOKUP(A403+1,Preguntas!$A$1:$A$2976,Preguntas!$D$1:$D$2976)="*",1,IF(LOOKUP(A403+2,Preguntas!$A$1:$A$2976,Preguntas!$D$1:$D$2976)="*",2,IF(LOOKUP(A403+3,Preguntas!$A$1:$A$2976,Preguntas!$D$1:$D$2976)="*",3,IF(LOOKUP(A403+4,Preguntas!$A$1:$A$2976,Preguntas!$D$1:$D$2976)="*",4))))</f>
        <v>3</v>
      </c>
    </row>
    <row r="404" spans="1:2" x14ac:dyDescent="0.25">
      <c r="A404">
        <f t="shared" si="7"/>
        <v>1986</v>
      </c>
      <c r="B404">
        <f>+IF(LOOKUP(A404+1,Preguntas!$A$1:$A$2976,Preguntas!$D$1:$D$2976)="*",1,IF(LOOKUP(A404+2,Preguntas!$A$1:$A$2976,Preguntas!$D$1:$D$2976)="*",2,IF(LOOKUP(A404+3,Preguntas!$A$1:$A$2976,Preguntas!$D$1:$D$2976)="*",3,IF(LOOKUP(A404+4,Preguntas!$A$1:$A$2976,Preguntas!$D$1:$D$2976)="*",4))))</f>
        <v>1</v>
      </c>
    </row>
    <row r="405" spans="1:2" x14ac:dyDescent="0.25">
      <c r="A405">
        <f t="shared" si="7"/>
        <v>1991</v>
      </c>
      <c r="B405">
        <f>+IF(LOOKUP(A405+1,Preguntas!$A$1:$A$2976,Preguntas!$D$1:$D$2976)="*",1,IF(LOOKUP(A405+2,Preguntas!$A$1:$A$2976,Preguntas!$D$1:$D$2976)="*",2,IF(LOOKUP(A405+3,Preguntas!$A$1:$A$2976,Preguntas!$D$1:$D$2976)="*",3,IF(LOOKUP(A405+4,Preguntas!$A$1:$A$2976,Preguntas!$D$1:$D$2976)="*",4))))</f>
        <v>1</v>
      </c>
    </row>
    <row r="406" spans="1:2" x14ac:dyDescent="0.25">
      <c r="A406">
        <f t="shared" si="7"/>
        <v>1996</v>
      </c>
      <c r="B406">
        <f>+IF(LOOKUP(A406+1,Preguntas!$A$1:$A$2976,Preguntas!$D$1:$D$2976)="*",1,IF(LOOKUP(A406+2,Preguntas!$A$1:$A$2976,Preguntas!$D$1:$D$2976)="*",2,IF(LOOKUP(A406+3,Preguntas!$A$1:$A$2976,Preguntas!$D$1:$D$2976)="*",3,IF(LOOKUP(A406+4,Preguntas!$A$1:$A$2976,Preguntas!$D$1:$D$2976)="*",4))))</f>
        <v>3</v>
      </c>
    </row>
    <row r="407" spans="1:2" x14ac:dyDescent="0.25">
      <c r="A407">
        <f t="shared" si="7"/>
        <v>2001</v>
      </c>
      <c r="B407">
        <f>+IF(LOOKUP(A407+1,Preguntas!$A$1:$A$2976,Preguntas!$D$1:$D$2976)="*",1,IF(LOOKUP(A407+2,Preguntas!$A$1:$A$2976,Preguntas!$D$1:$D$2976)="*",2,IF(LOOKUP(A407+3,Preguntas!$A$1:$A$2976,Preguntas!$D$1:$D$2976)="*",3,IF(LOOKUP(A407+4,Preguntas!$A$1:$A$2976,Preguntas!$D$1:$D$2976)="*",4))))</f>
        <v>4</v>
      </c>
    </row>
    <row r="408" spans="1:2" x14ac:dyDescent="0.25">
      <c r="A408">
        <f t="shared" si="7"/>
        <v>2006</v>
      </c>
      <c r="B408">
        <f>+IF(LOOKUP(A408+1,Preguntas!$A$1:$A$2976,Preguntas!$D$1:$D$2976)="*",1,IF(LOOKUP(A408+2,Preguntas!$A$1:$A$2976,Preguntas!$D$1:$D$2976)="*",2,IF(LOOKUP(A408+3,Preguntas!$A$1:$A$2976,Preguntas!$D$1:$D$2976)="*",3,IF(LOOKUP(A408+4,Preguntas!$A$1:$A$2976,Preguntas!$D$1:$D$2976)="*",4))))</f>
        <v>2</v>
      </c>
    </row>
    <row r="409" spans="1:2" x14ac:dyDescent="0.25">
      <c r="A409">
        <f t="shared" si="7"/>
        <v>2011</v>
      </c>
      <c r="B409">
        <f>+IF(LOOKUP(A409+1,Preguntas!$A$1:$A$2976,Preguntas!$D$1:$D$2976)="*",1,IF(LOOKUP(A409+2,Preguntas!$A$1:$A$2976,Preguntas!$D$1:$D$2976)="*",2,IF(LOOKUP(A409+3,Preguntas!$A$1:$A$2976,Preguntas!$D$1:$D$2976)="*",3,IF(LOOKUP(A409+4,Preguntas!$A$1:$A$2976,Preguntas!$D$1:$D$2976)="*",4))))</f>
        <v>3</v>
      </c>
    </row>
    <row r="410" spans="1:2" x14ac:dyDescent="0.25">
      <c r="A410">
        <f t="shared" si="7"/>
        <v>2016</v>
      </c>
      <c r="B410">
        <f>+IF(LOOKUP(A410+1,Preguntas!$A$1:$A$2976,Preguntas!$D$1:$D$2976)="*",1,IF(LOOKUP(A410+2,Preguntas!$A$1:$A$2976,Preguntas!$D$1:$D$2976)="*",2,IF(LOOKUP(A410+3,Preguntas!$A$1:$A$2976,Preguntas!$D$1:$D$2976)="*",3,IF(LOOKUP(A410+4,Preguntas!$A$1:$A$2976,Preguntas!$D$1:$D$2976)="*",4))))</f>
        <v>2</v>
      </c>
    </row>
    <row r="411" spans="1:2" x14ac:dyDescent="0.25">
      <c r="A411">
        <f t="shared" si="7"/>
        <v>2021</v>
      </c>
      <c r="B411">
        <f>+IF(LOOKUP(A411+1,Preguntas!$A$1:$A$2976,Preguntas!$D$1:$D$2976)="*",1,IF(LOOKUP(A411+2,Preguntas!$A$1:$A$2976,Preguntas!$D$1:$D$2976)="*",2,IF(LOOKUP(A411+3,Preguntas!$A$1:$A$2976,Preguntas!$D$1:$D$2976)="*",3,IF(LOOKUP(A411+4,Preguntas!$A$1:$A$2976,Preguntas!$D$1:$D$2976)="*",4))))</f>
        <v>1</v>
      </c>
    </row>
    <row r="412" spans="1:2" x14ac:dyDescent="0.25">
      <c r="A412">
        <f t="shared" si="7"/>
        <v>2026</v>
      </c>
      <c r="B412">
        <f>+IF(LOOKUP(A412+1,Preguntas!$A$1:$A$2976,Preguntas!$D$1:$D$2976)="*",1,IF(LOOKUP(A412+2,Preguntas!$A$1:$A$2976,Preguntas!$D$1:$D$2976)="*",2,IF(LOOKUP(A412+3,Preguntas!$A$1:$A$2976,Preguntas!$D$1:$D$2976)="*",3,IF(LOOKUP(A412+4,Preguntas!$A$1:$A$2976,Preguntas!$D$1:$D$2976)="*",4))))</f>
        <v>2</v>
      </c>
    </row>
    <row r="413" spans="1:2" x14ac:dyDescent="0.25">
      <c r="A413">
        <f t="shared" si="7"/>
        <v>2031</v>
      </c>
      <c r="B413">
        <f>+IF(LOOKUP(A413+1,Preguntas!$A$1:$A$2976,Preguntas!$D$1:$D$2976)="*",1,IF(LOOKUP(A413+2,Preguntas!$A$1:$A$2976,Preguntas!$D$1:$D$2976)="*",2,IF(LOOKUP(A413+3,Preguntas!$A$1:$A$2976,Preguntas!$D$1:$D$2976)="*",3,IF(LOOKUP(A413+4,Preguntas!$A$1:$A$2976,Preguntas!$D$1:$D$2976)="*",4))))</f>
        <v>2</v>
      </c>
    </row>
    <row r="414" spans="1:2" x14ac:dyDescent="0.25">
      <c r="A414">
        <f t="shared" si="7"/>
        <v>2036</v>
      </c>
      <c r="B414">
        <f>+IF(LOOKUP(A414+1,Preguntas!$A$1:$A$2976,Preguntas!$D$1:$D$2976)="*",1,IF(LOOKUP(A414+2,Preguntas!$A$1:$A$2976,Preguntas!$D$1:$D$2976)="*",2,IF(LOOKUP(A414+3,Preguntas!$A$1:$A$2976,Preguntas!$D$1:$D$2976)="*",3,IF(LOOKUP(A414+4,Preguntas!$A$1:$A$2976,Preguntas!$D$1:$D$2976)="*",4))))</f>
        <v>3</v>
      </c>
    </row>
    <row r="415" spans="1:2" x14ac:dyDescent="0.25">
      <c r="A415">
        <f t="shared" si="7"/>
        <v>2041</v>
      </c>
      <c r="B415">
        <f>+IF(LOOKUP(A415+1,Preguntas!$A$1:$A$2976,Preguntas!$D$1:$D$2976)="*",1,IF(LOOKUP(A415+2,Preguntas!$A$1:$A$2976,Preguntas!$D$1:$D$2976)="*",2,IF(LOOKUP(A415+3,Preguntas!$A$1:$A$2976,Preguntas!$D$1:$D$2976)="*",3,IF(LOOKUP(A415+4,Preguntas!$A$1:$A$2976,Preguntas!$D$1:$D$2976)="*",4))))</f>
        <v>1</v>
      </c>
    </row>
    <row r="416" spans="1:2" x14ac:dyDescent="0.25">
      <c r="A416">
        <f t="shared" si="7"/>
        <v>2046</v>
      </c>
      <c r="B416">
        <f>+IF(LOOKUP(A416+1,Preguntas!$A$1:$A$2976,Preguntas!$D$1:$D$2976)="*",1,IF(LOOKUP(A416+2,Preguntas!$A$1:$A$2976,Preguntas!$D$1:$D$2976)="*",2,IF(LOOKUP(A416+3,Preguntas!$A$1:$A$2976,Preguntas!$D$1:$D$2976)="*",3,IF(LOOKUP(A416+4,Preguntas!$A$1:$A$2976,Preguntas!$D$1:$D$2976)="*",4))))</f>
        <v>4</v>
      </c>
    </row>
    <row r="417" spans="1:2" x14ac:dyDescent="0.25">
      <c r="A417">
        <f t="shared" si="7"/>
        <v>2051</v>
      </c>
      <c r="B417">
        <f>+IF(LOOKUP(A417+1,Preguntas!$A$1:$A$2976,Preguntas!$D$1:$D$2976)="*",1,IF(LOOKUP(A417+2,Preguntas!$A$1:$A$2976,Preguntas!$D$1:$D$2976)="*",2,IF(LOOKUP(A417+3,Preguntas!$A$1:$A$2976,Preguntas!$D$1:$D$2976)="*",3,IF(LOOKUP(A417+4,Preguntas!$A$1:$A$2976,Preguntas!$D$1:$D$2976)="*",4))))</f>
        <v>1</v>
      </c>
    </row>
    <row r="418" spans="1:2" x14ac:dyDescent="0.25">
      <c r="A418">
        <f t="shared" si="7"/>
        <v>2056</v>
      </c>
      <c r="B418">
        <f>+IF(LOOKUP(A418+1,Preguntas!$A$1:$A$2976,Preguntas!$D$1:$D$2976)="*",1,IF(LOOKUP(A418+2,Preguntas!$A$1:$A$2976,Preguntas!$D$1:$D$2976)="*",2,IF(LOOKUP(A418+3,Preguntas!$A$1:$A$2976,Preguntas!$D$1:$D$2976)="*",3,IF(LOOKUP(A418+4,Preguntas!$A$1:$A$2976,Preguntas!$D$1:$D$2976)="*",4))))</f>
        <v>3</v>
      </c>
    </row>
    <row r="419" spans="1:2" x14ac:dyDescent="0.25">
      <c r="A419">
        <f t="shared" si="7"/>
        <v>2061</v>
      </c>
      <c r="B419">
        <f>+IF(LOOKUP(A419+1,Preguntas!$A$1:$A$2976,Preguntas!$D$1:$D$2976)="*",1,IF(LOOKUP(A419+2,Preguntas!$A$1:$A$2976,Preguntas!$D$1:$D$2976)="*",2,IF(LOOKUP(A419+3,Preguntas!$A$1:$A$2976,Preguntas!$D$1:$D$2976)="*",3,IF(LOOKUP(A419+4,Preguntas!$A$1:$A$2976,Preguntas!$D$1:$D$2976)="*",4))))</f>
        <v>1</v>
      </c>
    </row>
    <row r="420" spans="1:2" x14ac:dyDescent="0.25">
      <c r="A420">
        <f t="shared" si="7"/>
        <v>2066</v>
      </c>
      <c r="B420">
        <f>+IF(LOOKUP(A420+1,Preguntas!$A$1:$A$2976,Preguntas!$D$1:$D$2976)="*",1,IF(LOOKUP(A420+2,Preguntas!$A$1:$A$2976,Preguntas!$D$1:$D$2976)="*",2,IF(LOOKUP(A420+3,Preguntas!$A$1:$A$2976,Preguntas!$D$1:$D$2976)="*",3,IF(LOOKUP(A420+4,Preguntas!$A$1:$A$2976,Preguntas!$D$1:$D$2976)="*",4))))</f>
        <v>4</v>
      </c>
    </row>
    <row r="421" spans="1:2" x14ac:dyDescent="0.25">
      <c r="A421">
        <f t="shared" si="7"/>
        <v>2071</v>
      </c>
      <c r="B421">
        <f>+IF(LOOKUP(A421+1,Preguntas!$A$1:$A$2976,Preguntas!$D$1:$D$2976)="*",1,IF(LOOKUP(A421+2,Preguntas!$A$1:$A$2976,Preguntas!$D$1:$D$2976)="*",2,IF(LOOKUP(A421+3,Preguntas!$A$1:$A$2976,Preguntas!$D$1:$D$2976)="*",3,IF(LOOKUP(A421+4,Preguntas!$A$1:$A$2976,Preguntas!$D$1:$D$2976)="*",4))))</f>
        <v>2</v>
      </c>
    </row>
    <row r="422" spans="1:2" x14ac:dyDescent="0.25">
      <c r="A422">
        <f t="shared" si="7"/>
        <v>2076</v>
      </c>
      <c r="B422">
        <f>+IF(LOOKUP(A422+1,Preguntas!$A$1:$A$2976,Preguntas!$D$1:$D$2976)="*",1,IF(LOOKUP(A422+2,Preguntas!$A$1:$A$2976,Preguntas!$D$1:$D$2976)="*",2,IF(LOOKUP(A422+3,Preguntas!$A$1:$A$2976,Preguntas!$D$1:$D$2976)="*",3,IF(LOOKUP(A422+4,Preguntas!$A$1:$A$2976,Preguntas!$D$1:$D$2976)="*",4))))</f>
        <v>3</v>
      </c>
    </row>
    <row r="423" spans="1:2" x14ac:dyDescent="0.25">
      <c r="A423">
        <f t="shared" si="7"/>
        <v>2081</v>
      </c>
      <c r="B423">
        <f>+IF(LOOKUP(A423+1,Preguntas!$A$1:$A$2976,Preguntas!$D$1:$D$2976)="*",1,IF(LOOKUP(A423+2,Preguntas!$A$1:$A$2976,Preguntas!$D$1:$D$2976)="*",2,IF(LOOKUP(A423+3,Preguntas!$A$1:$A$2976,Preguntas!$D$1:$D$2976)="*",3,IF(LOOKUP(A423+4,Preguntas!$A$1:$A$2976,Preguntas!$D$1:$D$2976)="*",4))))</f>
        <v>1</v>
      </c>
    </row>
    <row r="424" spans="1:2" x14ac:dyDescent="0.25">
      <c r="A424">
        <f t="shared" si="7"/>
        <v>2086</v>
      </c>
      <c r="B424">
        <f>+IF(LOOKUP(A424+1,Preguntas!$A$1:$A$2976,Preguntas!$D$1:$D$2976)="*",1,IF(LOOKUP(A424+2,Preguntas!$A$1:$A$2976,Preguntas!$D$1:$D$2976)="*",2,IF(LOOKUP(A424+3,Preguntas!$A$1:$A$2976,Preguntas!$D$1:$D$2976)="*",3,IF(LOOKUP(A424+4,Preguntas!$A$1:$A$2976,Preguntas!$D$1:$D$2976)="*",4))))</f>
        <v>4</v>
      </c>
    </row>
    <row r="425" spans="1:2" x14ac:dyDescent="0.25">
      <c r="A425">
        <f t="shared" si="7"/>
        <v>2091</v>
      </c>
      <c r="B425">
        <f>+IF(LOOKUP(A425+1,Preguntas!$A$1:$A$2976,Preguntas!$D$1:$D$2976)="*",1,IF(LOOKUP(A425+2,Preguntas!$A$1:$A$2976,Preguntas!$D$1:$D$2976)="*",2,IF(LOOKUP(A425+3,Preguntas!$A$1:$A$2976,Preguntas!$D$1:$D$2976)="*",3,IF(LOOKUP(A425+4,Preguntas!$A$1:$A$2976,Preguntas!$D$1:$D$2976)="*",4))))</f>
        <v>2</v>
      </c>
    </row>
    <row r="426" spans="1:2" x14ac:dyDescent="0.25">
      <c r="A426">
        <f t="shared" si="7"/>
        <v>2096</v>
      </c>
      <c r="B426">
        <f>+IF(LOOKUP(A426+1,Preguntas!$A$1:$A$2976,Preguntas!$D$1:$D$2976)="*",1,IF(LOOKUP(A426+2,Preguntas!$A$1:$A$2976,Preguntas!$D$1:$D$2976)="*",2,IF(LOOKUP(A426+3,Preguntas!$A$1:$A$2976,Preguntas!$D$1:$D$2976)="*",3,IF(LOOKUP(A426+4,Preguntas!$A$1:$A$2976,Preguntas!$D$1:$D$2976)="*",4))))</f>
        <v>2</v>
      </c>
    </row>
    <row r="427" spans="1:2" x14ac:dyDescent="0.25">
      <c r="A427">
        <f t="shared" si="7"/>
        <v>2101</v>
      </c>
      <c r="B427">
        <f>+IF(LOOKUP(A427+1,Preguntas!$A$1:$A$2976,Preguntas!$D$1:$D$2976)="*",1,IF(LOOKUP(A427+2,Preguntas!$A$1:$A$2976,Preguntas!$D$1:$D$2976)="*",2,IF(LOOKUP(A427+3,Preguntas!$A$1:$A$2976,Preguntas!$D$1:$D$2976)="*",3,IF(LOOKUP(A427+4,Preguntas!$A$1:$A$2976,Preguntas!$D$1:$D$2976)="*",4))))</f>
        <v>1</v>
      </c>
    </row>
    <row r="428" spans="1:2" x14ac:dyDescent="0.25">
      <c r="A428">
        <f t="shared" si="7"/>
        <v>2106</v>
      </c>
      <c r="B428">
        <f>+IF(LOOKUP(A428+1,Preguntas!$A$1:$A$2976,Preguntas!$D$1:$D$2976)="*",1,IF(LOOKUP(A428+2,Preguntas!$A$1:$A$2976,Preguntas!$D$1:$D$2976)="*",2,IF(LOOKUP(A428+3,Preguntas!$A$1:$A$2976,Preguntas!$D$1:$D$2976)="*",3,IF(LOOKUP(A428+4,Preguntas!$A$1:$A$2976,Preguntas!$D$1:$D$2976)="*",4))))</f>
        <v>2</v>
      </c>
    </row>
    <row r="429" spans="1:2" x14ac:dyDescent="0.25">
      <c r="A429">
        <f t="shared" si="7"/>
        <v>2111</v>
      </c>
      <c r="B429">
        <f>+IF(LOOKUP(A429+1,Preguntas!$A$1:$A$2976,Preguntas!$D$1:$D$2976)="*",1,IF(LOOKUP(A429+2,Preguntas!$A$1:$A$2976,Preguntas!$D$1:$D$2976)="*",2,IF(LOOKUP(A429+3,Preguntas!$A$1:$A$2976,Preguntas!$D$1:$D$2976)="*",3,IF(LOOKUP(A429+4,Preguntas!$A$1:$A$2976,Preguntas!$D$1:$D$2976)="*",4))))</f>
        <v>4</v>
      </c>
    </row>
    <row r="430" spans="1:2" x14ac:dyDescent="0.25">
      <c r="A430">
        <f t="shared" si="7"/>
        <v>2116</v>
      </c>
      <c r="B430">
        <f>+IF(LOOKUP(A430+1,Preguntas!$A$1:$A$2976,Preguntas!$D$1:$D$2976)="*",1,IF(LOOKUP(A430+2,Preguntas!$A$1:$A$2976,Preguntas!$D$1:$D$2976)="*",2,IF(LOOKUP(A430+3,Preguntas!$A$1:$A$2976,Preguntas!$D$1:$D$2976)="*",3,IF(LOOKUP(A430+4,Preguntas!$A$1:$A$2976,Preguntas!$D$1:$D$2976)="*",4))))</f>
        <v>1</v>
      </c>
    </row>
    <row r="431" spans="1:2" x14ac:dyDescent="0.25">
      <c r="A431">
        <f t="shared" si="7"/>
        <v>2121</v>
      </c>
      <c r="B431">
        <f>+IF(LOOKUP(A431+1,Preguntas!$A$1:$A$2976,Preguntas!$D$1:$D$2976)="*",1,IF(LOOKUP(A431+2,Preguntas!$A$1:$A$2976,Preguntas!$D$1:$D$2976)="*",2,IF(LOOKUP(A431+3,Preguntas!$A$1:$A$2976,Preguntas!$D$1:$D$2976)="*",3,IF(LOOKUP(A431+4,Preguntas!$A$1:$A$2976,Preguntas!$D$1:$D$2976)="*",4))))</f>
        <v>3</v>
      </c>
    </row>
    <row r="432" spans="1:2" x14ac:dyDescent="0.25">
      <c r="A432">
        <f t="shared" si="7"/>
        <v>2126</v>
      </c>
      <c r="B432">
        <f>+IF(LOOKUP(A432+1,Preguntas!$A$1:$A$2976,Preguntas!$D$1:$D$2976)="*",1,IF(LOOKUP(A432+2,Preguntas!$A$1:$A$2976,Preguntas!$D$1:$D$2976)="*",2,IF(LOOKUP(A432+3,Preguntas!$A$1:$A$2976,Preguntas!$D$1:$D$2976)="*",3,IF(LOOKUP(A432+4,Preguntas!$A$1:$A$2976,Preguntas!$D$1:$D$2976)="*",4))))</f>
        <v>2</v>
      </c>
    </row>
    <row r="433" spans="1:2" x14ac:dyDescent="0.25">
      <c r="A433">
        <f t="shared" si="7"/>
        <v>2131</v>
      </c>
      <c r="B433">
        <f>+IF(LOOKUP(A433+1,Preguntas!$A$1:$A$2976,Preguntas!$D$1:$D$2976)="*",1,IF(LOOKUP(A433+2,Preguntas!$A$1:$A$2976,Preguntas!$D$1:$D$2976)="*",2,IF(LOOKUP(A433+3,Preguntas!$A$1:$A$2976,Preguntas!$D$1:$D$2976)="*",3,IF(LOOKUP(A433+4,Preguntas!$A$1:$A$2976,Preguntas!$D$1:$D$2976)="*",4))))</f>
        <v>4</v>
      </c>
    </row>
    <row r="434" spans="1:2" x14ac:dyDescent="0.25">
      <c r="A434">
        <f t="shared" si="7"/>
        <v>2136</v>
      </c>
      <c r="B434">
        <f>+IF(LOOKUP(A434+1,Preguntas!$A$1:$A$2976,Preguntas!$D$1:$D$2976)="*",1,IF(LOOKUP(A434+2,Preguntas!$A$1:$A$2976,Preguntas!$D$1:$D$2976)="*",2,IF(LOOKUP(A434+3,Preguntas!$A$1:$A$2976,Preguntas!$D$1:$D$2976)="*",3,IF(LOOKUP(A434+4,Preguntas!$A$1:$A$2976,Preguntas!$D$1:$D$2976)="*",4))))</f>
        <v>4</v>
      </c>
    </row>
    <row r="435" spans="1:2" x14ac:dyDescent="0.25">
      <c r="A435">
        <f t="shared" si="7"/>
        <v>2141</v>
      </c>
      <c r="B435">
        <f>+IF(LOOKUP(A435+1,Preguntas!$A$1:$A$2976,Preguntas!$D$1:$D$2976)="*",1,IF(LOOKUP(A435+2,Preguntas!$A$1:$A$2976,Preguntas!$D$1:$D$2976)="*",2,IF(LOOKUP(A435+3,Preguntas!$A$1:$A$2976,Preguntas!$D$1:$D$2976)="*",3,IF(LOOKUP(A435+4,Preguntas!$A$1:$A$2976,Preguntas!$D$1:$D$2976)="*",4))))</f>
        <v>2</v>
      </c>
    </row>
    <row r="436" spans="1:2" x14ac:dyDescent="0.25">
      <c r="A436">
        <f t="shared" si="7"/>
        <v>2146</v>
      </c>
      <c r="B436">
        <f>+IF(LOOKUP(A436+1,Preguntas!$A$1:$A$2976,Preguntas!$D$1:$D$2976)="*",1,IF(LOOKUP(A436+2,Preguntas!$A$1:$A$2976,Preguntas!$D$1:$D$2976)="*",2,IF(LOOKUP(A436+3,Preguntas!$A$1:$A$2976,Preguntas!$D$1:$D$2976)="*",3,IF(LOOKUP(A436+4,Preguntas!$A$1:$A$2976,Preguntas!$D$1:$D$2976)="*",4))))</f>
        <v>1</v>
      </c>
    </row>
    <row r="437" spans="1:2" x14ac:dyDescent="0.25">
      <c r="A437">
        <f t="shared" si="7"/>
        <v>2151</v>
      </c>
      <c r="B437">
        <f>+IF(LOOKUP(A437+1,Preguntas!$A$1:$A$2976,Preguntas!$D$1:$D$2976)="*",1,IF(LOOKUP(A437+2,Preguntas!$A$1:$A$2976,Preguntas!$D$1:$D$2976)="*",2,IF(LOOKUP(A437+3,Preguntas!$A$1:$A$2976,Preguntas!$D$1:$D$2976)="*",3,IF(LOOKUP(A437+4,Preguntas!$A$1:$A$2976,Preguntas!$D$1:$D$2976)="*",4))))</f>
        <v>3</v>
      </c>
    </row>
    <row r="438" spans="1:2" x14ac:dyDescent="0.25">
      <c r="A438">
        <f t="shared" si="7"/>
        <v>2156</v>
      </c>
      <c r="B438">
        <f>+IF(LOOKUP(A438+1,Preguntas!$A$1:$A$2976,Preguntas!$D$1:$D$2976)="*",1,IF(LOOKUP(A438+2,Preguntas!$A$1:$A$2976,Preguntas!$D$1:$D$2976)="*",2,IF(LOOKUP(A438+3,Preguntas!$A$1:$A$2976,Preguntas!$D$1:$D$2976)="*",3,IF(LOOKUP(A438+4,Preguntas!$A$1:$A$2976,Preguntas!$D$1:$D$2976)="*",4))))</f>
        <v>4</v>
      </c>
    </row>
    <row r="439" spans="1:2" x14ac:dyDescent="0.25">
      <c r="A439">
        <f t="shared" si="7"/>
        <v>2161</v>
      </c>
      <c r="B439">
        <f>+IF(LOOKUP(A439+1,Preguntas!$A$1:$A$2976,Preguntas!$D$1:$D$2976)="*",1,IF(LOOKUP(A439+2,Preguntas!$A$1:$A$2976,Preguntas!$D$1:$D$2976)="*",2,IF(LOOKUP(A439+3,Preguntas!$A$1:$A$2976,Preguntas!$D$1:$D$2976)="*",3,IF(LOOKUP(A439+4,Preguntas!$A$1:$A$2976,Preguntas!$D$1:$D$2976)="*",4))))</f>
        <v>2</v>
      </c>
    </row>
    <row r="440" spans="1:2" x14ac:dyDescent="0.25">
      <c r="A440">
        <f t="shared" si="7"/>
        <v>2166</v>
      </c>
      <c r="B440">
        <f>+IF(LOOKUP(A440+1,Preguntas!$A$1:$A$2976,Preguntas!$D$1:$D$2976)="*",1,IF(LOOKUP(A440+2,Preguntas!$A$1:$A$2976,Preguntas!$D$1:$D$2976)="*",2,IF(LOOKUP(A440+3,Preguntas!$A$1:$A$2976,Preguntas!$D$1:$D$2976)="*",3,IF(LOOKUP(A440+4,Preguntas!$A$1:$A$2976,Preguntas!$D$1:$D$2976)="*",4))))</f>
        <v>1</v>
      </c>
    </row>
    <row r="441" spans="1:2" x14ac:dyDescent="0.25">
      <c r="A441">
        <f t="shared" si="7"/>
        <v>2171</v>
      </c>
      <c r="B441">
        <f>+IF(LOOKUP(A441+1,Preguntas!$A$1:$A$2976,Preguntas!$D$1:$D$2976)="*",1,IF(LOOKUP(A441+2,Preguntas!$A$1:$A$2976,Preguntas!$D$1:$D$2976)="*",2,IF(LOOKUP(A441+3,Preguntas!$A$1:$A$2976,Preguntas!$D$1:$D$2976)="*",3,IF(LOOKUP(A441+4,Preguntas!$A$1:$A$2976,Preguntas!$D$1:$D$2976)="*",4))))</f>
        <v>4</v>
      </c>
    </row>
    <row r="442" spans="1:2" x14ac:dyDescent="0.25">
      <c r="A442">
        <f t="shared" si="7"/>
        <v>2176</v>
      </c>
      <c r="B442">
        <f>+IF(LOOKUP(A442+1,Preguntas!$A$1:$A$2976,Preguntas!$D$1:$D$2976)="*",1,IF(LOOKUP(A442+2,Preguntas!$A$1:$A$2976,Preguntas!$D$1:$D$2976)="*",2,IF(LOOKUP(A442+3,Preguntas!$A$1:$A$2976,Preguntas!$D$1:$D$2976)="*",3,IF(LOOKUP(A442+4,Preguntas!$A$1:$A$2976,Preguntas!$D$1:$D$2976)="*",4))))</f>
        <v>4</v>
      </c>
    </row>
    <row r="443" spans="1:2" x14ac:dyDescent="0.25">
      <c r="A443">
        <f t="shared" si="7"/>
        <v>2181</v>
      </c>
      <c r="B443">
        <f>+IF(LOOKUP(A443+1,Preguntas!$A$1:$A$2976,Preguntas!$D$1:$D$2976)="*",1,IF(LOOKUP(A443+2,Preguntas!$A$1:$A$2976,Preguntas!$D$1:$D$2976)="*",2,IF(LOOKUP(A443+3,Preguntas!$A$1:$A$2976,Preguntas!$D$1:$D$2976)="*",3,IF(LOOKUP(A443+4,Preguntas!$A$1:$A$2976,Preguntas!$D$1:$D$2976)="*",4))))</f>
        <v>3</v>
      </c>
    </row>
    <row r="444" spans="1:2" x14ac:dyDescent="0.25">
      <c r="A444">
        <f t="shared" si="7"/>
        <v>2186</v>
      </c>
      <c r="B444">
        <f>+IF(LOOKUP(A444+1,Preguntas!$A$1:$A$2976,Preguntas!$D$1:$D$2976)="*",1,IF(LOOKUP(A444+2,Preguntas!$A$1:$A$2976,Preguntas!$D$1:$D$2976)="*",2,IF(LOOKUP(A444+3,Preguntas!$A$1:$A$2976,Preguntas!$D$1:$D$2976)="*",3,IF(LOOKUP(A444+4,Preguntas!$A$1:$A$2976,Preguntas!$D$1:$D$2976)="*",4))))</f>
        <v>2</v>
      </c>
    </row>
    <row r="445" spans="1:2" x14ac:dyDescent="0.25">
      <c r="A445">
        <f t="shared" si="7"/>
        <v>2191</v>
      </c>
      <c r="B445">
        <f>+IF(LOOKUP(A445+1,Preguntas!$A$1:$A$2976,Preguntas!$D$1:$D$2976)="*",1,IF(LOOKUP(A445+2,Preguntas!$A$1:$A$2976,Preguntas!$D$1:$D$2976)="*",2,IF(LOOKUP(A445+3,Preguntas!$A$1:$A$2976,Preguntas!$D$1:$D$2976)="*",3,IF(LOOKUP(A445+4,Preguntas!$A$1:$A$2976,Preguntas!$D$1:$D$2976)="*",4))))</f>
        <v>2</v>
      </c>
    </row>
    <row r="446" spans="1:2" x14ac:dyDescent="0.25">
      <c r="A446">
        <f t="shared" si="7"/>
        <v>2196</v>
      </c>
      <c r="B446">
        <f>+IF(LOOKUP(A446+1,Preguntas!$A$1:$A$2976,Preguntas!$D$1:$D$2976)="*",1,IF(LOOKUP(A446+2,Preguntas!$A$1:$A$2976,Preguntas!$D$1:$D$2976)="*",2,IF(LOOKUP(A446+3,Preguntas!$A$1:$A$2976,Preguntas!$D$1:$D$2976)="*",3,IF(LOOKUP(A446+4,Preguntas!$A$1:$A$2976,Preguntas!$D$1:$D$2976)="*",4))))</f>
        <v>4</v>
      </c>
    </row>
    <row r="447" spans="1:2" x14ac:dyDescent="0.25">
      <c r="A447">
        <f t="shared" si="7"/>
        <v>2201</v>
      </c>
      <c r="B447">
        <f>+IF(LOOKUP(A447+1,Preguntas!$A$1:$A$2976,Preguntas!$D$1:$D$2976)="*",1,IF(LOOKUP(A447+2,Preguntas!$A$1:$A$2976,Preguntas!$D$1:$D$2976)="*",2,IF(LOOKUP(A447+3,Preguntas!$A$1:$A$2976,Preguntas!$D$1:$D$2976)="*",3,IF(LOOKUP(A447+4,Preguntas!$A$1:$A$2976,Preguntas!$D$1:$D$2976)="*",4))))</f>
        <v>4</v>
      </c>
    </row>
    <row r="448" spans="1:2" x14ac:dyDescent="0.25">
      <c r="A448">
        <f t="shared" si="7"/>
        <v>2206</v>
      </c>
      <c r="B448">
        <f>+IF(LOOKUP(A448+1,Preguntas!$A$1:$A$2976,Preguntas!$D$1:$D$2976)="*",1,IF(LOOKUP(A448+2,Preguntas!$A$1:$A$2976,Preguntas!$D$1:$D$2976)="*",2,IF(LOOKUP(A448+3,Preguntas!$A$1:$A$2976,Preguntas!$D$1:$D$2976)="*",3,IF(LOOKUP(A448+4,Preguntas!$A$1:$A$2976,Preguntas!$D$1:$D$2976)="*",4))))</f>
        <v>1</v>
      </c>
    </row>
    <row r="449" spans="1:2" x14ac:dyDescent="0.25">
      <c r="A449">
        <f t="shared" si="7"/>
        <v>2211</v>
      </c>
      <c r="B449">
        <f>+IF(LOOKUP(A449+1,Preguntas!$A$1:$A$2976,Preguntas!$D$1:$D$2976)="*",1,IF(LOOKUP(A449+2,Preguntas!$A$1:$A$2976,Preguntas!$D$1:$D$2976)="*",2,IF(LOOKUP(A449+3,Preguntas!$A$1:$A$2976,Preguntas!$D$1:$D$2976)="*",3,IF(LOOKUP(A449+4,Preguntas!$A$1:$A$2976,Preguntas!$D$1:$D$2976)="*",4))))</f>
        <v>4</v>
      </c>
    </row>
    <row r="450" spans="1:2" x14ac:dyDescent="0.25">
      <c r="A450">
        <f t="shared" si="7"/>
        <v>2216</v>
      </c>
      <c r="B450">
        <f>+IF(LOOKUP(A450+1,Preguntas!$A$1:$A$2976,Preguntas!$D$1:$D$2976)="*",1,IF(LOOKUP(A450+2,Preguntas!$A$1:$A$2976,Preguntas!$D$1:$D$2976)="*",2,IF(LOOKUP(A450+3,Preguntas!$A$1:$A$2976,Preguntas!$D$1:$D$2976)="*",3,IF(LOOKUP(A450+4,Preguntas!$A$1:$A$2976,Preguntas!$D$1:$D$2976)="*",4))))</f>
        <v>2</v>
      </c>
    </row>
    <row r="451" spans="1:2" x14ac:dyDescent="0.25">
      <c r="A451">
        <f t="shared" si="7"/>
        <v>2221</v>
      </c>
      <c r="B451">
        <f>+IF(LOOKUP(A451+1,Preguntas!$A$1:$A$2976,Preguntas!$D$1:$D$2976)="*",1,IF(LOOKUP(A451+2,Preguntas!$A$1:$A$2976,Preguntas!$D$1:$D$2976)="*",2,IF(LOOKUP(A451+3,Preguntas!$A$1:$A$2976,Preguntas!$D$1:$D$2976)="*",3,IF(LOOKUP(A451+4,Preguntas!$A$1:$A$2976,Preguntas!$D$1:$D$2976)="*",4))))</f>
        <v>2</v>
      </c>
    </row>
    <row r="452" spans="1:2" x14ac:dyDescent="0.25">
      <c r="A452">
        <f t="shared" si="7"/>
        <v>2226</v>
      </c>
      <c r="B452">
        <f>+IF(LOOKUP(A452+1,Preguntas!$A$1:$A$2976,Preguntas!$D$1:$D$2976)="*",1,IF(LOOKUP(A452+2,Preguntas!$A$1:$A$2976,Preguntas!$D$1:$D$2976)="*",2,IF(LOOKUP(A452+3,Preguntas!$A$1:$A$2976,Preguntas!$D$1:$D$2976)="*",3,IF(LOOKUP(A452+4,Preguntas!$A$1:$A$2976,Preguntas!$D$1:$D$2976)="*",4))))</f>
        <v>3</v>
      </c>
    </row>
    <row r="453" spans="1:2" x14ac:dyDescent="0.25">
      <c r="A453">
        <f t="shared" si="7"/>
        <v>2231</v>
      </c>
      <c r="B453">
        <f>+IF(LOOKUP(A453+1,Preguntas!$A$1:$A$2976,Preguntas!$D$1:$D$2976)="*",1,IF(LOOKUP(A453+2,Preguntas!$A$1:$A$2976,Preguntas!$D$1:$D$2976)="*",2,IF(LOOKUP(A453+3,Preguntas!$A$1:$A$2976,Preguntas!$D$1:$D$2976)="*",3,IF(LOOKUP(A453+4,Preguntas!$A$1:$A$2976,Preguntas!$D$1:$D$2976)="*",4))))</f>
        <v>3</v>
      </c>
    </row>
    <row r="454" spans="1:2" x14ac:dyDescent="0.25">
      <c r="A454">
        <f t="shared" si="7"/>
        <v>2236</v>
      </c>
      <c r="B454">
        <f>+IF(LOOKUP(A454+1,Preguntas!$A$1:$A$2976,Preguntas!$D$1:$D$2976)="*",1,IF(LOOKUP(A454+2,Preguntas!$A$1:$A$2976,Preguntas!$D$1:$D$2976)="*",2,IF(LOOKUP(A454+3,Preguntas!$A$1:$A$2976,Preguntas!$D$1:$D$2976)="*",3,IF(LOOKUP(A454+4,Preguntas!$A$1:$A$2976,Preguntas!$D$1:$D$2976)="*",4))))</f>
        <v>2</v>
      </c>
    </row>
    <row r="455" spans="1:2" x14ac:dyDescent="0.25">
      <c r="A455">
        <f t="shared" si="7"/>
        <v>2241</v>
      </c>
      <c r="B455">
        <f>+IF(LOOKUP(A455+1,Preguntas!$A$1:$A$2976,Preguntas!$D$1:$D$2976)="*",1,IF(LOOKUP(A455+2,Preguntas!$A$1:$A$2976,Preguntas!$D$1:$D$2976)="*",2,IF(LOOKUP(A455+3,Preguntas!$A$1:$A$2976,Preguntas!$D$1:$D$2976)="*",3,IF(LOOKUP(A455+4,Preguntas!$A$1:$A$2976,Preguntas!$D$1:$D$2976)="*",4))))</f>
        <v>1</v>
      </c>
    </row>
    <row r="456" spans="1:2" x14ac:dyDescent="0.25">
      <c r="A456">
        <f t="shared" si="7"/>
        <v>2246</v>
      </c>
      <c r="B456">
        <f>+IF(LOOKUP(A456+1,Preguntas!$A$1:$A$2976,Preguntas!$D$1:$D$2976)="*",1,IF(LOOKUP(A456+2,Preguntas!$A$1:$A$2976,Preguntas!$D$1:$D$2976)="*",2,IF(LOOKUP(A456+3,Preguntas!$A$1:$A$2976,Preguntas!$D$1:$D$2976)="*",3,IF(LOOKUP(A456+4,Preguntas!$A$1:$A$2976,Preguntas!$D$1:$D$2976)="*",4))))</f>
        <v>3</v>
      </c>
    </row>
    <row r="457" spans="1:2" x14ac:dyDescent="0.25">
      <c r="A457">
        <f t="shared" ref="A457:A520" si="8">+A456+5</f>
        <v>2251</v>
      </c>
      <c r="B457">
        <f>+IF(LOOKUP(A457+1,Preguntas!$A$1:$A$2976,Preguntas!$D$1:$D$2976)="*",1,IF(LOOKUP(A457+2,Preguntas!$A$1:$A$2976,Preguntas!$D$1:$D$2976)="*",2,IF(LOOKUP(A457+3,Preguntas!$A$1:$A$2976,Preguntas!$D$1:$D$2976)="*",3,IF(LOOKUP(A457+4,Preguntas!$A$1:$A$2976,Preguntas!$D$1:$D$2976)="*",4))))</f>
        <v>3</v>
      </c>
    </row>
    <row r="458" spans="1:2" x14ac:dyDescent="0.25">
      <c r="A458">
        <f t="shared" si="8"/>
        <v>2256</v>
      </c>
      <c r="B458">
        <f>+IF(LOOKUP(A458+1,Preguntas!$A$1:$A$2976,Preguntas!$D$1:$D$2976)="*",1,IF(LOOKUP(A458+2,Preguntas!$A$1:$A$2976,Preguntas!$D$1:$D$2976)="*",2,IF(LOOKUP(A458+3,Preguntas!$A$1:$A$2976,Preguntas!$D$1:$D$2976)="*",3,IF(LOOKUP(A458+4,Preguntas!$A$1:$A$2976,Preguntas!$D$1:$D$2976)="*",4))))</f>
        <v>2</v>
      </c>
    </row>
    <row r="459" spans="1:2" x14ac:dyDescent="0.25">
      <c r="A459">
        <f t="shared" si="8"/>
        <v>2261</v>
      </c>
      <c r="B459">
        <f>+IF(LOOKUP(A459+1,Preguntas!$A$1:$A$2976,Preguntas!$D$1:$D$2976)="*",1,IF(LOOKUP(A459+2,Preguntas!$A$1:$A$2976,Preguntas!$D$1:$D$2976)="*",2,IF(LOOKUP(A459+3,Preguntas!$A$1:$A$2976,Preguntas!$D$1:$D$2976)="*",3,IF(LOOKUP(A459+4,Preguntas!$A$1:$A$2976,Preguntas!$D$1:$D$2976)="*",4))))</f>
        <v>4</v>
      </c>
    </row>
    <row r="460" spans="1:2" x14ac:dyDescent="0.25">
      <c r="A460">
        <f t="shared" si="8"/>
        <v>2266</v>
      </c>
      <c r="B460">
        <f>+IF(LOOKUP(A460+1,Preguntas!$A$1:$A$2976,Preguntas!$D$1:$D$2976)="*",1,IF(LOOKUP(A460+2,Preguntas!$A$1:$A$2976,Preguntas!$D$1:$D$2976)="*",2,IF(LOOKUP(A460+3,Preguntas!$A$1:$A$2976,Preguntas!$D$1:$D$2976)="*",3,IF(LOOKUP(A460+4,Preguntas!$A$1:$A$2976,Preguntas!$D$1:$D$2976)="*",4))))</f>
        <v>2</v>
      </c>
    </row>
    <row r="461" spans="1:2" x14ac:dyDescent="0.25">
      <c r="A461">
        <f t="shared" si="8"/>
        <v>2271</v>
      </c>
      <c r="B461">
        <f>+IF(LOOKUP(A461+1,Preguntas!$A$1:$A$2976,Preguntas!$D$1:$D$2976)="*",1,IF(LOOKUP(A461+2,Preguntas!$A$1:$A$2976,Preguntas!$D$1:$D$2976)="*",2,IF(LOOKUP(A461+3,Preguntas!$A$1:$A$2976,Preguntas!$D$1:$D$2976)="*",3,IF(LOOKUP(A461+4,Preguntas!$A$1:$A$2976,Preguntas!$D$1:$D$2976)="*",4))))</f>
        <v>1</v>
      </c>
    </row>
    <row r="462" spans="1:2" x14ac:dyDescent="0.25">
      <c r="A462">
        <f t="shared" si="8"/>
        <v>2276</v>
      </c>
      <c r="B462">
        <f>+IF(LOOKUP(A462+1,Preguntas!$A$1:$A$2976,Preguntas!$D$1:$D$2976)="*",1,IF(LOOKUP(A462+2,Preguntas!$A$1:$A$2976,Preguntas!$D$1:$D$2976)="*",2,IF(LOOKUP(A462+3,Preguntas!$A$1:$A$2976,Preguntas!$D$1:$D$2976)="*",3,IF(LOOKUP(A462+4,Preguntas!$A$1:$A$2976,Preguntas!$D$1:$D$2976)="*",4))))</f>
        <v>1</v>
      </c>
    </row>
    <row r="463" spans="1:2" x14ac:dyDescent="0.25">
      <c r="A463">
        <f t="shared" si="8"/>
        <v>2281</v>
      </c>
      <c r="B463">
        <f>+IF(LOOKUP(A463+1,Preguntas!$A$1:$A$2976,Preguntas!$D$1:$D$2976)="*",1,IF(LOOKUP(A463+2,Preguntas!$A$1:$A$2976,Preguntas!$D$1:$D$2976)="*",2,IF(LOOKUP(A463+3,Preguntas!$A$1:$A$2976,Preguntas!$D$1:$D$2976)="*",3,IF(LOOKUP(A463+4,Preguntas!$A$1:$A$2976,Preguntas!$D$1:$D$2976)="*",4))))</f>
        <v>3</v>
      </c>
    </row>
    <row r="464" spans="1:2" x14ac:dyDescent="0.25">
      <c r="A464">
        <f t="shared" si="8"/>
        <v>2286</v>
      </c>
      <c r="B464">
        <f>+IF(LOOKUP(A464+1,Preguntas!$A$1:$A$2976,Preguntas!$D$1:$D$2976)="*",1,IF(LOOKUP(A464+2,Preguntas!$A$1:$A$2976,Preguntas!$D$1:$D$2976)="*",2,IF(LOOKUP(A464+3,Preguntas!$A$1:$A$2976,Preguntas!$D$1:$D$2976)="*",3,IF(LOOKUP(A464+4,Preguntas!$A$1:$A$2976,Preguntas!$D$1:$D$2976)="*",4))))</f>
        <v>4</v>
      </c>
    </row>
    <row r="465" spans="1:2" x14ac:dyDescent="0.25">
      <c r="A465">
        <f t="shared" si="8"/>
        <v>2291</v>
      </c>
      <c r="B465">
        <f>+IF(LOOKUP(A465+1,Preguntas!$A$1:$A$2976,Preguntas!$D$1:$D$2976)="*",1,IF(LOOKUP(A465+2,Preguntas!$A$1:$A$2976,Preguntas!$D$1:$D$2976)="*",2,IF(LOOKUP(A465+3,Preguntas!$A$1:$A$2976,Preguntas!$D$1:$D$2976)="*",3,IF(LOOKUP(A465+4,Preguntas!$A$1:$A$2976,Preguntas!$D$1:$D$2976)="*",4))))</f>
        <v>2</v>
      </c>
    </row>
    <row r="466" spans="1:2" x14ac:dyDescent="0.25">
      <c r="A466">
        <f t="shared" si="8"/>
        <v>2296</v>
      </c>
      <c r="B466">
        <f>+IF(LOOKUP(A466+1,Preguntas!$A$1:$A$2976,Preguntas!$D$1:$D$2976)="*",1,IF(LOOKUP(A466+2,Preguntas!$A$1:$A$2976,Preguntas!$D$1:$D$2976)="*",2,IF(LOOKUP(A466+3,Preguntas!$A$1:$A$2976,Preguntas!$D$1:$D$2976)="*",3,IF(LOOKUP(A466+4,Preguntas!$A$1:$A$2976,Preguntas!$D$1:$D$2976)="*",4))))</f>
        <v>3</v>
      </c>
    </row>
    <row r="467" spans="1:2" x14ac:dyDescent="0.25">
      <c r="A467">
        <f t="shared" si="8"/>
        <v>2301</v>
      </c>
      <c r="B467">
        <f>+IF(LOOKUP(A467+1,Preguntas!$A$1:$A$2976,Preguntas!$D$1:$D$2976)="*",1,IF(LOOKUP(A467+2,Preguntas!$A$1:$A$2976,Preguntas!$D$1:$D$2976)="*",2,IF(LOOKUP(A467+3,Preguntas!$A$1:$A$2976,Preguntas!$D$1:$D$2976)="*",3,IF(LOOKUP(A467+4,Preguntas!$A$1:$A$2976,Preguntas!$D$1:$D$2976)="*",4))))</f>
        <v>1</v>
      </c>
    </row>
    <row r="468" spans="1:2" x14ac:dyDescent="0.25">
      <c r="A468">
        <f t="shared" si="8"/>
        <v>2306</v>
      </c>
      <c r="B468">
        <f>+IF(LOOKUP(A468+1,Preguntas!$A$1:$A$2976,Preguntas!$D$1:$D$2976)="*",1,IF(LOOKUP(A468+2,Preguntas!$A$1:$A$2976,Preguntas!$D$1:$D$2976)="*",2,IF(LOOKUP(A468+3,Preguntas!$A$1:$A$2976,Preguntas!$D$1:$D$2976)="*",3,IF(LOOKUP(A468+4,Preguntas!$A$1:$A$2976,Preguntas!$D$1:$D$2976)="*",4))))</f>
        <v>3</v>
      </c>
    </row>
    <row r="469" spans="1:2" x14ac:dyDescent="0.25">
      <c r="A469">
        <f t="shared" si="8"/>
        <v>2311</v>
      </c>
      <c r="B469">
        <f>+IF(LOOKUP(A469+1,Preguntas!$A$1:$A$2976,Preguntas!$D$1:$D$2976)="*",1,IF(LOOKUP(A469+2,Preguntas!$A$1:$A$2976,Preguntas!$D$1:$D$2976)="*",2,IF(LOOKUP(A469+3,Preguntas!$A$1:$A$2976,Preguntas!$D$1:$D$2976)="*",3,IF(LOOKUP(A469+4,Preguntas!$A$1:$A$2976,Preguntas!$D$1:$D$2976)="*",4))))</f>
        <v>4</v>
      </c>
    </row>
    <row r="470" spans="1:2" x14ac:dyDescent="0.25">
      <c r="A470">
        <f t="shared" si="8"/>
        <v>2316</v>
      </c>
      <c r="B470">
        <f>+IF(LOOKUP(A470+1,Preguntas!$A$1:$A$2976,Preguntas!$D$1:$D$2976)="*",1,IF(LOOKUP(A470+2,Preguntas!$A$1:$A$2976,Preguntas!$D$1:$D$2976)="*",2,IF(LOOKUP(A470+3,Preguntas!$A$1:$A$2976,Preguntas!$D$1:$D$2976)="*",3,IF(LOOKUP(A470+4,Preguntas!$A$1:$A$2976,Preguntas!$D$1:$D$2976)="*",4))))</f>
        <v>3</v>
      </c>
    </row>
    <row r="471" spans="1:2" x14ac:dyDescent="0.25">
      <c r="A471">
        <f t="shared" si="8"/>
        <v>2321</v>
      </c>
      <c r="B471">
        <f>+IF(LOOKUP(A471+1,Preguntas!$A$1:$A$2976,Preguntas!$D$1:$D$2976)="*",1,IF(LOOKUP(A471+2,Preguntas!$A$1:$A$2976,Preguntas!$D$1:$D$2976)="*",2,IF(LOOKUP(A471+3,Preguntas!$A$1:$A$2976,Preguntas!$D$1:$D$2976)="*",3,IF(LOOKUP(A471+4,Preguntas!$A$1:$A$2976,Preguntas!$D$1:$D$2976)="*",4))))</f>
        <v>2</v>
      </c>
    </row>
    <row r="472" spans="1:2" x14ac:dyDescent="0.25">
      <c r="A472">
        <f t="shared" si="8"/>
        <v>2326</v>
      </c>
      <c r="B472">
        <f>+IF(LOOKUP(A472+1,Preguntas!$A$1:$A$2976,Preguntas!$D$1:$D$2976)="*",1,IF(LOOKUP(A472+2,Preguntas!$A$1:$A$2976,Preguntas!$D$1:$D$2976)="*",2,IF(LOOKUP(A472+3,Preguntas!$A$1:$A$2976,Preguntas!$D$1:$D$2976)="*",3,IF(LOOKUP(A472+4,Preguntas!$A$1:$A$2976,Preguntas!$D$1:$D$2976)="*",4))))</f>
        <v>2</v>
      </c>
    </row>
    <row r="473" spans="1:2" x14ac:dyDescent="0.25">
      <c r="A473">
        <f t="shared" si="8"/>
        <v>2331</v>
      </c>
      <c r="B473">
        <f>+IF(LOOKUP(A473+1,Preguntas!$A$1:$A$2976,Preguntas!$D$1:$D$2976)="*",1,IF(LOOKUP(A473+2,Preguntas!$A$1:$A$2976,Preguntas!$D$1:$D$2976)="*",2,IF(LOOKUP(A473+3,Preguntas!$A$1:$A$2976,Preguntas!$D$1:$D$2976)="*",3,IF(LOOKUP(A473+4,Preguntas!$A$1:$A$2976,Preguntas!$D$1:$D$2976)="*",4))))</f>
        <v>3</v>
      </c>
    </row>
    <row r="474" spans="1:2" x14ac:dyDescent="0.25">
      <c r="A474">
        <f t="shared" si="8"/>
        <v>2336</v>
      </c>
      <c r="B474">
        <f>+IF(LOOKUP(A474+1,Preguntas!$A$1:$A$2976,Preguntas!$D$1:$D$2976)="*",1,IF(LOOKUP(A474+2,Preguntas!$A$1:$A$2976,Preguntas!$D$1:$D$2976)="*",2,IF(LOOKUP(A474+3,Preguntas!$A$1:$A$2976,Preguntas!$D$1:$D$2976)="*",3,IF(LOOKUP(A474+4,Preguntas!$A$1:$A$2976,Preguntas!$D$1:$D$2976)="*",4))))</f>
        <v>3</v>
      </c>
    </row>
    <row r="475" spans="1:2" x14ac:dyDescent="0.25">
      <c r="A475">
        <f t="shared" si="8"/>
        <v>2341</v>
      </c>
      <c r="B475">
        <f>+IF(LOOKUP(A475+1,Preguntas!$A$1:$A$2976,Preguntas!$D$1:$D$2976)="*",1,IF(LOOKUP(A475+2,Preguntas!$A$1:$A$2976,Preguntas!$D$1:$D$2976)="*",2,IF(LOOKUP(A475+3,Preguntas!$A$1:$A$2976,Preguntas!$D$1:$D$2976)="*",3,IF(LOOKUP(A475+4,Preguntas!$A$1:$A$2976,Preguntas!$D$1:$D$2976)="*",4))))</f>
        <v>1</v>
      </c>
    </row>
    <row r="476" spans="1:2" x14ac:dyDescent="0.25">
      <c r="A476">
        <f t="shared" si="8"/>
        <v>2346</v>
      </c>
      <c r="B476">
        <f>+IF(LOOKUP(A476+1,Preguntas!$A$1:$A$2976,Preguntas!$D$1:$D$2976)="*",1,IF(LOOKUP(A476+2,Preguntas!$A$1:$A$2976,Preguntas!$D$1:$D$2976)="*",2,IF(LOOKUP(A476+3,Preguntas!$A$1:$A$2976,Preguntas!$D$1:$D$2976)="*",3,IF(LOOKUP(A476+4,Preguntas!$A$1:$A$2976,Preguntas!$D$1:$D$2976)="*",4))))</f>
        <v>3</v>
      </c>
    </row>
    <row r="477" spans="1:2" x14ac:dyDescent="0.25">
      <c r="A477">
        <f t="shared" si="8"/>
        <v>2351</v>
      </c>
      <c r="B477">
        <f>+IF(LOOKUP(A477+1,Preguntas!$A$1:$A$2976,Preguntas!$D$1:$D$2976)="*",1,IF(LOOKUP(A477+2,Preguntas!$A$1:$A$2976,Preguntas!$D$1:$D$2976)="*",2,IF(LOOKUP(A477+3,Preguntas!$A$1:$A$2976,Preguntas!$D$1:$D$2976)="*",3,IF(LOOKUP(A477+4,Preguntas!$A$1:$A$2976,Preguntas!$D$1:$D$2976)="*",4))))</f>
        <v>4</v>
      </c>
    </row>
    <row r="478" spans="1:2" x14ac:dyDescent="0.25">
      <c r="A478">
        <f t="shared" si="8"/>
        <v>2356</v>
      </c>
      <c r="B478">
        <f>+IF(LOOKUP(A478+1,Preguntas!$A$1:$A$2976,Preguntas!$D$1:$D$2976)="*",1,IF(LOOKUP(A478+2,Preguntas!$A$1:$A$2976,Preguntas!$D$1:$D$2976)="*",2,IF(LOOKUP(A478+3,Preguntas!$A$1:$A$2976,Preguntas!$D$1:$D$2976)="*",3,IF(LOOKUP(A478+4,Preguntas!$A$1:$A$2976,Preguntas!$D$1:$D$2976)="*",4))))</f>
        <v>1</v>
      </c>
    </row>
    <row r="479" spans="1:2" x14ac:dyDescent="0.25">
      <c r="A479">
        <f t="shared" si="8"/>
        <v>2361</v>
      </c>
      <c r="B479">
        <f>+IF(LOOKUP(A479+1,Preguntas!$A$1:$A$2976,Preguntas!$D$1:$D$2976)="*",1,IF(LOOKUP(A479+2,Preguntas!$A$1:$A$2976,Preguntas!$D$1:$D$2976)="*",2,IF(LOOKUP(A479+3,Preguntas!$A$1:$A$2976,Preguntas!$D$1:$D$2976)="*",3,IF(LOOKUP(A479+4,Preguntas!$A$1:$A$2976,Preguntas!$D$1:$D$2976)="*",4))))</f>
        <v>3</v>
      </c>
    </row>
    <row r="480" spans="1:2" x14ac:dyDescent="0.25">
      <c r="A480">
        <f t="shared" si="8"/>
        <v>2366</v>
      </c>
      <c r="B480">
        <f>+IF(LOOKUP(A480+1,Preguntas!$A$1:$A$2976,Preguntas!$D$1:$D$2976)="*",1,IF(LOOKUP(A480+2,Preguntas!$A$1:$A$2976,Preguntas!$D$1:$D$2976)="*",2,IF(LOOKUP(A480+3,Preguntas!$A$1:$A$2976,Preguntas!$D$1:$D$2976)="*",3,IF(LOOKUP(A480+4,Preguntas!$A$1:$A$2976,Preguntas!$D$1:$D$2976)="*",4))))</f>
        <v>4</v>
      </c>
    </row>
    <row r="481" spans="1:2" x14ac:dyDescent="0.25">
      <c r="A481">
        <f t="shared" si="8"/>
        <v>2371</v>
      </c>
      <c r="B481">
        <f>+IF(LOOKUP(A481+1,Preguntas!$A$1:$A$2976,Preguntas!$D$1:$D$2976)="*",1,IF(LOOKUP(A481+2,Preguntas!$A$1:$A$2976,Preguntas!$D$1:$D$2976)="*",2,IF(LOOKUP(A481+3,Preguntas!$A$1:$A$2976,Preguntas!$D$1:$D$2976)="*",3,IF(LOOKUP(A481+4,Preguntas!$A$1:$A$2976,Preguntas!$D$1:$D$2976)="*",4))))</f>
        <v>1</v>
      </c>
    </row>
    <row r="482" spans="1:2" x14ac:dyDescent="0.25">
      <c r="A482">
        <f t="shared" si="8"/>
        <v>2376</v>
      </c>
      <c r="B482">
        <f>+IF(LOOKUP(A482+1,Preguntas!$A$1:$A$2976,Preguntas!$D$1:$D$2976)="*",1,IF(LOOKUP(A482+2,Preguntas!$A$1:$A$2976,Preguntas!$D$1:$D$2976)="*",2,IF(LOOKUP(A482+3,Preguntas!$A$1:$A$2976,Preguntas!$D$1:$D$2976)="*",3,IF(LOOKUP(A482+4,Preguntas!$A$1:$A$2976,Preguntas!$D$1:$D$2976)="*",4))))</f>
        <v>3</v>
      </c>
    </row>
    <row r="483" spans="1:2" x14ac:dyDescent="0.25">
      <c r="A483">
        <f t="shared" si="8"/>
        <v>2381</v>
      </c>
      <c r="B483">
        <f>+IF(LOOKUP(A483+1,Preguntas!$A$1:$A$2976,Preguntas!$D$1:$D$2976)="*",1,IF(LOOKUP(A483+2,Preguntas!$A$1:$A$2976,Preguntas!$D$1:$D$2976)="*",2,IF(LOOKUP(A483+3,Preguntas!$A$1:$A$2976,Preguntas!$D$1:$D$2976)="*",3,IF(LOOKUP(A483+4,Preguntas!$A$1:$A$2976,Preguntas!$D$1:$D$2976)="*",4))))</f>
        <v>1</v>
      </c>
    </row>
    <row r="484" spans="1:2" x14ac:dyDescent="0.25">
      <c r="A484">
        <f t="shared" si="8"/>
        <v>2386</v>
      </c>
      <c r="B484">
        <f>+IF(LOOKUP(A484+1,Preguntas!$A$1:$A$2976,Preguntas!$D$1:$D$2976)="*",1,IF(LOOKUP(A484+2,Preguntas!$A$1:$A$2976,Preguntas!$D$1:$D$2976)="*",2,IF(LOOKUP(A484+3,Preguntas!$A$1:$A$2976,Preguntas!$D$1:$D$2976)="*",3,IF(LOOKUP(A484+4,Preguntas!$A$1:$A$2976,Preguntas!$D$1:$D$2976)="*",4))))</f>
        <v>3</v>
      </c>
    </row>
    <row r="485" spans="1:2" x14ac:dyDescent="0.25">
      <c r="A485">
        <f t="shared" si="8"/>
        <v>2391</v>
      </c>
      <c r="B485">
        <f>+IF(LOOKUP(A485+1,Preguntas!$A$1:$A$2976,Preguntas!$D$1:$D$2976)="*",1,IF(LOOKUP(A485+2,Preguntas!$A$1:$A$2976,Preguntas!$D$1:$D$2976)="*",2,IF(LOOKUP(A485+3,Preguntas!$A$1:$A$2976,Preguntas!$D$1:$D$2976)="*",3,IF(LOOKUP(A485+4,Preguntas!$A$1:$A$2976,Preguntas!$D$1:$D$2976)="*",4))))</f>
        <v>4</v>
      </c>
    </row>
    <row r="486" spans="1:2" x14ac:dyDescent="0.25">
      <c r="A486">
        <f t="shared" si="8"/>
        <v>2396</v>
      </c>
      <c r="B486">
        <f>+IF(LOOKUP(A486+1,Preguntas!$A$1:$A$2976,Preguntas!$D$1:$D$2976)="*",1,IF(LOOKUP(A486+2,Preguntas!$A$1:$A$2976,Preguntas!$D$1:$D$2976)="*",2,IF(LOOKUP(A486+3,Preguntas!$A$1:$A$2976,Preguntas!$D$1:$D$2976)="*",3,IF(LOOKUP(A486+4,Preguntas!$A$1:$A$2976,Preguntas!$D$1:$D$2976)="*",4))))</f>
        <v>3</v>
      </c>
    </row>
    <row r="487" spans="1:2" x14ac:dyDescent="0.25">
      <c r="A487">
        <f t="shared" si="8"/>
        <v>2401</v>
      </c>
      <c r="B487">
        <f>+IF(LOOKUP(A487+1,Preguntas!$A$1:$A$2976,Preguntas!$D$1:$D$2976)="*",1,IF(LOOKUP(A487+2,Preguntas!$A$1:$A$2976,Preguntas!$D$1:$D$2976)="*",2,IF(LOOKUP(A487+3,Preguntas!$A$1:$A$2976,Preguntas!$D$1:$D$2976)="*",3,IF(LOOKUP(A487+4,Preguntas!$A$1:$A$2976,Preguntas!$D$1:$D$2976)="*",4))))</f>
        <v>1</v>
      </c>
    </row>
    <row r="488" spans="1:2" x14ac:dyDescent="0.25">
      <c r="A488">
        <f t="shared" si="8"/>
        <v>2406</v>
      </c>
      <c r="B488">
        <f>+IF(LOOKUP(A488+1,Preguntas!$A$1:$A$2976,Preguntas!$D$1:$D$2976)="*",1,IF(LOOKUP(A488+2,Preguntas!$A$1:$A$2976,Preguntas!$D$1:$D$2976)="*",2,IF(LOOKUP(A488+3,Preguntas!$A$1:$A$2976,Preguntas!$D$1:$D$2976)="*",3,IF(LOOKUP(A488+4,Preguntas!$A$1:$A$2976,Preguntas!$D$1:$D$2976)="*",4))))</f>
        <v>3</v>
      </c>
    </row>
    <row r="489" spans="1:2" x14ac:dyDescent="0.25">
      <c r="A489">
        <f t="shared" si="8"/>
        <v>2411</v>
      </c>
      <c r="B489">
        <f>+IF(LOOKUP(A489+1,Preguntas!$A$1:$A$2976,Preguntas!$D$1:$D$2976)="*",1,IF(LOOKUP(A489+2,Preguntas!$A$1:$A$2976,Preguntas!$D$1:$D$2976)="*",2,IF(LOOKUP(A489+3,Preguntas!$A$1:$A$2976,Preguntas!$D$1:$D$2976)="*",3,IF(LOOKUP(A489+4,Preguntas!$A$1:$A$2976,Preguntas!$D$1:$D$2976)="*",4))))</f>
        <v>1</v>
      </c>
    </row>
    <row r="490" spans="1:2" x14ac:dyDescent="0.25">
      <c r="A490">
        <f t="shared" si="8"/>
        <v>2416</v>
      </c>
      <c r="B490">
        <f>+IF(LOOKUP(A490+1,Preguntas!$A$1:$A$2976,Preguntas!$D$1:$D$2976)="*",1,IF(LOOKUP(A490+2,Preguntas!$A$1:$A$2976,Preguntas!$D$1:$D$2976)="*",2,IF(LOOKUP(A490+3,Preguntas!$A$1:$A$2976,Preguntas!$D$1:$D$2976)="*",3,IF(LOOKUP(A490+4,Preguntas!$A$1:$A$2976,Preguntas!$D$1:$D$2976)="*",4))))</f>
        <v>3</v>
      </c>
    </row>
    <row r="491" spans="1:2" x14ac:dyDescent="0.25">
      <c r="A491">
        <f t="shared" si="8"/>
        <v>2421</v>
      </c>
      <c r="B491">
        <f>+IF(LOOKUP(A491+1,Preguntas!$A$1:$A$2976,Preguntas!$D$1:$D$2976)="*",1,IF(LOOKUP(A491+2,Preguntas!$A$1:$A$2976,Preguntas!$D$1:$D$2976)="*",2,IF(LOOKUP(A491+3,Preguntas!$A$1:$A$2976,Preguntas!$D$1:$D$2976)="*",3,IF(LOOKUP(A491+4,Preguntas!$A$1:$A$2976,Preguntas!$D$1:$D$2976)="*",4))))</f>
        <v>4</v>
      </c>
    </row>
    <row r="492" spans="1:2" x14ac:dyDescent="0.25">
      <c r="A492">
        <f t="shared" si="8"/>
        <v>2426</v>
      </c>
      <c r="B492">
        <f>+IF(LOOKUP(A492+1,Preguntas!$A$1:$A$2976,Preguntas!$D$1:$D$2976)="*",1,IF(LOOKUP(A492+2,Preguntas!$A$1:$A$2976,Preguntas!$D$1:$D$2976)="*",2,IF(LOOKUP(A492+3,Preguntas!$A$1:$A$2976,Preguntas!$D$1:$D$2976)="*",3,IF(LOOKUP(A492+4,Preguntas!$A$1:$A$2976,Preguntas!$D$1:$D$2976)="*",4))))</f>
        <v>4</v>
      </c>
    </row>
    <row r="493" spans="1:2" x14ac:dyDescent="0.25">
      <c r="A493">
        <f t="shared" si="8"/>
        <v>2431</v>
      </c>
      <c r="B493">
        <f>+IF(LOOKUP(A493+1,Preguntas!$A$1:$A$2976,Preguntas!$D$1:$D$2976)="*",1,IF(LOOKUP(A493+2,Preguntas!$A$1:$A$2976,Preguntas!$D$1:$D$2976)="*",2,IF(LOOKUP(A493+3,Preguntas!$A$1:$A$2976,Preguntas!$D$1:$D$2976)="*",3,IF(LOOKUP(A493+4,Preguntas!$A$1:$A$2976,Preguntas!$D$1:$D$2976)="*",4))))</f>
        <v>3</v>
      </c>
    </row>
    <row r="494" spans="1:2" x14ac:dyDescent="0.25">
      <c r="A494">
        <f t="shared" si="8"/>
        <v>2436</v>
      </c>
      <c r="B494">
        <f>+IF(LOOKUP(A494+1,Preguntas!$A$1:$A$2976,Preguntas!$D$1:$D$2976)="*",1,IF(LOOKUP(A494+2,Preguntas!$A$1:$A$2976,Preguntas!$D$1:$D$2976)="*",2,IF(LOOKUP(A494+3,Preguntas!$A$1:$A$2976,Preguntas!$D$1:$D$2976)="*",3,IF(LOOKUP(A494+4,Preguntas!$A$1:$A$2976,Preguntas!$D$1:$D$2976)="*",4))))</f>
        <v>2</v>
      </c>
    </row>
    <row r="495" spans="1:2" x14ac:dyDescent="0.25">
      <c r="A495">
        <f t="shared" si="8"/>
        <v>2441</v>
      </c>
      <c r="B495">
        <f>+IF(LOOKUP(A495+1,Preguntas!$A$1:$A$2976,Preguntas!$D$1:$D$2976)="*",1,IF(LOOKUP(A495+2,Preguntas!$A$1:$A$2976,Preguntas!$D$1:$D$2976)="*",2,IF(LOOKUP(A495+3,Preguntas!$A$1:$A$2976,Preguntas!$D$1:$D$2976)="*",3,IF(LOOKUP(A495+4,Preguntas!$A$1:$A$2976,Preguntas!$D$1:$D$2976)="*",4))))</f>
        <v>2</v>
      </c>
    </row>
    <row r="496" spans="1:2" x14ac:dyDescent="0.25">
      <c r="A496">
        <f t="shared" si="8"/>
        <v>2446</v>
      </c>
      <c r="B496">
        <f>+IF(LOOKUP(A496+1,Preguntas!$A$1:$A$2976,Preguntas!$D$1:$D$2976)="*",1,IF(LOOKUP(A496+2,Preguntas!$A$1:$A$2976,Preguntas!$D$1:$D$2976)="*",2,IF(LOOKUP(A496+3,Preguntas!$A$1:$A$2976,Preguntas!$D$1:$D$2976)="*",3,IF(LOOKUP(A496+4,Preguntas!$A$1:$A$2976,Preguntas!$D$1:$D$2976)="*",4))))</f>
        <v>4</v>
      </c>
    </row>
    <row r="497" spans="1:2" x14ac:dyDescent="0.25">
      <c r="A497">
        <f t="shared" si="8"/>
        <v>2451</v>
      </c>
      <c r="B497">
        <f>+IF(LOOKUP(A497+1,Preguntas!$A$1:$A$2976,Preguntas!$D$1:$D$2976)="*",1,IF(LOOKUP(A497+2,Preguntas!$A$1:$A$2976,Preguntas!$D$1:$D$2976)="*",2,IF(LOOKUP(A497+3,Preguntas!$A$1:$A$2976,Preguntas!$D$1:$D$2976)="*",3,IF(LOOKUP(A497+4,Preguntas!$A$1:$A$2976,Preguntas!$D$1:$D$2976)="*",4))))</f>
        <v>3</v>
      </c>
    </row>
    <row r="498" spans="1:2" x14ac:dyDescent="0.25">
      <c r="A498">
        <f t="shared" si="8"/>
        <v>2456</v>
      </c>
      <c r="B498">
        <f>+IF(LOOKUP(A498+1,Preguntas!$A$1:$A$2976,Preguntas!$D$1:$D$2976)="*",1,IF(LOOKUP(A498+2,Preguntas!$A$1:$A$2976,Preguntas!$D$1:$D$2976)="*",2,IF(LOOKUP(A498+3,Preguntas!$A$1:$A$2976,Preguntas!$D$1:$D$2976)="*",3,IF(LOOKUP(A498+4,Preguntas!$A$1:$A$2976,Preguntas!$D$1:$D$2976)="*",4))))</f>
        <v>2</v>
      </c>
    </row>
    <row r="499" spans="1:2" x14ac:dyDescent="0.25">
      <c r="A499">
        <f t="shared" si="8"/>
        <v>2461</v>
      </c>
      <c r="B499">
        <f>+IF(LOOKUP(A499+1,Preguntas!$A$1:$A$2976,Preguntas!$D$1:$D$2976)="*",1,IF(LOOKUP(A499+2,Preguntas!$A$1:$A$2976,Preguntas!$D$1:$D$2976)="*",2,IF(LOOKUP(A499+3,Preguntas!$A$1:$A$2976,Preguntas!$D$1:$D$2976)="*",3,IF(LOOKUP(A499+4,Preguntas!$A$1:$A$2976,Preguntas!$D$1:$D$2976)="*",4))))</f>
        <v>1</v>
      </c>
    </row>
    <row r="500" spans="1:2" x14ac:dyDescent="0.25">
      <c r="A500">
        <f t="shared" si="8"/>
        <v>2466</v>
      </c>
      <c r="B500">
        <f>+IF(LOOKUP(A500+1,Preguntas!$A$1:$A$2976,Preguntas!$D$1:$D$2976)="*",1,IF(LOOKUP(A500+2,Preguntas!$A$1:$A$2976,Preguntas!$D$1:$D$2976)="*",2,IF(LOOKUP(A500+3,Preguntas!$A$1:$A$2976,Preguntas!$D$1:$D$2976)="*",3,IF(LOOKUP(A500+4,Preguntas!$A$1:$A$2976,Preguntas!$D$1:$D$2976)="*",4))))</f>
        <v>2</v>
      </c>
    </row>
    <row r="501" spans="1:2" x14ac:dyDescent="0.25">
      <c r="A501">
        <f t="shared" si="8"/>
        <v>2471</v>
      </c>
      <c r="B501">
        <f>+IF(LOOKUP(A501+1,Preguntas!$A$1:$A$2976,Preguntas!$D$1:$D$2976)="*",1,IF(LOOKUP(A501+2,Preguntas!$A$1:$A$2976,Preguntas!$D$1:$D$2976)="*",2,IF(LOOKUP(A501+3,Preguntas!$A$1:$A$2976,Preguntas!$D$1:$D$2976)="*",3,IF(LOOKUP(A501+4,Preguntas!$A$1:$A$2976,Preguntas!$D$1:$D$2976)="*",4))))</f>
        <v>3</v>
      </c>
    </row>
    <row r="502" spans="1:2" x14ac:dyDescent="0.25">
      <c r="A502">
        <f t="shared" si="8"/>
        <v>2476</v>
      </c>
      <c r="B502">
        <f>+IF(LOOKUP(A502+1,Preguntas!$A$1:$A$2976,Preguntas!$D$1:$D$2976)="*",1,IF(LOOKUP(A502+2,Preguntas!$A$1:$A$2976,Preguntas!$D$1:$D$2976)="*",2,IF(LOOKUP(A502+3,Preguntas!$A$1:$A$2976,Preguntas!$D$1:$D$2976)="*",3,IF(LOOKUP(A502+4,Preguntas!$A$1:$A$2976,Preguntas!$D$1:$D$2976)="*",4))))</f>
        <v>4</v>
      </c>
    </row>
    <row r="503" spans="1:2" x14ac:dyDescent="0.25">
      <c r="A503">
        <f t="shared" si="8"/>
        <v>2481</v>
      </c>
      <c r="B503">
        <f>+IF(LOOKUP(A503+1,Preguntas!$A$1:$A$2976,Preguntas!$D$1:$D$2976)="*",1,IF(LOOKUP(A503+2,Preguntas!$A$1:$A$2976,Preguntas!$D$1:$D$2976)="*",2,IF(LOOKUP(A503+3,Preguntas!$A$1:$A$2976,Preguntas!$D$1:$D$2976)="*",3,IF(LOOKUP(A503+4,Preguntas!$A$1:$A$2976,Preguntas!$D$1:$D$2976)="*",4))))</f>
        <v>2</v>
      </c>
    </row>
    <row r="504" spans="1:2" x14ac:dyDescent="0.25">
      <c r="A504">
        <f t="shared" si="8"/>
        <v>2486</v>
      </c>
      <c r="B504">
        <f>+IF(LOOKUP(A504+1,Preguntas!$A$1:$A$2976,Preguntas!$D$1:$D$2976)="*",1,IF(LOOKUP(A504+2,Preguntas!$A$1:$A$2976,Preguntas!$D$1:$D$2976)="*",2,IF(LOOKUP(A504+3,Preguntas!$A$1:$A$2976,Preguntas!$D$1:$D$2976)="*",3,IF(LOOKUP(A504+4,Preguntas!$A$1:$A$2976,Preguntas!$D$1:$D$2976)="*",4))))</f>
        <v>3</v>
      </c>
    </row>
    <row r="505" spans="1:2" x14ac:dyDescent="0.25">
      <c r="A505">
        <f t="shared" si="8"/>
        <v>2491</v>
      </c>
      <c r="B505">
        <f>+IF(LOOKUP(A505+1,Preguntas!$A$1:$A$2976,Preguntas!$D$1:$D$2976)="*",1,IF(LOOKUP(A505+2,Preguntas!$A$1:$A$2976,Preguntas!$D$1:$D$2976)="*",2,IF(LOOKUP(A505+3,Preguntas!$A$1:$A$2976,Preguntas!$D$1:$D$2976)="*",3,IF(LOOKUP(A505+4,Preguntas!$A$1:$A$2976,Preguntas!$D$1:$D$2976)="*",4))))</f>
        <v>3</v>
      </c>
    </row>
    <row r="506" spans="1:2" x14ac:dyDescent="0.25">
      <c r="A506">
        <f t="shared" si="8"/>
        <v>2496</v>
      </c>
      <c r="B506">
        <f>+IF(LOOKUP(A506+1,Preguntas!$A$1:$A$2976,Preguntas!$D$1:$D$2976)="*",1,IF(LOOKUP(A506+2,Preguntas!$A$1:$A$2976,Preguntas!$D$1:$D$2976)="*",2,IF(LOOKUP(A506+3,Preguntas!$A$1:$A$2976,Preguntas!$D$1:$D$2976)="*",3,IF(LOOKUP(A506+4,Preguntas!$A$1:$A$2976,Preguntas!$D$1:$D$2976)="*",4))))</f>
        <v>4</v>
      </c>
    </row>
    <row r="507" spans="1:2" x14ac:dyDescent="0.25">
      <c r="A507">
        <f t="shared" si="8"/>
        <v>2501</v>
      </c>
      <c r="B507">
        <f>+IF(LOOKUP(A507+1,Preguntas!$A$1:$A$2976,Preguntas!$D$1:$D$2976)="*",1,IF(LOOKUP(A507+2,Preguntas!$A$1:$A$2976,Preguntas!$D$1:$D$2976)="*",2,IF(LOOKUP(A507+3,Preguntas!$A$1:$A$2976,Preguntas!$D$1:$D$2976)="*",3,IF(LOOKUP(A507+4,Preguntas!$A$1:$A$2976,Preguntas!$D$1:$D$2976)="*",4))))</f>
        <v>4</v>
      </c>
    </row>
    <row r="508" spans="1:2" x14ac:dyDescent="0.25">
      <c r="A508">
        <f t="shared" si="8"/>
        <v>2506</v>
      </c>
      <c r="B508">
        <f>+IF(LOOKUP(A508+1,Preguntas!$A$1:$A$2976,Preguntas!$D$1:$D$2976)="*",1,IF(LOOKUP(A508+2,Preguntas!$A$1:$A$2976,Preguntas!$D$1:$D$2976)="*",2,IF(LOOKUP(A508+3,Preguntas!$A$1:$A$2976,Preguntas!$D$1:$D$2976)="*",3,IF(LOOKUP(A508+4,Preguntas!$A$1:$A$2976,Preguntas!$D$1:$D$2976)="*",4))))</f>
        <v>3</v>
      </c>
    </row>
    <row r="509" spans="1:2" x14ac:dyDescent="0.25">
      <c r="A509">
        <f t="shared" si="8"/>
        <v>2511</v>
      </c>
      <c r="B509">
        <f>+IF(LOOKUP(A509+1,Preguntas!$A$1:$A$2976,Preguntas!$D$1:$D$2976)="*",1,IF(LOOKUP(A509+2,Preguntas!$A$1:$A$2976,Preguntas!$D$1:$D$2976)="*",2,IF(LOOKUP(A509+3,Preguntas!$A$1:$A$2976,Preguntas!$D$1:$D$2976)="*",3,IF(LOOKUP(A509+4,Preguntas!$A$1:$A$2976,Preguntas!$D$1:$D$2976)="*",4))))</f>
        <v>1</v>
      </c>
    </row>
    <row r="510" spans="1:2" x14ac:dyDescent="0.25">
      <c r="A510">
        <f t="shared" si="8"/>
        <v>2516</v>
      </c>
      <c r="B510">
        <f>+IF(LOOKUP(A510+1,Preguntas!$A$1:$A$2976,Preguntas!$D$1:$D$2976)="*",1,IF(LOOKUP(A510+2,Preguntas!$A$1:$A$2976,Preguntas!$D$1:$D$2976)="*",2,IF(LOOKUP(A510+3,Preguntas!$A$1:$A$2976,Preguntas!$D$1:$D$2976)="*",3,IF(LOOKUP(A510+4,Preguntas!$A$1:$A$2976,Preguntas!$D$1:$D$2976)="*",4))))</f>
        <v>2</v>
      </c>
    </row>
    <row r="511" spans="1:2" x14ac:dyDescent="0.25">
      <c r="A511">
        <f t="shared" si="8"/>
        <v>2521</v>
      </c>
      <c r="B511">
        <f>+IF(LOOKUP(A511+1,Preguntas!$A$1:$A$2976,Preguntas!$D$1:$D$2976)="*",1,IF(LOOKUP(A511+2,Preguntas!$A$1:$A$2976,Preguntas!$D$1:$D$2976)="*",2,IF(LOOKUP(A511+3,Preguntas!$A$1:$A$2976,Preguntas!$D$1:$D$2976)="*",3,IF(LOOKUP(A511+4,Preguntas!$A$1:$A$2976,Preguntas!$D$1:$D$2976)="*",4))))</f>
        <v>4</v>
      </c>
    </row>
    <row r="512" spans="1:2" x14ac:dyDescent="0.25">
      <c r="A512">
        <f t="shared" si="8"/>
        <v>2526</v>
      </c>
      <c r="B512">
        <f>+IF(LOOKUP(A512+1,Preguntas!$A$1:$A$2976,Preguntas!$D$1:$D$2976)="*",1,IF(LOOKUP(A512+2,Preguntas!$A$1:$A$2976,Preguntas!$D$1:$D$2976)="*",2,IF(LOOKUP(A512+3,Preguntas!$A$1:$A$2976,Preguntas!$D$1:$D$2976)="*",3,IF(LOOKUP(A512+4,Preguntas!$A$1:$A$2976,Preguntas!$D$1:$D$2976)="*",4))))</f>
        <v>1</v>
      </c>
    </row>
    <row r="513" spans="1:2" x14ac:dyDescent="0.25">
      <c r="A513">
        <f t="shared" si="8"/>
        <v>2531</v>
      </c>
      <c r="B513">
        <f>+IF(LOOKUP(A513+1,Preguntas!$A$1:$A$2976,Preguntas!$D$1:$D$2976)="*",1,IF(LOOKUP(A513+2,Preguntas!$A$1:$A$2976,Preguntas!$D$1:$D$2976)="*",2,IF(LOOKUP(A513+3,Preguntas!$A$1:$A$2976,Preguntas!$D$1:$D$2976)="*",3,IF(LOOKUP(A513+4,Preguntas!$A$1:$A$2976,Preguntas!$D$1:$D$2976)="*",4))))</f>
        <v>3</v>
      </c>
    </row>
    <row r="514" spans="1:2" x14ac:dyDescent="0.25">
      <c r="A514">
        <f t="shared" si="8"/>
        <v>2536</v>
      </c>
      <c r="B514">
        <f>+IF(LOOKUP(A514+1,Preguntas!$A$1:$A$2976,Preguntas!$D$1:$D$2976)="*",1,IF(LOOKUP(A514+2,Preguntas!$A$1:$A$2976,Preguntas!$D$1:$D$2976)="*",2,IF(LOOKUP(A514+3,Preguntas!$A$1:$A$2976,Preguntas!$D$1:$D$2976)="*",3,IF(LOOKUP(A514+4,Preguntas!$A$1:$A$2976,Preguntas!$D$1:$D$2976)="*",4))))</f>
        <v>2</v>
      </c>
    </row>
    <row r="515" spans="1:2" x14ac:dyDescent="0.25">
      <c r="A515">
        <f t="shared" si="8"/>
        <v>2541</v>
      </c>
      <c r="B515">
        <f>+IF(LOOKUP(A515+1,Preguntas!$A$1:$A$2976,Preguntas!$D$1:$D$2976)="*",1,IF(LOOKUP(A515+2,Preguntas!$A$1:$A$2976,Preguntas!$D$1:$D$2976)="*",2,IF(LOOKUP(A515+3,Preguntas!$A$1:$A$2976,Preguntas!$D$1:$D$2976)="*",3,IF(LOOKUP(A515+4,Preguntas!$A$1:$A$2976,Preguntas!$D$1:$D$2976)="*",4))))</f>
        <v>3</v>
      </c>
    </row>
    <row r="516" spans="1:2" x14ac:dyDescent="0.25">
      <c r="A516">
        <f t="shared" si="8"/>
        <v>2546</v>
      </c>
      <c r="B516">
        <f>+IF(LOOKUP(A516+1,Preguntas!$A$1:$A$2976,Preguntas!$D$1:$D$2976)="*",1,IF(LOOKUP(A516+2,Preguntas!$A$1:$A$2976,Preguntas!$D$1:$D$2976)="*",2,IF(LOOKUP(A516+3,Preguntas!$A$1:$A$2976,Preguntas!$D$1:$D$2976)="*",3,IF(LOOKUP(A516+4,Preguntas!$A$1:$A$2976,Preguntas!$D$1:$D$2976)="*",4))))</f>
        <v>4</v>
      </c>
    </row>
    <row r="517" spans="1:2" x14ac:dyDescent="0.25">
      <c r="A517">
        <f t="shared" si="8"/>
        <v>2551</v>
      </c>
      <c r="B517">
        <f>+IF(LOOKUP(A517+1,Preguntas!$A$1:$A$2976,Preguntas!$D$1:$D$2976)="*",1,IF(LOOKUP(A517+2,Preguntas!$A$1:$A$2976,Preguntas!$D$1:$D$2976)="*",2,IF(LOOKUP(A517+3,Preguntas!$A$1:$A$2976,Preguntas!$D$1:$D$2976)="*",3,IF(LOOKUP(A517+4,Preguntas!$A$1:$A$2976,Preguntas!$D$1:$D$2976)="*",4))))</f>
        <v>2</v>
      </c>
    </row>
    <row r="518" spans="1:2" x14ac:dyDescent="0.25">
      <c r="A518">
        <f t="shared" si="8"/>
        <v>2556</v>
      </c>
      <c r="B518">
        <f>+IF(LOOKUP(A518+1,Preguntas!$A$1:$A$2976,Preguntas!$D$1:$D$2976)="*",1,IF(LOOKUP(A518+2,Preguntas!$A$1:$A$2976,Preguntas!$D$1:$D$2976)="*",2,IF(LOOKUP(A518+3,Preguntas!$A$1:$A$2976,Preguntas!$D$1:$D$2976)="*",3,IF(LOOKUP(A518+4,Preguntas!$A$1:$A$2976,Preguntas!$D$1:$D$2976)="*",4))))</f>
        <v>4</v>
      </c>
    </row>
    <row r="519" spans="1:2" x14ac:dyDescent="0.25">
      <c r="A519">
        <f t="shared" si="8"/>
        <v>2561</v>
      </c>
      <c r="B519">
        <f>+IF(LOOKUP(A519+1,Preguntas!$A$1:$A$2976,Preguntas!$D$1:$D$2976)="*",1,IF(LOOKUP(A519+2,Preguntas!$A$1:$A$2976,Preguntas!$D$1:$D$2976)="*",2,IF(LOOKUP(A519+3,Preguntas!$A$1:$A$2976,Preguntas!$D$1:$D$2976)="*",3,IF(LOOKUP(A519+4,Preguntas!$A$1:$A$2976,Preguntas!$D$1:$D$2976)="*",4))))</f>
        <v>2</v>
      </c>
    </row>
    <row r="520" spans="1:2" x14ac:dyDescent="0.25">
      <c r="A520">
        <f t="shared" si="8"/>
        <v>2566</v>
      </c>
      <c r="B520">
        <f>+IF(LOOKUP(A520+1,Preguntas!$A$1:$A$2976,Preguntas!$D$1:$D$2976)="*",1,IF(LOOKUP(A520+2,Preguntas!$A$1:$A$2976,Preguntas!$D$1:$D$2976)="*",2,IF(LOOKUP(A520+3,Preguntas!$A$1:$A$2976,Preguntas!$D$1:$D$2976)="*",3,IF(LOOKUP(A520+4,Preguntas!$A$1:$A$2976,Preguntas!$D$1:$D$2976)="*",4))))</f>
        <v>3</v>
      </c>
    </row>
    <row r="521" spans="1:2" x14ac:dyDescent="0.25">
      <c r="A521">
        <f t="shared" ref="A521:A584" si="9">+A520+5</f>
        <v>2571</v>
      </c>
      <c r="B521">
        <f>+IF(LOOKUP(A521+1,Preguntas!$A$1:$A$2976,Preguntas!$D$1:$D$2976)="*",1,IF(LOOKUP(A521+2,Preguntas!$A$1:$A$2976,Preguntas!$D$1:$D$2976)="*",2,IF(LOOKUP(A521+3,Preguntas!$A$1:$A$2976,Preguntas!$D$1:$D$2976)="*",3,IF(LOOKUP(A521+4,Preguntas!$A$1:$A$2976,Preguntas!$D$1:$D$2976)="*",4))))</f>
        <v>2</v>
      </c>
    </row>
    <row r="522" spans="1:2" x14ac:dyDescent="0.25">
      <c r="A522">
        <f t="shared" si="9"/>
        <v>2576</v>
      </c>
      <c r="B522">
        <f>+IF(LOOKUP(A522+1,Preguntas!$A$1:$A$2976,Preguntas!$D$1:$D$2976)="*",1,IF(LOOKUP(A522+2,Preguntas!$A$1:$A$2976,Preguntas!$D$1:$D$2976)="*",2,IF(LOOKUP(A522+3,Preguntas!$A$1:$A$2976,Preguntas!$D$1:$D$2976)="*",3,IF(LOOKUP(A522+4,Preguntas!$A$1:$A$2976,Preguntas!$D$1:$D$2976)="*",4))))</f>
        <v>4</v>
      </c>
    </row>
    <row r="523" spans="1:2" x14ac:dyDescent="0.25">
      <c r="A523">
        <f t="shared" si="9"/>
        <v>2581</v>
      </c>
      <c r="B523">
        <f>+IF(LOOKUP(A523+1,Preguntas!$A$1:$A$2976,Preguntas!$D$1:$D$2976)="*",1,IF(LOOKUP(A523+2,Preguntas!$A$1:$A$2976,Preguntas!$D$1:$D$2976)="*",2,IF(LOOKUP(A523+3,Preguntas!$A$1:$A$2976,Preguntas!$D$1:$D$2976)="*",3,IF(LOOKUP(A523+4,Preguntas!$A$1:$A$2976,Preguntas!$D$1:$D$2976)="*",4))))</f>
        <v>2</v>
      </c>
    </row>
    <row r="524" spans="1:2" x14ac:dyDescent="0.25">
      <c r="A524">
        <f t="shared" si="9"/>
        <v>2586</v>
      </c>
      <c r="B524">
        <f>+IF(LOOKUP(A524+1,Preguntas!$A$1:$A$2976,Preguntas!$D$1:$D$2976)="*",1,IF(LOOKUP(A524+2,Preguntas!$A$1:$A$2976,Preguntas!$D$1:$D$2976)="*",2,IF(LOOKUP(A524+3,Preguntas!$A$1:$A$2976,Preguntas!$D$1:$D$2976)="*",3,IF(LOOKUP(A524+4,Preguntas!$A$1:$A$2976,Preguntas!$D$1:$D$2976)="*",4))))</f>
        <v>1</v>
      </c>
    </row>
    <row r="525" spans="1:2" x14ac:dyDescent="0.25">
      <c r="A525">
        <f t="shared" si="9"/>
        <v>2591</v>
      </c>
      <c r="B525">
        <f>+IF(LOOKUP(A525+1,Preguntas!$A$1:$A$2976,Preguntas!$D$1:$D$2976)="*",1,IF(LOOKUP(A525+2,Preguntas!$A$1:$A$2976,Preguntas!$D$1:$D$2976)="*",2,IF(LOOKUP(A525+3,Preguntas!$A$1:$A$2976,Preguntas!$D$1:$D$2976)="*",3,IF(LOOKUP(A525+4,Preguntas!$A$1:$A$2976,Preguntas!$D$1:$D$2976)="*",4))))</f>
        <v>4</v>
      </c>
    </row>
    <row r="526" spans="1:2" x14ac:dyDescent="0.25">
      <c r="A526">
        <f t="shared" si="9"/>
        <v>2596</v>
      </c>
      <c r="B526">
        <f>+IF(LOOKUP(A526+1,Preguntas!$A$1:$A$2976,Preguntas!$D$1:$D$2976)="*",1,IF(LOOKUP(A526+2,Preguntas!$A$1:$A$2976,Preguntas!$D$1:$D$2976)="*",2,IF(LOOKUP(A526+3,Preguntas!$A$1:$A$2976,Preguntas!$D$1:$D$2976)="*",3,IF(LOOKUP(A526+4,Preguntas!$A$1:$A$2976,Preguntas!$D$1:$D$2976)="*",4))))</f>
        <v>3</v>
      </c>
    </row>
    <row r="527" spans="1:2" x14ac:dyDescent="0.25">
      <c r="A527">
        <f t="shared" si="9"/>
        <v>2601</v>
      </c>
      <c r="B527">
        <f>+IF(LOOKUP(A527+1,Preguntas!$A$1:$A$2976,Preguntas!$D$1:$D$2976)="*",1,IF(LOOKUP(A527+2,Preguntas!$A$1:$A$2976,Preguntas!$D$1:$D$2976)="*",2,IF(LOOKUP(A527+3,Preguntas!$A$1:$A$2976,Preguntas!$D$1:$D$2976)="*",3,IF(LOOKUP(A527+4,Preguntas!$A$1:$A$2976,Preguntas!$D$1:$D$2976)="*",4))))</f>
        <v>2</v>
      </c>
    </row>
    <row r="528" spans="1:2" x14ac:dyDescent="0.25">
      <c r="A528">
        <f t="shared" si="9"/>
        <v>2606</v>
      </c>
      <c r="B528">
        <f>+IF(LOOKUP(A528+1,Preguntas!$A$1:$A$2976,Preguntas!$D$1:$D$2976)="*",1,IF(LOOKUP(A528+2,Preguntas!$A$1:$A$2976,Preguntas!$D$1:$D$2976)="*",2,IF(LOOKUP(A528+3,Preguntas!$A$1:$A$2976,Preguntas!$D$1:$D$2976)="*",3,IF(LOOKUP(A528+4,Preguntas!$A$1:$A$2976,Preguntas!$D$1:$D$2976)="*",4))))</f>
        <v>3</v>
      </c>
    </row>
    <row r="529" spans="1:2" x14ac:dyDescent="0.25">
      <c r="A529">
        <f t="shared" si="9"/>
        <v>2611</v>
      </c>
      <c r="B529">
        <f>+IF(LOOKUP(A529+1,Preguntas!$A$1:$A$2976,Preguntas!$D$1:$D$2976)="*",1,IF(LOOKUP(A529+2,Preguntas!$A$1:$A$2976,Preguntas!$D$1:$D$2976)="*",2,IF(LOOKUP(A529+3,Preguntas!$A$1:$A$2976,Preguntas!$D$1:$D$2976)="*",3,IF(LOOKUP(A529+4,Preguntas!$A$1:$A$2976,Preguntas!$D$1:$D$2976)="*",4))))</f>
        <v>1</v>
      </c>
    </row>
    <row r="530" spans="1:2" x14ac:dyDescent="0.25">
      <c r="A530">
        <f t="shared" si="9"/>
        <v>2616</v>
      </c>
      <c r="B530">
        <f>+IF(LOOKUP(A530+1,Preguntas!$A$1:$A$2976,Preguntas!$D$1:$D$2976)="*",1,IF(LOOKUP(A530+2,Preguntas!$A$1:$A$2976,Preguntas!$D$1:$D$2976)="*",2,IF(LOOKUP(A530+3,Preguntas!$A$1:$A$2976,Preguntas!$D$1:$D$2976)="*",3,IF(LOOKUP(A530+4,Preguntas!$A$1:$A$2976,Preguntas!$D$1:$D$2976)="*",4))))</f>
        <v>3</v>
      </c>
    </row>
    <row r="531" spans="1:2" x14ac:dyDescent="0.25">
      <c r="A531">
        <f t="shared" si="9"/>
        <v>2621</v>
      </c>
      <c r="B531">
        <f>+IF(LOOKUP(A531+1,Preguntas!$A$1:$A$2976,Preguntas!$D$1:$D$2976)="*",1,IF(LOOKUP(A531+2,Preguntas!$A$1:$A$2976,Preguntas!$D$1:$D$2976)="*",2,IF(LOOKUP(A531+3,Preguntas!$A$1:$A$2976,Preguntas!$D$1:$D$2976)="*",3,IF(LOOKUP(A531+4,Preguntas!$A$1:$A$2976,Preguntas!$D$1:$D$2976)="*",4))))</f>
        <v>4</v>
      </c>
    </row>
    <row r="532" spans="1:2" x14ac:dyDescent="0.25">
      <c r="A532">
        <f t="shared" si="9"/>
        <v>2626</v>
      </c>
      <c r="B532">
        <f>+IF(LOOKUP(A532+1,Preguntas!$A$1:$A$2976,Preguntas!$D$1:$D$2976)="*",1,IF(LOOKUP(A532+2,Preguntas!$A$1:$A$2976,Preguntas!$D$1:$D$2976)="*",2,IF(LOOKUP(A532+3,Preguntas!$A$1:$A$2976,Preguntas!$D$1:$D$2976)="*",3,IF(LOOKUP(A532+4,Preguntas!$A$1:$A$2976,Preguntas!$D$1:$D$2976)="*",4))))</f>
        <v>2</v>
      </c>
    </row>
    <row r="533" spans="1:2" x14ac:dyDescent="0.25">
      <c r="A533">
        <f t="shared" si="9"/>
        <v>2631</v>
      </c>
      <c r="B533">
        <f>+IF(LOOKUP(A533+1,Preguntas!$A$1:$A$2976,Preguntas!$D$1:$D$2976)="*",1,IF(LOOKUP(A533+2,Preguntas!$A$1:$A$2976,Preguntas!$D$1:$D$2976)="*",2,IF(LOOKUP(A533+3,Preguntas!$A$1:$A$2976,Preguntas!$D$1:$D$2976)="*",3,IF(LOOKUP(A533+4,Preguntas!$A$1:$A$2976,Preguntas!$D$1:$D$2976)="*",4))))</f>
        <v>4</v>
      </c>
    </row>
    <row r="534" spans="1:2" x14ac:dyDescent="0.25">
      <c r="A534">
        <f t="shared" si="9"/>
        <v>2636</v>
      </c>
      <c r="B534">
        <f>+IF(LOOKUP(A534+1,Preguntas!$A$1:$A$2976,Preguntas!$D$1:$D$2976)="*",1,IF(LOOKUP(A534+2,Preguntas!$A$1:$A$2976,Preguntas!$D$1:$D$2976)="*",2,IF(LOOKUP(A534+3,Preguntas!$A$1:$A$2976,Preguntas!$D$1:$D$2976)="*",3,IF(LOOKUP(A534+4,Preguntas!$A$1:$A$2976,Preguntas!$D$1:$D$2976)="*",4))))</f>
        <v>2</v>
      </c>
    </row>
    <row r="535" spans="1:2" x14ac:dyDescent="0.25">
      <c r="A535">
        <f t="shared" si="9"/>
        <v>2641</v>
      </c>
      <c r="B535">
        <f>+IF(LOOKUP(A535+1,Preguntas!$A$1:$A$2976,Preguntas!$D$1:$D$2976)="*",1,IF(LOOKUP(A535+2,Preguntas!$A$1:$A$2976,Preguntas!$D$1:$D$2976)="*",2,IF(LOOKUP(A535+3,Preguntas!$A$1:$A$2976,Preguntas!$D$1:$D$2976)="*",3,IF(LOOKUP(A535+4,Preguntas!$A$1:$A$2976,Preguntas!$D$1:$D$2976)="*",4))))</f>
        <v>3</v>
      </c>
    </row>
    <row r="536" spans="1:2" x14ac:dyDescent="0.25">
      <c r="A536">
        <f t="shared" si="9"/>
        <v>2646</v>
      </c>
      <c r="B536">
        <f>+IF(LOOKUP(A536+1,Preguntas!$A$1:$A$2976,Preguntas!$D$1:$D$2976)="*",1,IF(LOOKUP(A536+2,Preguntas!$A$1:$A$2976,Preguntas!$D$1:$D$2976)="*",2,IF(LOOKUP(A536+3,Preguntas!$A$1:$A$2976,Preguntas!$D$1:$D$2976)="*",3,IF(LOOKUP(A536+4,Preguntas!$A$1:$A$2976,Preguntas!$D$1:$D$2976)="*",4))))</f>
        <v>1</v>
      </c>
    </row>
    <row r="537" spans="1:2" x14ac:dyDescent="0.25">
      <c r="A537">
        <f t="shared" si="9"/>
        <v>2651</v>
      </c>
      <c r="B537">
        <f>+IF(LOOKUP(A537+1,Preguntas!$A$1:$A$2976,Preguntas!$D$1:$D$2976)="*",1,IF(LOOKUP(A537+2,Preguntas!$A$1:$A$2976,Preguntas!$D$1:$D$2976)="*",2,IF(LOOKUP(A537+3,Preguntas!$A$1:$A$2976,Preguntas!$D$1:$D$2976)="*",3,IF(LOOKUP(A537+4,Preguntas!$A$1:$A$2976,Preguntas!$D$1:$D$2976)="*",4))))</f>
        <v>2</v>
      </c>
    </row>
    <row r="538" spans="1:2" x14ac:dyDescent="0.25">
      <c r="A538">
        <f t="shared" si="9"/>
        <v>2656</v>
      </c>
      <c r="B538">
        <f>+IF(LOOKUP(A538+1,Preguntas!$A$1:$A$2976,Preguntas!$D$1:$D$2976)="*",1,IF(LOOKUP(A538+2,Preguntas!$A$1:$A$2976,Preguntas!$D$1:$D$2976)="*",2,IF(LOOKUP(A538+3,Preguntas!$A$1:$A$2976,Preguntas!$D$1:$D$2976)="*",3,IF(LOOKUP(A538+4,Preguntas!$A$1:$A$2976,Preguntas!$D$1:$D$2976)="*",4))))</f>
        <v>4</v>
      </c>
    </row>
    <row r="539" spans="1:2" x14ac:dyDescent="0.25">
      <c r="A539">
        <f t="shared" si="9"/>
        <v>2661</v>
      </c>
      <c r="B539">
        <f>+IF(LOOKUP(A539+1,Preguntas!$A$1:$A$2976,Preguntas!$D$1:$D$2976)="*",1,IF(LOOKUP(A539+2,Preguntas!$A$1:$A$2976,Preguntas!$D$1:$D$2976)="*",2,IF(LOOKUP(A539+3,Preguntas!$A$1:$A$2976,Preguntas!$D$1:$D$2976)="*",3,IF(LOOKUP(A539+4,Preguntas!$A$1:$A$2976,Preguntas!$D$1:$D$2976)="*",4))))</f>
        <v>1</v>
      </c>
    </row>
    <row r="540" spans="1:2" x14ac:dyDescent="0.25">
      <c r="A540">
        <f t="shared" si="9"/>
        <v>2666</v>
      </c>
      <c r="B540">
        <f>+IF(LOOKUP(A540+1,Preguntas!$A$1:$A$2976,Preguntas!$D$1:$D$2976)="*",1,IF(LOOKUP(A540+2,Preguntas!$A$1:$A$2976,Preguntas!$D$1:$D$2976)="*",2,IF(LOOKUP(A540+3,Preguntas!$A$1:$A$2976,Preguntas!$D$1:$D$2976)="*",3,IF(LOOKUP(A540+4,Preguntas!$A$1:$A$2976,Preguntas!$D$1:$D$2976)="*",4))))</f>
        <v>2</v>
      </c>
    </row>
    <row r="541" spans="1:2" x14ac:dyDescent="0.25">
      <c r="A541">
        <f t="shared" si="9"/>
        <v>2671</v>
      </c>
      <c r="B541">
        <f>+IF(LOOKUP(A541+1,Preguntas!$A$1:$A$2976,Preguntas!$D$1:$D$2976)="*",1,IF(LOOKUP(A541+2,Preguntas!$A$1:$A$2976,Preguntas!$D$1:$D$2976)="*",2,IF(LOOKUP(A541+3,Preguntas!$A$1:$A$2976,Preguntas!$D$1:$D$2976)="*",3,IF(LOOKUP(A541+4,Preguntas!$A$1:$A$2976,Preguntas!$D$1:$D$2976)="*",4))))</f>
        <v>3</v>
      </c>
    </row>
    <row r="542" spans="1:2" x14ac:dyDescent="0.25">
      <c r="A542">
        <f t="shared" si="9"/>
        <v>2676</v>
      </c>
      <c r="B542">
        <f>+IF(LOOKUP(A542+1,Preguntas!$A$1:$A$2976,Preguntas!$D$1:$D$2976)="*",1,IF(LOOKUP(A542+2,Preguntas!$A$1:$A$2976,Preguntas!$D$1:$D$2976)="*",2,IF(LOOKUP(A542+3,Preguntas!$A$1:$A$2976,Preguntas!$D$1:$D$2976)="*",3,IF(LOOKUP(A542+4,Preguntas!$A$1:$A$2976,Preguntas!$D$1:$D$2976)="*",4))))</f>
        <v>2</v>
      </c>
    </row>
    <row r="543" spans="1:2" x14ac:dyDescent="0.25">
      <c r="A543">
        <f t="shared" si="9"/>
        <v>2681</v>
      </c>
      <c r="B543">
        <f>+IF(LOOKUP(A543+1,Preguntas!$A$1:$A$2976,Preguntas!$D$1:$D$2976)="*",1,IF(LOOKUP(A543+2,Preguntas!$A$1:$A$2976,Preguntas!$D$1:$D$2976)="*",2,IF(LOOKUP(A543+3,Preguntas!$A$1:$A$2976,Preguntas!$D$1:$D$2976)="*",3,IF(LOOKUP(A543+4,Preguntas!$A$1:$A$2976,Preguntas!$D$1:$D$2976)="*",4))))</f>
        <v>1</v>
      </c>
    </row>
    <row r="544" spans="1:2" x14ac:dyDescent="0.25">
      <c r="A544">
        <f t="shared" si="9"/>
        <v>2686</v>
      </c>
      <c r="B544">
        <f>+IF(LOOKUP(A544+1,Preguntas!$A$1:$A$2976,Preguntas!$D$1:$D$2976)="*",1,IF(LOOKUP(A544+2,Preguntas!$A$1:$A$2976,Preguntas!$D$1:$D$2976)="*",2,IF(LOOKUP(A544+3,Preguntas!$A$1:$A$2976,Preguntas!$D$1:$D$2976)="*",3,IF(LOOKUP(A544+4,Preguntas!$A$1:$A$2976,Preguntas!$D$1:$D$2976)="*",4))))</f>
        <v>2</v>
      </c>
    </row>
    <row r="545" spans="1:2" x14ac:dyDescent="0.25">
      <c r="A545">
        <f t="shared" si="9"/>
        <v>2691</v>
      </c>
      <c r="B545">
        <f>+IF(LOOKUP(A545+1,Preguntas!$A$1:$A$2976,Preguntas!$D$1:$D$2976)="*",1,IF(LOOKUP(A545+2,Preguntas!$A$1:$A$2976,Preguntas!$D$1:$D$2976)="*",2,IF(LOOKUP(A545+3,Preguntas!$A$1:$A$2976,Preguntas!$D$1:$D$2976)="*",3,IF(LOOKUP(A545+4,Preguntas!$A$1:$A$2976,Preguntas!$D$1:$D$2976)="*",4))))</f>
        <v>1</v>
      </c>
    </row>
    <row r="546" spans="1:2" x14ac:dyDescent="0.25">
      <c r="A546">
        <f t="shared" si="9"/>
        <v>2696</v>
      </c>
      <c r="B546">
        <f>+IF(LOOKUP(A546+1,Preguntas!$A$1:$A$2976,Preguntas!$D$1:$D$2976)="*",1,IF(LOOKUP(A546+2,Preguntas!$A$1:$A$2976,Preguntas!$D$1:$D$2976)="*",2,IF(LOOKUP(A546+3,Preguntas!$A$1:$A$2976,Preguntas!$D$1:$D$2976)="*",3,IF(LOOKUP(A546+4,Preguntas!$A$1:$A$2976,Preguntas!$D$1:$D$2976)="*",4))))</f>
        <v>4</v>
      </c>
    </row>
    <row r="547" spans="1:2" x14ac:dyDescent="0.25">
      <c r="A547">
        <f t="shared" si="9"/>
        <v>2701</v>
      </c>
      <c r="B547">
        <f>+IF(LOOKUP(A547+1,Preguntas!$A$1:$A$2976,Preguntas!$D$1:$D$2976)="*",1,IF(LOOKUP(A547+2,Preguntas!$A$1:$A$2976,Preguntas!$D$1:$D$2976)="*",2,IF(LOOKUP(A547+3,Preguntas!$A$1:$A$2976,Preguntas!$D$1:$D$2976)="*",3,IF(LOOKUP(A547+4,Preguntas!$A$1:$A$2976,Preguntas!$D$1:$D$2976)="*",4))))</f>
        <v>2</v>
      </c>
    </row>
    <row r="548" spans="1:2" x14ac:dyDescent="0.25">
      <c r="A548">
        <f t="shared" si="9"/>
        <v>2706</v>
      </c>
      <c r="B548">
        <f>+IF(LOOKUP(A548+1,Preguntas!$A$1:$A$2976,Preguntas!$D$1:$D$2976)="*",1,IF(LOOKUP(A548+2,Preguntas!$A$1:$A$2976,Preguntas!$D$1:$D$2976)="*",2,IF(LOOKUP(A548+3,Preguntas!$A$1:$A$2976,Preguntas!$D$1:$D$2976)="*",3,IF(LOOKUP(A548+4,Preguntas!$A$1:$A$2976,Preguntas!$D$1:$D$2976)="*",4))))</f>
        <v>2</v>
      </c>
    </row>
    <row r="549" spans="1:2" x14ac:dyDescent="0.25">
      <c r="A549">
        <f t="shared" si="9"/>
        <v>2711</v>
      </c>
      <c r="B549">
        <f>+IF(LOOKUP(A549+1,Preguntas!$A$1:$A$2976,Preguntas!$D$1:$D$2976)="*",1,IF(LOOKUP(A549+2,Preguntas!$A$1:$A$2976,Preguntas!$D$1:$D$2976)="*",2,IF(LOOKUP(A549+3,Preguntas!$A$1:$A$2976,Preguntas!$D$1:$D$2976)="*",3,IF(LOOKUP(A549+4,Preguntas!$A$1:$A$2976,Preguntas!$D$1:$D$2976)="*",4))))</f>
        <v>2</v>
      </c>
    </row>
    <row r="550" spans="1:2" x14ac:dyDescent="0.25">
      <c r="A550">
        <f t="shared" si="9"/>
        <v>2716</v>
      </c>
      <c r="B550">
        <f>+IF(LOOKUP(A550+1,Preguntas!$A$1:$A$2976,Preguntas!$D$1:$D$2976)="*",1,IF(LOOKUP(A550+2,Preguntas!$A$1:$A$2976,Preguntas!$D$1:$D$2976)="*",2,IF(LOOKUP(A550+3,Preguntas!$A$1:$A$2976,Preguntas!$D$1:$D$2976)="*",3,IF(LOOKUP(A550+4,Preguntas!$A$1:$A$2976,Preguntas!$D$1:$D$2976)="*",4))))</f>
        <v>4</v>
      </c>
    </row>
    <row r="551" spans="1:2" x14ac:dyDescent="0.25">
      <c r="A551">
        <f t="shared" si="9"/>
        <v>2721</v>
      </c>
      <c r="B551">
        <f>+IF(LOOKUP(A551+1,Preguntas!$A$1:$A$2976,Preguntas!$D$1:$D$2976)="*",1,IF(LOOKUP(A551+2,Preguntas!$A$1:$A$2976,Preguntas!$D$1:$D$2976)="*",2,IF(LOOKUP(A551+3,Preguntas!$A$1:$A$2976,Preguntas!$D$1:$D$2976)="*",3,IF(LOOKUP(A551+4,Preguntas!$A$1:$A$2976,Preguntas!$D$1:$D$2976)="*",4))))</f>
        <v>4</v>
      </c>
    </row>
    <row r="552" spans="1:2" x14ac:dyDescent="0.25">
      <c r="A552">
        <f t="shared" si="9"/>
        <v>2726</v>
      </c>
      <c r="B552">
        <f>+IF(LOOKUP(A552+1,Preguntas!$A$1:$A$2976,Preguntas!$D$1:$D$2976)="*",1,IF(LOOKUP(A552+2,Preguntas!$A$1:$A$2976,Preguntas!$D$1:$D$2976)="*",2,IF(LOOKUP(A552+3,Preguntas!$A$1:$A$2976,Preguntas!$D$1:$D$2976)="*",3,IF(LOOKUP(A552+4,Preguntas!$A$1:$A$2976,Preguntas!$D$1:$D$2976)="*",4))))</f>
        <v>3</v>
      </c>
    </row>
    <row r="553" spans="1:2" x14ac:dyDescent="0.25">
      <c r="A553">
        <f t="shared" si="9"/>
        <v>2731</v>
      </c>
      <c r="B553">
        <f>+IF(LOOKUP(A553+1,Preguntas!$A$1:$A$2976,Preguntas!$D$1:$D$2976)="*",1,IF(LOOKUP(A553+2,Preguntas!$A$1:$A$2976,Preguntas!$D$1:$D$2976)="*",2,IF(LOOKUP(A553+3,Preguntas!$A$1:$A$2976,Preguntas!$D$1:$D$2976)="*",3,IF(LOOKUP(A553+4,Preguntas!$A$1:$A$2976,Preguntas!$D$1:$D$2976)="*",4))))</f>
        <v>2</v>
      </c>
    </row>
    <row r="554" spans="1:2" x14ac:dyDescent="0.25">
      <c r="A554">
        <f t="shared" si="9"/>
        <v>2736</v>
      </c>
      <c r="B554">
        <f>+IF(LOOKUP(A554+1,Preguntas!$A$1:$A$2976,Preguntas!$D$1:$D$2976)="*",1,IF(LOOKUP(A554+2,Preguntas!$A$1:$A$2976,Preguntas!$D$1:$D$2976)="*",2,IF(LOOKUP(A554+3,Preguntas!$A$1:$A$2976,Preguntas!$D$1:$D$2976)="*",3,IF(LOOKUP(A554+4,Preguntas!$A$1:$A$2976,Preguntas!$D$1:$D$2976)="*",4))))</f>
        <v>4</v>
      </c>
    </row>
    <row r="555" spans="1:2" x14ac:dyDescent="0.25">
      <c r="A555">
        <f t="shared" si="9"/>
        <v>2741</v>
      </c>
      <c r="B555">
        <f>+IF(LOOKUP(A555+1,Preguntas!$A$1:$A$2976,Preguntas!$D$1:$D$2976)="*",1,IF(LOOKUP(A555+2,Preguntas!$A$1:$A$2976,Preguntas!$D$1:$D$2976)="*",2,IF(LOOKUP(A555+3,Preguntas!$A$1:$A$2976,Preguntas!$D$1:$D$2976)="*",3,IF(LOOKUP(A555+4,Preguntas!$A$1:$A$2976,Preguntas!$D$1:$D$2976)="*",4))))</f>
        <v>2</v>
      </c>
    </row>
    <row r="556" spans="1:2" x14ac:dyDescent="0.25">
      <c r="A556">
        <f t="shared" si="9"/>
        <v>2746</v>
      </c>
      <c r="B556">
        <f>+IF(LOOKUP(A556+1,Preguntas!$A$1:$A$2976,Preguntas!$D$1:$D$2976)="*",1,IF(LOOKUP(A556+2,Preguntas!$A$1:$A$2976,Preguntas!$D$1:$D$2976)="*",2,IF(LOOKUP(A556+3,Preguntas!$A$1:$A$2976,Preguntas!$D$1:$D$2976)="*",3,IF(LOOKUP(A556+4,Preguntas!$A$1:$A$2976,Preguntas!$D$1:$D$2976)="*",4))))</f>
        <v>1</v>
      </c>
    </row>
    <row r="557" spans="1:2" x14ac:dyDescent="0.25">
      <c r="A557">
        <f t="shared" si="9"/>
        <v>2751</v>
      </c>
      <c r="B557">
        <f>+IF(LOOKUP(A557+1,Preguntas!$A$1:$A$2976,Preguntas!$D$1:$D$2976)="*",1,IF(LOOKUP(A557+2,Preguntas!$A$1:$A$2976,Preguntas!$D$1:$D$2976)="*",2,IF(LOOKUP(A557+3,Preguntas!$A$1:$A$2976,Preguntas!$D$1:$D$2976)="*",3,IF(LOOKUP(A557+4,Preguntas!$A$1:$A$2976,Preguntas!$D$1:$D$2976)="*",4))))</f>
        <v>3</v>
      </c>
    </row>
    <row r="558" spans="1:2" x14ac:dyDescent="0.25">
      <c r="A558">
        <f t="shared" si="9"/>
        <v>2756</v>
      </c>
      <c r="B558">
        <f>+IF(LOOKUP(A558+1,Preguntas!$A$1:$A$2976,Preguntas!$D$1:$D$2976)="*",1,IF(LOOKUP(A558+2,Preguntas!$A$1:$A$2976,Preguntas!$D$1:$D$2976)="*",2,IF(LOOKUP(A558+3,Preguntas!$A$1:$A$2976,Preguntas!$D$1:$D$2976)="*",3,IF(LOOKUP(A558+4,Preguntas!$A$1:$A$2976,Preguntas!$D$1:$D$2976)="*",4))))</f>
        <v>4</v>
      </c>
    </row>
    <row r="559" spans="1:2" x14ac:dyDescent="0.25">
      <c r="A559">
        <f t="shared" si="9"/>
        <v>2761</v>
      </c>
      <c r="B559">
        <f>+IF(LOOKUP(A559+1,Preguntas!$A$1:$A$2976,Preguntas!$D$1:$D$2976)="*",1,IF(LOOKUP(A559+2,Preguntas!$A$1:$A$2976,Preguntas!$D$1:$D$2976)="*",2,IF(LOOKUP(A559+3,Preguntas!$A$1:$A$2976,Preguntas!$D$1:$D$2976)="*",3,IF(LOOKUP(A559+4,Preguntas!$A$1:$A$2976,Preguntas!$D$1:$D$2976)="*",4))))</f>
        <v>3</v>
      </c>
    </row>
    <row r="560" spans="1:2" x14ac:dyDescent="0.25">
      <c r="A560">
        <f t="shared" si="9"/>
        <v>2766</v>
      </c>
      <c r="B560">
        <f>+IF(LOOKUP(A560+1,Preguntas!$A$1:$A$2976,Preguntas!$D$1:$D$2976)="*",1,IF(LOOKUP(A560+2,Preguntas!$A$1:$A$2976,Preguntas!$D$1:$D$2976)="*",2,IF(LOOKUP(A560+3,Preguntas!$A$1:$A$2976,Preguntas!$D$1:$D$2976)="*",3,IF(LOOKUP(A560+4,Preguntas!$A$1:$A$2976,Preguntas!$D$1:$D$2976)="*",4))))</f>
        <v>1</v>
      </c>
    </row>
    <row r="561" spans="1:2" x14ac:dyDescent="0.25">
      <c r="A561">
        <f t="shared" si="9"/>
        <v>2771</v>
      </c>
      <c r="B561">
        <f>+IF(LOOKUP(A561+1,Preguntas!$A$1:$A$2976,Preguntas!$D$1:$D$2976)="*",1,IF(LOOKUP(A561+2,Preguntas!$A$1:$A$2976,Preguntas!$D$1:$D$2976)="*",2,IF(LOOKUP(A561+3,Preguntas!$A$1:$A$2976,Preguntas!$D$1:$D$2976)="*",3,IF(LOOKUP(A561+4,Preguntas!$A$1:$A$2976,Preguntas!$D$1:$D$2976)="*",4))))</f>
        <v>2</v>
      </c>
    </row>
    <row r="562" spans="1:2" x14ac:dyDescent="0.25">
      <c r="A562">
        <f t="shared" si="9"/>
        <v>2776</v>
      </c>
      <c r="B562">
        <f>+IF(LOOKUP(A562+1,Preguntas!$A$1:$A$2976,Preguntas!$D$1:$D$2976)="*",1,IF(LOOKUP(A562+2,Preguntas!$A$1:$A$2976,Preguntas!$D$1:$D$2976)="*",2,IF(LOOKUP(A562+3,Preguntas!$A$1:$A$2976,Preguntas!$D$1:$D$2976)="*",3,IF(LOOKUP(A562+4,Preguntas!$A$1:$A$2976,Preguntas!$D$1:$D$2976)="*",4))))</f>
        <v>3</v>
      </c>
    </row>
    <row r="563" spans="1:2" x14ac:dyDescent="0.25">
      <c r="A563">
        <f t="shared" si="9"/>
        <v>2781</v>
      </c>
      <c r="B563">
        <f>+IF(LOOKUP(A563+1,Preguntas!$A$1:$A$2976,Preguntas!$D$1:$D$2976)="*",1,IF(LOOKUP(A563+2,Preguntas!$A$1:$A$2976,Preguntas!$D$1:$D$2976)="*",2,IF(LOOKUP(A563+3,Preguntas!$A$1:$A$2976,Preguntas!$D$1:$D$2976)="*",3,IF(LOOKUP(A563+4,Preguntas!$A$1:$A$2976,Preguntas!$D$1:$D$2976)="*",4))))</f>
        <v>4</v>
      </c>
    </row>
    <row r="564" spans="1:2" x14ac:dyDescent="0.25">
      <c r="A564">
        <f t="shared" si="9"/>
        <v>2786</v>
      </c>
      <c r="B564">
        <f>+IF(LOOKUP(A564+1,Preguntas!$A$1:$A$2976,Preguntas!$D$1:$D$2976)="*",1,IF(LOOKUP(A564+2,Preguntas!$A$1:$A$2976,Preguntas!$D$1:$D$2976)="*",2,IF(LOOKUP(A564+3,Preguntas!$A$1:$A$2976,Preguntas!$D$1:$D$2976)="*",3,IF(LOOKUP(A564+4,Preguntas!$A$1:$A$2976,Preguntas!$D$1:$D$2976)="*",4))))</f>
        <v>2</v>
      </c>
    </row>
    <row r="565" spans="1:2" x14ac:dyDescent="0.25">
      <c r="A565">
        <f t="shared" si="9"/>
        <v>2791</v>
      </c>
      <c r="B565">
        <f>+IF(LOOKUP(A565+1,Preguntas!$A$1:$A$2976,Preguntas!$D$1:$D$2976)="*",1,IF(LOOKUP(A565+2,Preguntas!$A$1:$A$2976,Preguntas!$D$1:$D$2976)="*",2,IF(LOOKUP(A565+3,Preguntas!$A$1:$A$2976,Preguntas!$D$1:$D$2976)="*",3,IF(LOOKUP(A565+4,Preguntas!$A$1:$A$2976,Preguntas!$D$1:$D$2976)="*",4))))</f>
        <v>1</v>
      </c>
    </row>
    <row r="566" spans="1:2" x14ac:dyDescent="0.25">
      <c r="A566">
        <f t="shared" si="9"/>
        <v>2796</v>
      </c>
      <c r="B566">
        <f>+IF(LOOKUP(A566+1,Preguntas!$A$1:$A$2976,Preguntas!$D$1:$D$2976)="*",1,IF(LOOKUP(A566+2,Preguntas!$A$1:$A$2976,Preguntas!$D$1:$D$2976)="*",2,IF(LOOKUP(A566+3,Preguntas!$A$1:$A$2976,Preguntas!$D$1:$D$2976)="*",3,IF(LOOKUP(A566+4,Preguntas!$A$1:$A$2976,Preguntas!$D$1:$D$2976)="*",4))))</f>
        <v>4</v>
      </c>
    </row>
    <row r="567" spans="1:2" x14ac:dyDescent="0.25">
      <c r="A567">
        <f t="shared" si="9"/>
        <v>2801</v>
      </c>
      <c r="B567">
        <f>+IF(LOOKUP(A567+1,Preguntas!$A$1:$A$2976,Preguntas!$D$1:$D$2976)="*",1,IF(LOOKUP(A567+2,Preguntas!$A$1:$A$2976,Preguntas!$D$1:$D$2976)="*",2,IF(LOOKUP(A567+3,Preguntas!$A$1:$A$2976,Preguntas!$D$1:$D$2976)="*",3,IF(LOOKUP(A567+4,Preguntas!$A$1:$A$2976,Preguntas!$D$1:$D$2976)="*",4))))</f>
        <v>2</v>
      </c>
    </row>
    <row r="568" spans="1:2" x14ac:dyDescent="0.25">
      <c r="A568">
        <f t="shared" si="9"/>
        <v>2806</v>
      </c>
      <c r="B568">
        <f>+IF(LOOKUP(A568+1,Preguntas!$A$1:$A$2976,Preguntas!$D$1:$D$2976)="*",1,IF(LOOKUP(A568+2,Preguntas!$A$1:$A$2976,Preguntas!$D$1:$D$2976)="*",2,IF(LOOKUP(A568+3,Preguntas!$A$1:$A$2976,Preguntas!$D$1:$D$2976)="*",3,IF(LOOKUP(A568+4,Preguntas!$A$1:$A$2976,Preguntas!$D$1:$D$2976)="*",4))))</f>
        <v>2</v>
      </c>
    </row>
    <row r="569" spans="1:2" x14ac:dyDescent="0.25">
      <c r="A569">
        <f t="shared" si="9"/>
        <v>2811</v>
      </c>
      <c r="B569">
        <f>+IF(LOOKUP(A569+1,Preguntas!$A$1:$A$2976,Preguntas!$D$1:$D$2976)="*",1,IF(LOOKUP(A569+2,Preguntas!$A$1:$A$2976,Preguntas!$D$1:$D$2976)="*",2,IF(LOOKUP(A569+3,Preguntas!$A$1:$A$2976,Preguntas!$D$1:$D$2976)="*",3,IF(LOOKUP(A569+4,Preguntas!$A$1:$A$2976,Preguntas!$D$1:$D$2976)="*",4))))</f>
        <v>3</v>
      </c>
    </row>
    <row r="570" spans="1:2" x14ac:dyDescent="0.25">
      <c r="A570">
        <f t="shared" si="9"/>
        <v>2816</v>
      </c>
      <c r="B570">
        <f>+IF(LOOKUP(A570+1,Preguntas!$A$1:$A$2976,Preguntas!$D$1:$D$2976)="*",1,IF(LOOKUP(A570+2,Preguntas!$A$1:$A$2976,Preguntas!$D$1:$D$2976)="*",2,IF(LOOKUP(A570+3,Preguntas!$A$1:$A$2976,Preguntas!$D$1:$D$2976)="*",3,IF(LOOKUP(A570+4,Preguntas!$A$1:$A$2976,Preguntas!$D$1:$D$2976)="*",4))))</f>
        <v>2</v>
      </c>
    </row>
    <row r="571" spans="1:2" x14ac:dyDescent="0.25">
      <c r="A571">
        <f t="shared" si="9"/>
        <v>2821</v>
      </c>
      <c r="B571">
        <f>+IF(LOOKUP(A571+1,Preguntas!$A$1:$A$2976,Preguntas!$D$1:$D$2976)="*",1,IF(LOOKUP(A571+2,Preguntas!$A$1:$A$2976,Preguntas!$D$1:$D$2976)="*",2,IF(LOOKUP(A571+3,Preguntas!$A$1:$A$2976,Preguntas!$D$1:$D$2976)="*",3,IF(LOOKUP(A571+4,Preguntas!$A$1:$A$2976,Preguntas!$D$1:$D$2976)="*",4))))</f>
        <v>4</v>
      </c>
    </row>
    <row r="572" spans="1:2" x14ac:dyDescent="0.25">
      <c r="A572">
        <f t="shared" si="9"/>
        <v>2826</v>
      </c>
      <c r="B572">
        <f>+IF(LOOKUP(A572+1,Preguntas!$A$1:$A$2976,Preguntas!$D$1:$D$2976)="*",1,IF(LOOKUP(A572+2,Preguntas!$A$1:$A$2976,Preguntas!$D$1:$D$2976)="*",2,IF(LOOKUP(A572+3,Preguntas!$A$1:$A$2976,Preguntas!$D$1:$D$2976)="*",3,IF(LOOKUP(A572+4,Preguntas!$A$1:$A$2976,Preguntas!$D$1:$D$2976)="*",4))))</f>
        <v>1</v>
      </c>
    </row>
    <row r="573" spans="1:2" x14ac:dyDescent="0.25">
      <c r="A573">
        <f t="shared" si="9"/>
        <v>2831</v>
      </c>
      <c r="B573">
        <f>+IF(LOOKUP(A573+1,Preguntas!$A$1:$A$2976,Preguntas!$D$1:$D$2976)="*",1,IF(LOOKUP(A573+2,Preguntas!$A$1:$A$2976,Preguntas!$D$1:$D$2976)="*",2,IF(LOOKUP(A573+3,Preguntas!$A$1:$A$2976,Preguntas!$D$1:$D$2976)="*",3,IF(LOOKUP(A573+4,Preguntas!$A$1:$A$2976,Preguntas!$D$1:$D$2976)="*",4))))</f>
        <v>2</v>
      </c>
    </row>
    <row r="574" spans="1:2" x14ac:dyDescent="0.25">
      <c r="A574">
        <f t="shared" si="9"/>
        <v>2836</v>
      </c>
      <c r="B574">
        <f>+IF(LOOKUP(A574+1,Preguntas!$A$1:$A$2976,Preguntas!$D$1:$D$2976)="*",1,IF(LOOKUP(A574+2,Preguntas!$A$1:$A$2976,Preguntas!$D$1:$D$2976)="*",2,IF(LOOKUP(A574+3,Preguntas!$A$1:$A$2976,Preguntas!$D$1:$D$2976)="*",3,IF(LOOKUP(A574+4,Preguntas!$A$1:$A$2976,Preguntas!$D$1:$D$2976)="*",4))))</f>
        <v>4</v>
      </c>
    </row>
    <row r="575" spans="1:2" x14ac:dyDescent="0.25">
      <c r="A575">
        <f t="shared" si="9"/>
        <v>2841</v>
      </c>
      <c r="B575">
        <f>+IF(LOOKUP(A575+1,Preguntas!$A$1:$A$2976,Preguntas!$D$1:$D$2976)="*",1,IF(LOOKUP(A575+2,Preguntas!$A$1:$A$2976,Preguntas!$D$1:$D$2976)="*",2,IF(LOOKUP(A575+3,Preguntas!$A$1:$A$2976,Preguntas!$D$1:$D$2976)="*",3,IF(LOOKUP(A575+4,Preguntas!$A$1:$A$2976,Preguntas!$D$1:$D$2976)="*",4))))</f>
        <v>1</v>
      </c>
    </row>
    <row r="576" spans="1:2" x14ac:dyDescent="0.25">
      <c r="A576">
        <f t="shared" si="9"/>
        <v>2846</v>
      </c>
      <c r="B576">
        <f>+IF(LOOKUP(A576+1,Preguntas!$A$1:$A$2976,Preguntas!$D$1:$D$2976)="*",1,IF(LOOKUP(A576+2,Preguntas!$A$1:$A$2976,Preguntas!$D$1:$D$2976)="*",2,IF(LOOKUP(A576+3,Preguntas!$A$1:$A$2976,Preguntas!$D$1:$D$2976)="*",3,IF(LOOKUP(A576+4,Preguntas!$A$1:$A$2976,Preguntas!$D$1:$D$2976)="*",4))))</f>
        <v>2</v>
      </c>
    </row>
    <row r="577" spans="1:2" x14ac:dyDescent="0.25">
      <c r="A577">
        <f t="shared" si="9"/>
        <v>2851</v>
      </c>
      <c r="B577">
        <f>+IF(LOOKUP(A577+1,Preguntas!$A$1:$A$2976,Preguntas!$D$1:$D$2976)="*",1,IF(LOOKUP(A577+2,Preguntas!$A$1:$A$2976,Preguntas!$D$1:$D$2976)="*",2,IF(LOOKUP(A577+3,Preguntas!$A$1:$A$2976,Preguntas!$D$1:$D$2976)="*",3,IF(LOOKUP(A577+4,Preguntas!$A$1:$A$2976,Preguntas!$D$1:$D$2976)="*",4))))</f>
        <v>3</v>
      </c>
    </row>
    <row r="578" spans="1:2" x14ac:dyDescent="0.25">
      <c r="A578">
        <f t="shared" si="9"/>
        <v>2856</v>
      </c>
      <c r="B578">
        <f>+IF(LOOKUP(A578+1,Preguntas!$A$1:$A$2976,Preguntas!$D$1:$D$2976)="*",1,IF(LOOKUP(A578+2,Preguntas!$A$1:$A$2976,Preguntas!$D$1:$D$2976)="*",2,IF(LOOKUP(A578+3,Preguntas!$A$1:$A$2976,Preguntas!$D$1:$D$2976)="*",3,IF(LOOKUP(A578+4,Preguntas!$A$1:$A$2976,Preguntas!$D$1:$D$2976)="*",4))))</f>
        <v>2</v>
      </c>
    </row>
    <row r="579" spans="1:2" x14ac:dyDescent="0.25">
      <c r="A579">
        <f t="shared" si="9"/>
        <v>2861</v>
      </c>
      <c r="B579">
        <f>+IF(LOOKUP(A579+1,Preguntas!$A$1:$A$2976,Preguntas!$D$1:$D$2976)="*",1,IF(LOOKUP(A579+2,Preguntas!$A$1:$A$2976,Preguntas!$D$1:$D$2976)="*",2,IF(LOOKUP(A579+3,Preguntas!$A$1:$A$2976,Preguntas!$D$1:$D$2976)="*",3,IF(LOOKUP(A579+4,Preguntas!$A$1:$A$2976,Preguntas!$D$1:$D$2976)="*",4))))</f>
        <v>1</v>
      </c>
    </row>
    <row r="580" spans="1:2" x14ac:dyDescent="0.25">
      <c r="A580">
        <f t="shared" si="9"/>
        <v>2866</v>
      </c>
      <c r="B580">
        <f>+IF(LOOKUP(A580+1,Preguntas!$A$1:$A$2976,Preguntas!$D$1:$D$2976)="*",1,IF(LOOKUP(A580+2,Preguntas!$A$1:$A$2976,Preguntas!$D$1:$D$2976)="*",2,IF(LOOKUP(A580+3,Preguntas!$A$1:$A$2976,Preguntas!$D$1:$D$2976)="*",3,IF(LOOKUP(A580+4,Preguntas!$A$1:$A$2976,Preguntas!$D$1:$D$2976)="*",4))))</f>
        <v>4</v>
      </c>
    </row>
    <row r="581" spans="1:2" x14ac:dyDescent="0.25">
      <c r="A581">
        <f t="shared" si="9"/>
        <v>2871</v>
      </c>
      <c r="B581">
        <f>+IF(LOOKUP(A581+1,Preguntas!$A$1:$A$2976,Preguntas!$D$1:$D$2976)="*",1,IF(LOOKUP(A581+2,Preguntas!$A$1:$A$2976,Preguntas!$D$1:$D$2976)="*",2,IF(LOOKUP(A581+3,Preguntas!$A$1:$A$2976,Preguntas!$D$1:$D$2976)="*",3,IF(LOOKUP(A581+4,Preguntas!$A$1:$A$2976,Preguntas!$D$1:$D$2976)="*",4))))</f>
        <v>3</v>
      </c>
    </row>
    <row r="582" spans="1:2" x14ac:dyDescent="0.25">
      <c r="A582">
        <f t="shared" si="9"/>
        <v>2876</v>
      </c>
      <c r="B582">
        <f>+IF(LOOKUP(A582+1,Preguntas!$A$1:$A$2976,Preguntas!$D$1:$D$2976)="*",1,IF(LOOKUP(A582+2,Preguntas!$A$1:$A$2976,Preguntas!$D$1:$D$2976)="*",2,IF(LOOKUP(A582+3,Preguntas!$A$1:$A$2976,Preguntas!$D$1:$D$2976)="*",3,IF(LOOKUP(A582+4,Preguntas!$A$1:$A$2976,Preguntas!$D$1:$D$2976)="*",4))))</f>
        <v>2</v>
      </c>
    </row>
    <row r="583" spans="1:2" x14ac:dyDescent="0.25">
      <c r="A583">
        <f t="shared" si="9"/>
        <v>2881</v>
      </c>
      <c r="B583">
        <f>+IF(LOOKUP(A583+1,Preguntas!$A$1:$A$2976,Preguntas!$D$1:$D$2976)="*",1,IF(LOOKUP(A583+2,Preguntas!$A$1:$A$2976,Preguntas!$D$1:$D$2976)="*",2,IF(LOOKUP(A583+3,Preguntas!$A$1:$A$2976,Preguntas!$D$1:$D$2976)="*",3,IF(LOOKUP(A583+4,Preguntas!$A$1:$A$2976,Preguntas!$D$1:$D$2976)="*",4))))</f>
        <v>2</v>
      </c>
    </row>
    <row r="584" spans="1:2" x14ac:dyDescent="0.25">
      <c r="A584">
        <f t="shared" si="9"/>
        <v>2886</v>
      </c>
      <c r="B584">
        <f>+IF(LOOKUP(A584+1,Preguntas!$A$1:$A$2976,Preguntas!$D$1:$D$2976)="*",1,IF(LOOKUP(A584+2,Preguntas!$A$1:$A$2976,Preguntas!$D$1:$D$2976)="*",2,IF(LOOKUP(A584+3,Preguntas!$A$1:$A$2976,Preguntas!$D$1:$D$2976)="*",3,IF(LOOKUP(A584+4,Preguntas!$A$1:$A$2976,Preguntas!$D$1:$D$2976)="*",4))))</f>
        <v>3</v>
      </c>
    </row>
    <row r="585" spans="1:2" x14ac:dyDescent="0.25">
      <c r="A585">
        <f t="shared" ref="A585:A601" si="10">+A584+5</f>
        <v>2891</v>
      </c>
      <c r="B585">
        <f>+IF(LOOKUP(A585+1,Preguntas!$A$1:$A$2976,Preguntas!$D$1:$D$2976)="*",1,IF(LOOKUP(A585+2,Preguntas!$A$1:$A$2976,Preguntas!$D$1:$D$2976)="*",2,IF(LOOKUP(A585+3,Preguntas!$A$1:$A$2976,Preguntas!$D$1:$D$2976)="*",3,IF(LOOKUP(A585+4,Preguntas!$A$1:$A$2976,Preguntas!$D$1:$D$2976)="*",4))))</f>
        <v>1</v>
      </c>
    </row>
    <row r="586" spans="1:2" x14ac:dyDescent="0.25">
      <c r="A586">
        <f t="shared" si="10"/>
        <v>2896</v>
      </c>
      <c r="B586">
        <f>+IF(LOOKUP(A586+1,Preguntas!$A$1:$A$2976,Preguntas!$D$1:$D$2976)="*",1,IF(LOOKUP(A586+2,Preguntas!$A$1:$A$2976,Preguntas!$D$1:$D$2976)="*",2,IF(LOOKUP(A586+3,Preguntas!$A$1:$A$2976,Preguntas!$D$1:$D$2976)="*",3,IF(LOOKUP(A586+4,Preguntas!$A$1:$A$2976,Preguntas!$D$1:$D$2976)="*",4))))</f>
        <v>4</v>
      </c>
    </row>
    <row r="587" spans="1:2" x14ac:dyDescent="0.25">
      <c r="A587">
        <f t="shared" si="10"/>
        <v>2901</v>
      </c>
      <c r="B587">
        <f>+IF(LOOKUP(A587+1,Preguntas!$A$1:$A$2976,Preguntas!$D$1:$D$2976)="*",1,IF(LOOKUP(A587+2,Preguntas!$A$1:$A$2976,Preguntas!$D$1:$D$2976)="*",2,IF(LOOKUP(A587+3,Preguntas!$A$1:$A$2976,Preguntas!$D$1:$D$2976)="*",3,IF(LOOKUP(A587+4,Preguntas!$A$1:$A$2976,Preguntas!$D$1:$D$2976)="*",4))))</f>
        <v>2</v>
      </c>
    </row>
    <row r="588" spans="1:2" x14ac:dyDescent="0.25">
      <c r="A588">
        <f t="shared" si="10"/>
        <v>2906</v>
      </c>
      <c r="B588">
        <f>+IF(LOOKUP(A588+1,Preguntas!$A$1:$A$2976,Preguntas!$D$1:$D$2976)="*",1,IF(LOOKUP(A588+2,Preguntas!$A$1:$A$2976,Preguntas!$D$1:$D$2976)="*",2,IF(LOOKUP(A588+3,Preguntas!$A$1:$A$2976,Preguntas!$D$1:$D$2976)="*",3,IF(LOOKUP(A588+4,Preguntas!$A$1:$A$2976,Preguntas!$D$1:$D$2976)="*",4))))</f>
        <v>1</v>
      </c>
    </row>
    <row r="589" spans="1:2" x14ac:dyDescent="0.25">
      <c r="A589">
        <f t="shared" si="10"/>
        <v>2911</v>
      </c>
      <c r="B589">
        <f>+IF(LOOKUP(A589+1,Preguntas!$A$1:$A$2976,Preguntas!$D$1:$D$2976)="*",1,IF(LOOKUP(A589+2,Preguntas!$A$1:$A$2976,Preguntas!$D$1:$D$2976)="*",2,IF(LOOKUP(A589+3,Preguntas!$A$1:$A$2976,Preguntas!$D$1:$D$2976)="*",3,IF(LOOKUP(A589+4,Preguntas!$A$1:$A$2976,Preguntas!$D$1:$D$2976)="*",4))))</f>
        <v>3</v>
      </c>
    </row>
    <row r="590" spans="1:2" x14ac:dyDescent="0.25">
      <c r="A590">
        <f t="shared" si="10"/>
        <v>2916</v>
      </c>
      <c r="B590">
        <f>+IF(LOOKUP(A590+1,Preguntas!$A$1:$A$2976,Preguntas!$D$1:$D$2976)="*",1,IF(LOOKUP(A590+2,Preguntas!$A$1:$A$2976,Preguntas!$D$1:$D$2976)="*",2,IF(LOOKUP(A590+3,Preguntas!$A$1:$A$2976,Preguntas!$D$1:$D$2976)="*",3,IF(LOOKUP(A590+4,Preguntas!$A$1:$A$2976,Preguntas!$D$1:$D$2976)="*",4))))</f>
        <v>4</v>
      </c>
    </row>
    <row r="591" spans="1:2" x14ac:dyDescent="0.25">
      <c r="A591">
        <f t="shared" si="10"/>
        <v>2921</v>
      </c>
      <c r="B591">
        <f>+IF(LOOKUP(A591+1,Preguntas!$A$1:$A$2976,Preguntas!$D$1:$D$2976)="*",1,IF(LOOKUP(A591+2,Preguntas!$A$1:$A$2976,Preguntas!$D$1:$D$2976)="*",2,IF(LOOKUP(A591+3,Preguntas!$A$1:$A$2976,Preguntas!$D$1:$D$2976)="*",3,IF(LOOKUP(A591+4,Preguntas!$A$1:$A$2976,Preguntas!$D$1:$D$2976)="*",4))))</f>
        <v>2</v>
      </c>
    </row>
    <row r="592" spans="1:2" x14ac:dyDescent="0.25">
      <c r="A592">
        <f t="shared" si="10"/>
        <v>2926</v>
      </c>
      <c r="B592">
        <f>+IF(LOOKUP(A592+1,Preguntas!$A$1:$A$2976,Preguntas!$D$1:$D$2976)="*",1,IF(LOOKUP(A592+2,Preguntas!$A$1:$A$2976,Preguntas!$D$1:$D$2976)="*",2,IF(LOOKUP(A592+3,Preguntas!$A$1:$A$2976,Preguntas!$D$1:$D$2976)="*",3,IF(LOOKUP(A592+4,Preguntas!$A$1:$A$2976,Preguntas!$D$1:$D$2976)="*",4))))</f>
        <v>1</v>
      </c>
    </row>
    <row r="593" spans="1:2" x14ac:dyDescent="0.25">
      <c r="A593">
        <f t="shared" si="10"/>
        <v>2931</v>
      </c>
      <c r="B593">
        <f>+IF(LOOKUP(A593+1,Preguntas!$A$1:$A$2976,Preguntas!$D$1:$D$2976)="*",1,IF(LOOKUP(A593+2,Preguntas!$A$1:$A$2976,Preguntas!$D$1:$D$2976)="*",2,IF(LOOKUP(A593+3,Preguntas!$A$1:$A$2976,Preguntas!$D$1:$D$2976)="*",3,IF(LOOKUP(A593+4,Preguntas!$A$1:$A$2976,Preguntas!$D$1:$D$2976)="*",4))))</f>
        <v>3</v>
      </c>
    </row>
    <row r="594" spans="1:2" x14ac:dyDescent="0.25">
      <c r="A594">
        <f t="shared" si="10"/>
        <v>2936</v>
      </c>
      <c r="B594">
        <f>+IF(LOOKUP(A594+1,Preguntas!$A$1:$A$2976,Preguntas!$D$1:$D$2976)="*",1,IF(LOOKUP(A594+2,Preguntas!$A$1:$A$2976,Preguntas!$D$1:$D$2976)="*",2,IF(LOOKUP(A594+3,Preguntas!$A$1:$A$2976,Preguntas!$D$1:$D$2976)="*",3,IF(LOOKUP(A594+4,Preguntas!$A$1:$A$2976,Preguntas!$D$1:$D$2976)="*",4))))</f>
        <v>2</v>
      </c>
    </row>
    <row r="595" spans="1:2" x14ac:dyDescent="0.25">
      <c r="A595">
        <f t="shared" si="10"/>
        <v>2941</v>
      </c>
      <c r="B595">
        <f>+IF(LOOKUP(A595+1,Preguntas!$A$1:$A$2976,Preguntas!$D$1:$D$2976)="*",1,IF(LOOKUP(A595+2,Preguntas!$A$1:$A$2976,Preguntas!$D$1:$D$2976)="*",2,IF(LOOKUP(A595+3,Preguntas!$A$1:$A$2976,Preguntas!$D$1:$D$2976)="*",3,IF(LOOKUP(A595+4,Preguntas!$A$1:$A$2976,Preguntas!$D$1:$D$2976)="*",4))))</f>
        <v>1</v>
      </c>
    </row>
    <row r="596" spans="1:2" x14ac:dyDescent="0.25">
      <c r="A596">
        <f t="shared" si="10"/>
        <v>2946</v>
      </c>
      <c r="B596">
        <f>+IF(LOOKUP(A596+1,Preguntas!$A$1:$A$2976,Preguntas!$D$1:$D$2976)="*",1,IF(LOOKUP(A596+2,Preguntas!$A$1:$A$2976,Preguntas!$D$1:$D$2976)="*",2,IF(LOOKUP(A596+3,Preguntas!$A$1:$A$2976,Preguntas!$D$1:$D$2976)="*",3,IF(LOOKUP(A596+4,Preguntas!$A$1:$A$2976,Preguntas!$D$1:$D$2976)="*",4))))</f>
        <v>3</v>
      </c>
    </row>
    <row r="597" spans="1:2" x14ac:dyDescent="0.25">
      <c r="A597">
        <f t="shared" si="10"/>
        <v>2951</v>
      </c>
      <c r="B597">
        <f>+IF(LOOKUP(A597+1,Preguntas!$A$1:$A$2976,Preguntas!$D$1:$D$2976)="*",1,IF(LOOKUP(A597+2,Preguntas!$A$1:$A$2976,Preguntas!$D$1:$D$2976)="*",2,IF(LOOKUP(A597+3,Preguntas!$A$1:$A$2976,Preguntas!$D$1:$D$2976)="*",3,IF(LOOKUP(A597+4,Preguntas!$A$1:$A$2976,Preguntas!$D$1:$D$2976)="*",4))))</f>
        <v>2</v>
      </c>
    </row>
    <row r="598" spans="1:2" x14ac:dyDescent="0.25">
      <c r="A598">
        <f t="shared" si="10"/>
        <v>2956</v>
      </c>
      <c r="B598">
        <f>+IF(LOOKUP(A598+1,Preguntas!$A$1:$A$2976,Preguntas!$D$1:$D$2976)="*",1,IF(LOOKUP(A598+2,Preguntas!$A$1:$A$2976,Preguntas!$D$1:$D$2976)="*",2,IF(LOOKUP(A598+3,Preguntas!$A$1:$A$2976,Preguntas!$D$1:$D$2976)="*",3,IF(LOOKUP(A598+4,Preguntas!$A$1:$A$2976,Preguntas!$D$1:$D$2976)="*",4))))</f>
        <v>3</v>
      </c>
    </row>
    <row r="599" spans="1:2" x14ac:dyDescent="0.25">
      <c r="A599">
        <f t="shared" si="10"/>
        <v>2961</v>
      </c>
      <c r="B599">
        <f>+IF(LOOKUP(A599+1,Preguntas!$A$1:$A$2976,Preguntas!$D$1:$D$2976)="*",1,IF(LOOKUP(A599+2,Preguntas!$A$1:$A$2976,Preguntas!$D$1:$D$2976)="*",2,IF(LOOKUP(A599+3,Preguntas!$A$1:$A$2976,Preguntas!$D$1:$D$2976)="*",3,IF(LOOKUP(A599+4,Preguntas!$A$1:$A$2976,Preguntas!$D$1:$D$2976)="*",4))))</f>
        <v>4</v>
      </c>
    </row>
    <row r="600" spans="1:2" x14ac:dyDescent="0.25">
      <c r="A600">
        <f t="shared" si="10"/>
        <v>2966</v>
      </c>
      <c r="B600">
        <f>+IF(LOOKUP(A600+1,Preguntas!$A$1:$A$2976,Preguntas!$D$1:$D$2976)="*",1,IF(LOOKUP(A600+2,Preguntas!$A$1:$A$2976,Preguntas!$D$1:$D$2976)="*",2,IF(LOOKUP(A600+3,Preguntas!$A$1:$A$2976,Preguntas!$D$1:$D$2976)="*",3,IF(LOOKUP(A600+4,Preguntas!$A$1:$A$2976,Preguntas!$D$1:$D$2976)="*",4))))</f>
        <v>3</v>
      </c>
    </row>
    <row r="601" spans="1:2" x14ac:dyDescent="0.25">
      <c r="A601">
        <f t="shared" si="10"/>
        <v>2971</v>
      </c>
      <c r="B601">
        <f>+IF(LOOKUP(A601+1,Preguntas!$A$1:$A$2976,Preguntas!$D$1:$D$2976)="*",1,IF(LOOKUP(A601+2,Preguntas!$A$1:$A$2976,Preguntas!$D$1:$D$2976)="*",2,IF(LOOKUP(A601+3,Preguntas!$A$1:$A$2976,Preguntas!$D$1:$D$2976)="*",3,IF(LOOKUP(A601+4,Preguntas!$A$1:$A$2976,Preguntas!$D$1:$D$2976)="*",4))))</f>
        <v>2</v>
      </c>
    </row>
  </sheetData>
  <dataValidations count="2">
    <dataValidation type="custom" errorStyle="information" allowBlank="1" showInputMessage="1" showErrorMessage="1" errorTitle="Fin del Examen" error="Ud. ha completado las 100 preguntas. Su puntaje total es: _x000a_control!B4" sqref="C2">
      <formula1>C2&gt;100</formula1>
    </dataValidation>
    <dataValidation type="custom" errorStyle="information" allowBlank="1" showInputMessage="1" showErrorMessage="1" errorTitle="Fin del Examen" error="Ud. Ha llegado al fin del examen." sqref="B2">
      <formula1>B2&lt;100</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E2976"/>
  <sheetViews>
    <sheetView topLeftCell="A2952" workbookViewId="0">
      <selection activeCell="A2976" sqref="A2976"/>
    </sheetView>
  </sheetViews>
  <sheetFormatPr baseColWidth="10" defaultRowHeight="15" x14ac:dyDescent="0.25"/>
  <cols>
    <col min="1" max="1" width="8.140625" customWidth="1"/>
    <col min="2" max="2" width="64.7109375" customWidth="1"/>
  </cols>
  <sheetData>
    <row r="1" spans="1:5" x14ac:dyDescent="0.25">
      <c r="A1" t="s">
        <v>415</v>
      </c>
      <c r="B1" t="s">
        <v>1588</v>
      </c>
      <c r="C1" t="s">
        <v>416</v>
      </c>
      <c r="D1" t="s">
        <v>1590</v>
      </c>
      <c r="E1" t="s">
        <v>1589</v>
      </c>
    </row>
    <row r="2" spans="1:5" x14ac:dyDescent="0.25">
      <c r="A2">
        <v>1</v>
      </c>
      <c r="B2" t="s">
        <v>1597</v>
      </c>
      <c r="C2">
        <v>1</v>
      </c>
      <c r="D2" t="str">
        <f>+MID(B2,1,1)</f>
        <v>S</v>
      </c>
      <c r="E2" t="str">
        <f>+IF(D2="*",MID(B2,3,500),B2)</f>
        <v>Según Basaglia, en las instituciones de Salud Mental. ¿Qué llega a hacer aceptar el perfeccionismo técnico especializado?</v>
      </c>
    </row>
    <row r="3" spans="1:5" x14ac:dyDescent="0.25">
      <c r="A3">
        <v>2</v>
      </c>
      <c r="B3" t="s">
        <v>0</v>
      </c>
      <c r="C3">
        <v>0</v>
      </c>
      <c r="D3" t="str">
        <f t="shared" ref="D3:D66" si="0">+MID(B3,1,1)</f>
        <v>a</v>
      </c>
      <c r="E3" t="str">
        <f t="shared" ref="E3:E66" si="1">+IF(D3="*",MID(B3,3,500),B3)</f>
        <v>a) El encierro permanente.</v>
      </c>
    </row>
    <row r="4" spans="1:5" x14ac:dyDescent="0.25">
      <c r="A4">
        <v>3</v>
      </c>
      <c r="B4" t="s">
        <v>1</v>
      </c>
      <c r="C4">
        <v>0</v>
      </c>
      <c r="D4" t="str">
        <f t="shared" si="0"/>
        <v>*</v>
      </c>
      <c r="E4" t="str">
        <f t="shared" si="1"/>
        <v>b) La inferioridad social del excluído.</v>
      </c>
    </row>
    <row r="5" spans="1:5" x14ac:dyDescent="0.25">
      <c r="A5">
        <v>4</v>
      </c>
      <c r="B5" t="s">
        <v>2</v>
      </c>
      <c r="C5">
        <v>0</v>
      </c>
      <c r="D5" t="str">
        <f t="shared" si="0"/>
        <v>c</v>
      </c>
      <c r="E5" t="str">
        <f t="shared" si="1"/>
        <v>c) La necesidad de medicación permanente.</v>
      </c>
    </row>
    <row r="6" spans="1:5" x14ac:dyDescent="0.25">
      <c r="A6">
        <v>5</v>
      </c>
      <c r="B6" t="s">
        <v>3</v>
      </c>
      <c r="C6">
        <v>0</v>
      </c>
      <c r="D6" t="str">
        <f t="shared" si="0"/>
        <v>d</v>
      </c>
      <c r="E6" t="str">
        <f t="shared" si="1"/>
        <v>d) Las técnicas invasoras.</v>
      </c>
    </row>
    <row r="7" spans="1:5" x14ac:dyDescent="0.25">
      <c r="A7">
        <v>6</v>
      </c>
      <c r="B7" t="s">
        <v>1598</v>
      </c>
      <c r="C7">
        <v>1</v>
      </c>
      <c r="D7" t="str">
        <f t="shared" si="0"/>
        <v>S</v>
      </c>
      <c r="E7" t="str">
        <f t="shared" si="1"/>
        <v>Según Bourdieu y Wacquant ¿Cúales son las fuerzas que son activas en el campo y que, por lo mismo, el analista selecciona como pertinentes, porque producen las diferencias más importantes?</v>
      </c>
    </row>
    <row r="8" spans="1:5" x14ac:dyDescent="0.25">
      <c r="A8">
        <v>7</v>
      </c>
      <c r="B8" t="s">
        <v>4</v>
      </c>
      <c r="C8">
        <v>0</v>
      </c>
      <c r="D8" t="str">
        <f t="shared" si="0"/>
        <v>a</v>
      </c>
      <c r="E8" t="str">
        <f t="shared" si="1"/>
        <v>a) Las que concentran el poder simbólico.</v>
      </c>
    </row>
    <row r="9" spans="1:5" x14ac:dyDescent="0.25">
      <c r="A9">
        <v>8</v>
      </c>
      <c r="B9" t="s">
        <v>5</v>
      </c>
      <c r="C9">
        <v>0</v>
      </c>
      <c r="D9" t="str">
        <f t="shared" si="0"/>
        <v>*</v>
      </c>
      <c r="E9" t="str">
        <f t="shared" si="1"/>
        <v>b) Las que definen el capital específico.</v>
      </c>
    </row>
    <row r="10" spans="1:5" x14ac:dyDescent="0.25">
      <c r="A10">
        <v>9</v>
      </c>
      <c r="B10" t="s">
        <v>6</v>
      </c>
      <c r="C10">
        <v>0</v>
      </c>
      <c r="D10" t="str">
        <f t="shared" si="0"/>
        <v>c</v>
      </c>
      <c r="E10" t="str">
        <f t="shared" si="1"/>
        <v>c) Las que recurren bagaje cultural.</v>
      </c>
    </row>
    <row r="11" spans="1:5" x14ac:dyDescent="0.25">
      <c r="A11">
        <v>10</v>
      </c>
      <c r="B11" t="s">
        <v>7</v>
      </c>
      <c r="C11">
        <v>0</v>
      </c>
      <c r="D11" t="str">
        <f t="shared" si="0"/>
        <v>d</v>
      </c>
      <c r="E11" t="str">
        <f t="shared" si="1"/>
        <v>d) Las que tienen el apoyo de la comunidad.</v>
      </c>
    </row>
    <row r="12" spans="1:5" x14ac:dyDescent="0.25">
      <c r="A12">
        <v>11</v>
      </c>
      <c r="B12" s="1" t="s">
        <v>1599</v>
      </c>
      <c r="C12">
        <v>1</v>
      </c>
      <c r="D12" t="str">
        <f t="shared" si="0"/>
        <v>P</v>
      </c>
      <c r="E12" t="str">
        <f t="shared" si="1"/>
        <v>Para Gustavo Parra, los elementos en la génesis de la profesión, marcaron y acompañaron su desarrollo histórico, entre ellos un posicionamiento ideológico, una legitimación de la práctica profesional que provenía fundamentalmente de las clases dominantes. ¿Cúal es el otro elemento que menciona Parra?</v>
      </c>
    </row>
    <row r="13" spans="1:5" x14ac:dyDescent="0.25">
      <c r="A13">
        <v>12</v>
      </c>
      <c r="B13" t="s">
        <v>8</v>
      </c>
      <c r="C13">
        <v>0</v>
      </c>
      <c r="D13" t="str">
        <f t="shared" si="0"/>
        <v>a</v>
      </c>
      <c r="E13" t="str">
        <f t="shared" si="1"/>
        <v>a) La caridad que atendía prioritariamente a niños, mujeres y enfermos.</v>
      </c>
    </row>
    <row r="14" spans="1:5" x14ac:dyDescent="0.25">
      <c r="A14">
        <v>13</v>
      </c>
      <c r="B14" t="s">
        <v>9</v>
      </c>
      <c r="C14">
        <v>0</v>
      </c>
      <c r="D14" t="str">
        <f t="shared" si="0"/>
        <v>b</v>
      </c>
      <c r="E14" t="str">
        <f t="shared" si="1"/>
        <v>b) Un dogmatismo religioso que resaltaba la moral y las buenas costumbres.</v>
      </c>
    </row>
    <row r="15" spans="1:5" x14ac:dyDescent="0.25">
      <c r="A15">
        <v>14</v>
      </c>
      <c r="B15" t="s">
        <v>10</v>
      </c>
      <c r="C15">
        <v>0</v>
      </c>
      <c r="D15" t="str">
        <f t="shared" si="0"/>
        <v>*</v>
      </c>
      <c r="E15" t="str">
        <f t="shared" si="1"/>
        <v>c) Un humanismo que priorizaba al individuo y la familia.</v>
      </c>
    </row>
    <row r="16" spans="1:5" x14ac:dyDescent="0.25">
      <c r="A16">
        <v>15</v>
      </c>
      <c r="B16" t="s">
        <v>11</v>
      </c>
      <c r="C16">
        <v>0</v>
      </c>
      <c r="D16" t="str">
        <f t="shared" si="0"/>
        <v>d</v>
      </c>
      <c r="E16" t="str">
        <f t="shared" si="1"/>
        <v>d) Una racionalidad basada en el higienismo y la sanidad.</v>
      </c>
    </row>
    <row r="17" spans="1:5" x14ac:dyDescent="0.25">
      <c r="A17">
        <v>16</v>
      </c>
      <c r="B17" s="1" t="s">
        <v>1600</v>
      </c>
      <c r="C17">
        <v>1</v>
      </c>
      <c r="D17" t="str">
        <f t="shared" si="0"/>
        <v>S</v>
      </c>
      <c r="E17" t="str">
        <f t="shared" si="1"/>
        <v>Según Gustavo Parra, la Iglesia ante el proceso de secularización capitalista y su pérdida de hegemonía, intentó recuperar poder junto al Estado. A través de diversas Encíclicas se hizo un llamamiento a los católicos y se presentó una programática para atender a los problemas sociales. ¿Como qué era entendida en estos documentos la cuestión social?</v>
      </c>
    </row>
    <row r="18" spans="1:5" x14ac:dyDescent="0.25">
      <c r="A18">
        <v>17</v>
      </c>
      <c r="B18" t="s">
        <v>12</v>
      </c>
      <c r="C18">
        <v>0</v>
      </c>
      <c r="D18" t="str">
        <f t="shared" si="0"/>
        <v>a</v>
      </c>
      <c r="E18" t="str">
        <f t="shared" si="1"/>
        <v>a) Una divergencia entre diferentes cultos.</v>
      </c>
    </row>
    <row r="19" spans="1:5" x14ac:dyDescent="0.25">
      <c r="A19">
        <v>18</v>
      </c>
      <c r="B19" t="s">
        <v>13</v>
      </c>
      <c r="C19">
        <v>0</v>
      </c>
      <c r="D19" t="str">
        <f t="shared" si="0"/>
        <v>b</v>
      </c>
      <c r="E19" t="str">
        <f t="shared" si="1"/>
        <v>b) La demonización del movimiento obrero.</v>
      </c>
    </row>
    <row r="20" spans="1:5" x14ac:dyDescent="0.25">
      <c r="A20">
        <v>19</v>
      </c>
      <c r="B20" t="s">
        <v>14</v>
      </c>
      <c r="C20">
        <v>0</v>
      </c>
      <c r="D20" t="str">
        <f t="shared" si="0"/>
        <v>*</v>
      </c>
      <c r="E20" t="str">
        <f t="shared" si="1"/>
        <v>c) Un problema moral y religioso.</v>
      </c>
    </row>
    <row r="21" spans="1:5" x14ac:dyDescent="0.25">
      <c r="A21">
        <v>20</v>
      </c>
      <c r="B21" t="s">
        <v>15</v>
      </c>
      <c r="C21">
        <v>0</v>
      </c>
      <c r="D21" t="str">
        <f t="shared" si="0"/>
        <v>d</v>
      </c>
      <c r="E21" t="str">
        <f t="shared" si="1"/>
        <v>d) Un proceso ideológico y de ruptura espiritual.</v>
      </c>
    </row>
    <row r="22" spans="1:5" x14ac:dyDescent="0.25">
      <c r="A22">
        <v>21</v>
      </c>
      <c r="B22" t="s">
        <v>1601</v>
      </c>
      <c r="C22">
        <v>1</v>
      </c>
      <c r="D22" t="str">
        <f t="shared" si="0"/>
        <v>S</v>
      </c>
      <c r="E22" t="str">
        <f t="shared" si="1"/>
        <v>Según Edith Fuentes, en el ámbito hospitalario, ¿Para qué se utiliza el recurso de la internación en los niños en situación de vulnerabilidad?</v>
      </c>
    </row>
    <row r="23" spans="1:5" x14ac:dyDescent="0.25">
      <c r="A23">
        <v>22</v>
      </c>
      <c r="B23" t="s">
        <v>16</v>
      </c>
      <c r="C23">
        <v>0</v>
      </c>
      <c r="D23" t="str">
        <f t="shared" si="0"/>
        <v>a</v>
      </c>
      <c r="E23" t="str">
        <f t="shared" si="1"/>
        <v>a) Como estrategia judicial dilatoria.</v>
      </c>
    </row>
    <row r="24" spans="1:5" x14ac:dyDescent="0.25">
      <c r="A24">
        <v>23</v>
      </c>
      <c r="B24" t="s">
        <v>17</v>
      </c>
      <c r="C24">
        <v>0</v>
      </c>
      <c r="D24" t="str">
        <f t="shared" si="0"/>
        <v>b</v>
      </c>
      <c r="E24" t="str">
        <f t="shared" si="1"/>
        <v>b) Proporcionarle al equipo de salud tiempo para hacer las evaluaciones.</v>
      </c>
    </row>
    <row r="25" spans="1:5" x14ac:dyDescent="0.25">
      <c r="A25">
        <v>24</v>
      </c>
      <c r="B25" t="s">
        <v>18</v>
      </c>
      <c r="C25">
        <v>0</v>
      </c>
      <c r="D25" t="str">
        <f t="shared" si="0"/>
        <v>*</v>
      </c>
      <c r="E25" t="str">
        <f t="shared" si="1"/>
        <v>c) Garantizar la seguridad a la que tienen derecho.</v>
      </c>
    </row>
    <row r="26" spans="1:5" x14ac:dyDescent="0.25">
      <c r="A26">
        <v>25</v>
      </c>
      <c r="B26" t="s">
        <v>19</v>
      </c>
      <c r="C26">
        <v>0</v>
      </c>
      <c r="D26" t="str">
        <f t="shared" si="0"/>
        <v>d</v>
      </c>
      <c r="E26" t="str">
        <f t="shared" si="1"/>
        <v>d) Separarlos de su ámbito familiar iatrogénico.</v>
      </c>
    </row>
    <row r="27" spans="1:5" x14ac:dyDescent="0.25">
      <c r="A27">
        <v>26</v>
      </c>
      <c r="B27" t="s">
        <v>1602</v>
      </c>
      <c r="C27">
        <v>1</v>
      </c>
      <c r="D27" t="str">
        <f t="shared" si="0"/>
        <v>M</v>
      </c>
      <c r="E27" t="str">
        <f t="shared" si="1"/>
        <v>Maria Eugenia Royer, plantea la definición de los problemas de salud desde una perspectiva poblacional sustentada en los aportes de la  epidemiología y demografía. ¿Cúales son las principales variables de la dinámica demográfica citadas por la autora?</v>
      </c>
    </row>
    <row r="28" spans="1:5" x14ac:dyDescent="0.25">
      <c r="A28">
        <v>27</v>
      </c>
      <c r="B28" t="s">
        <v>20</v>
      </c>
      <c r="C28">
        <v>0</v>
      </c>
      <c r="D28" t="str">
        <f t="shared" si="0"/>
        <v>a</v>
      </c>
      <c r="E28" t="str">
        <f t="shared" si="1"/>
        <v>a) Distribución etárea, niveles de ingreso y distribución geográfica.</v>
      </c>
    </row>
    <row r="29" spans="1:5" x14ac:dyDescent="0.25">
      <c r="A29">
        <v>28</v>
      </c>
      <c r="B29" t="s">
        <v>21</v>
      </c>
      <c r="C29">
        <v>0</v>
      </c>
      <c r="D29" t="str">
        <f t="shared" si="0"/>
        <v>b</v>
      </c>
      <c r="E29" t="str">
        <f t="shared" si="1"/>
        <v>b) Defunciones, fecundidad e inmigración.</v>
      </c>
    </row>
    <row r="30" spans="1:5" x14ac:dyDescent="0.25">
      <c r="A30">
        <v>29</v>
      </c>
      <c r="B30" t="s">
        <v>22</v>
      </c>
      <c r="C30">
        <v>0</v>
      </c>
      <c r="D30" t="str">
        <f t="shared" si="0"/>
        <v>*</v>
      </c>
      <c r="E30" t="str">
        <f t="shared" si="1"/>
        <v>c) Edad, sexo y nivel de instrucción.</v>
      </c>
    </row>
    <row r="31" spans="1:5" x14ac:dyDescent="0.25">
      <c r="A31">
        <v>30</v>
      </c>
      <c r="B31" t="s">
        <v>23</v>
      </c>
      <c r="C31">
        <v>0</v>
      </c>
      <c r="D31" t="str">
        <f t="shared" si="0"/>
        <v>d</v>
      </c>
      <c r="E31" t="str">
        <f t="shared" si="1"/>
        <v>d) Mortalidad, natalidad y migración.</v>
      </c>
    </row>
    <row r="32" spans="1:5" x14ac:dyDescent="0.25">
      <c r="A32">
        <v>31</v>
      </c>
      <c r="B32" s="1" t="s">
        <v>1603</v>
      </c>
      <c r="C32">
        <v>1</v>
      </c>
      <c r="D32" t="str">
        <f t="shared" si="0"/>
        <v>E</v>
      </c>
      <c r="E32" t="str">
        <f t="shared" si="1"/>
        <v>El equipo del Ministerio de Salud debe definir prioridades en la salud de la población para ejecutar su presupuesto. En las estadísticas de los últimos años observa que la denuncia de embarazo adolescente ha ido creciendo un 2% anual. ¿A qué tasa nos referimos cuando decimos que crece un 2% por año?</v>
      </c>
    </row>
    <row r="33" spans="1:5" x14ac:dyDescent="0.25">
      <c r="A33">
        <v>32</v>
      </c>
      <c r="B33" t="s">
        <v>24</v>
      </c>
      <c r="C33">
        <v>0</v>
      </c>
      <c r="D33" t="str">
        <f t="shared" si="0"/>
        <v>a</v>
      </c>
      <c r="E33" t="str">
        <f t="shared" si="1"/>
        <v>a) Bruta.</v>
      </c>
    </row>
    <row r="34" spans="1:5" x14ac:dyDescent="0.25">
      <c r="A34">
        <v>33</v>
      </c>
      <c r="B34" t="s">
        <v>25</v>
      </c>
      <c r="C34">
        <v>0</v>
      </c>
      <c r="D34" t="str">
        <f t="shared" si="0"/>
        <v>b</v>
      </c>
      <c r="E34" t="str">
        <f t="shared" si="1"/>
        <v>b) Específica.</v>
      </c>
    </row>
    <row r="35" spans="1:5" x14ac:dyDescent="0.25">
      <c r="A35">
        <v>34</v>
      </c>
      <c r="B35" t="s">
        <v>26</v>
      </c>
      <c r="C35">
        <v>0</v>
      </c>
      <c r="D35" t="str">
        <f t="shared" si="0"/>
        <v>*</v>
      </c>
      <c r="E35" t="str">
        <f t="shared" si="1"/>
        <v>c) Incidencia.</v>
      </c>
    </row>
    <row r="36" spans="1:5" x14ac:dyDescent="0.25">
      <c r="A36">
        <v>35</v>
      </c>
      <c r="B36" t="s">
        <v>27</v>
      </c>
      <c r="C36">
        <v>0</v>
      </c>
      <c r="D36" t="str">
        <f t="shared" si="0"/>
        <v>d</v>
      </c>
      <c r="E36" t="str">
        <f t="shared" si="1"/>
        <v>d) Prevalencia.</v>
      </c>
    </row>
    <row r="37" spans="1:5" x14ac:dyDescent="0.25">
      <c r="A37">
        <v>36</v>
      </c>
      <c r="B37" t="s">
        <v>1604</v>
      </c>
      <c r="C37">
        <v>1</v>
      </c>
      <c r="D37" t="str">
        <f t="shared" si="0"/>
        <v>P</v>
      </c>
      <c r="E37" t="str">
        <f t="shared" si="1"/>
        <v>Para Carballeda. ¿Qué permiten, durante la intervención, las entrevistas signadas por relatos de historias de vida, biografías o acontecimientos significativos?</v>
      </c>
    </row>
    <row r="38" spans="1:5" x14ac:dyDescent="0.25">
      <c r="A38">
        <v>37</v>
      </c>
      <c r="B38" t="s">
        <v>28</v>
      </c>
      <c r="C38">
        <v>0</v>
      </c>
      <c r="D38" t="str">
        <f t="shared" si="0"/>
        <v>a</v>
      </c>
      <c r="E38" t="str">
        <f t="shared" si="1"/>
        <v>a) Redimensionar los datos inespecíficos surgidos de la entrevista.</v>
      </c>
    </row>
    <row r="39" spans="1:5" x14ac:dyDescent="0.25">
      <c r="A39">
        <v>38</v>
      </c>
      <c r="B39" t="s">
        <v>29</v>
      </c>
      <c r="C39">
        <v>0</v>
      </c>
      <c r="D39" t="str">
        <f t="shared" si="0"/>
        <v>b</v>
      </c>
      <c r="E39" t="str">
        <f t="shared" si="1"/>
        <v>b) Reconstruir la historia laboral para su futura reinserción.</v>
      </c>
    </row>
    <row r="40" spans="1:5" x14ac:dyDescent="0.25">
      <c r="A40">
        <v>39</v>
      </c>
      <c r="B40" t="s">
        <v>30</v>
      </c>
      <c r="C40">
        <v>0</v>
      </c>
      <c r="D40" t="str">
        <f t="shared" si="0"/>
        <v>c</v>
      </c>
      <c r="E40" t="str">
        <f t="shared" si="1"/>
        <v>c) Reflexionar sobre los aspectos cualitativos del sujeto.</v>
      </c>
    </row>
    <row r="41" spans="1:5" x14ac:dyDescent="0.25">
      <c r="A41">
        <v>40</v>
      </c>
      <c r="B41" t="s">
        <v>31</v>
      </c>
      <c r="C41">
        <v>0</v>
      </c>
      <c r="D41" t="str">
        <f t="shared" si="0"/>
        <v>*</v>
      </c>
      <c r="E41" t="str">
        <f t="shared" si="1"/>
        <v>d) Relacionar acontecimientos del presente con una revisión del pasado.</v>
      </c>
    </row>
    <row r="42" spans="1:5" x14ac:dyDescent="0.25">
      <c r="A42">
        <v>41</v>
      </c>
      <c r="B42" t="s">
        <v>1605</v>
      </c>
      <c r="C42">
        <v>1</v>
      </c>
      <c r="D42" t="str">
        <f t="shared" si="0"/>
        <v>¿</v>
      </c>
      <c r="E42" t="str">
        <f t="shared" si="1"/>
        <v>¿Cúal es, según Estela Grassi la racionalidad dominante, como guía de la acción, la organización y la gestión que subyace a la modalidad gerencial?</v>
      </c>
    </row>
    <row r="43" spans="1:5" x14ac:dyDescent="0.25">
      <c r="A43">
        <v>42</v>
      </c>
      <c r="B43" t="s">
        <v>32</v>
      </c>
      <c r="C43">
        <v>0</v>
      </c>
      <c r="D43" t="str">
        <f t="shared" si="0"/>
        <v>a</v>
      </c>
      <c r="E43" t="str">
        <f t="shared" si="1"/>
        <v>a) La idea de un marco teórico apolítico-amoral</v>
      </c>
    </row>
    <row r="44" spans="1:5" x14ac:dyDescent="0.25">
      <c r="A44">
        <v>43</v>
      </c>
      <c r="B44" t="s">
        <v>33</v>
      </c>
      <c r="C44">
        <v>0</v>
      </c>
      <c r="D44" t="str">
        <f t="shared" si="0"/>
        <v>*</v>
      </c>
      <c r="E44" t="str">
        <f t="shared" si="1"/>
        <v>b) La pretención de una racionalidad técnico-burocrática.</v>
      </c>
    </row>
    <row r="45" spans="1:5" x14ac:dyDescent="0.25">
      <c r="A45">
        <v>44</v>
      </c>
      <c r="B45" t="s">
        <v>34</v>
      </c>
      <c r="C45">
        <v>0</v>
      </c>
      <c r="D45" t="str">
        <f t="shared" si="0"/>
        <v>c</v>
      </c>
      <c r="E45" t="str">
        <f t="shared" si="1"/>
        <v>c) El sentido de beneficiencia compensatorio-complementario.</v>
      </c>
    </row>
    <row r="46" spans="1:5" x14ac:dyDescent="0.25">
      <c r="A46">
        <v>45</v>
      </c>
      <c r="B46" t="s">
        <v>35</v>
      </c>
      <c r="C46">
        <v>0</v>
      </c>
      <c r="D46" t="str">
        <f t="shared" si="0"/>
        <v>d</v>
      </c>
      <c r="E46" t="str">
        <f t="shared" si="1"/>
        <v>d) El valor de la competitividad curricular-formativa</v>
      </c>
    </row>
    <row r="47" spans="1:5" x14ac:dyDescent="0.25">
      <c r="A47">
        <v>46</v>
      </c>
      <c r="B47" t="s">
        <v>1606</v>
      </c>
      <c r="C47">
        <v>1</v>
      </c>
      <c r="D47" t="str">
        <f t="shared" si="0"/>
        <v>C</v>
      </c>
      <c r="E47" t="str">
        <f t="shared" si="1"/>
        <v>Cuando Gattino y Flores, dicen que la familia cuenta con tres fuentes de provisión de recursos para la satifacción de sus necesidades, ¿A qué se refieren cuando hablan de "las transferencias informales"?</v>
      </c>
    </row>
    <row r="48" spans="1:5" x14ac:dyDescent="0.25">
      <c r="A48">
        <v>47</v>
      </c>
      <c r="B48" t="s">
        <v>365</v>
      </c>
      <c r="C48">
        <v>0</v>
      </c>
      <c r="D48" t="str">
        <f t="shared" si="0"/>
        <v>*</v>
      </c>
      <c r="E48" t="str">
        <f t="shared" si="1"/>
        <v>a) Las basadas en las redes de parientes y vecinos donde se da el intercambio, la reciprocidad o ayuda mutua.</v>
      </c>
    </row>
    <row r="49" spans="1:5" x14ac:dyDescent="0.25">
      <c r="A49">
        <v>48</v>
      </c>
      <c r="B49" t="s">
        <v>366</v>
      </c>
      <c r="C49">
        <v>0</v>
      </c>
      <c r="D49" t="str">
        <f t="shared" si="0"/>
        <v>b</v>
      </c>
      <c r="E49" t="str">
        <f t="shared" si="1"/>
        <v>b) Las ayudas espirituales y de recursos que proporcionan la Iglesia y los grupos evangélicos.</v>
      </c>
    </row>
    <row r="50" spans="1:5" x14ac:dyDescent="0.25">
      <c r="A50">
        <v>49</v>
      </c>
      <c r="B50" t="s">
        <v>367</v>
      </c>
      <c r="C50">
        <v>0</v>
      </c>
      <c r="D50" t="str">
        <f t="shared" si="0"/>
        <v>c</v>
      </c>
      <c r="E50" t="str">
        <f t="shared" si="1"/>
        <v>c) La obtención de recursos fruto del trabajo no formal, la mendicidad o la recolección de cartones.</v>
      </c>
    </row>
    <row r="51" spans="1:5" x14ac:dyDescent="0.25">
      <c r="A51">
        <v>50</v>
      </c>
      <c r="B51" t="s">
        <v>368</v>
      </c>
      <c r="C51">
        <v>0</v>
      </c>
      <c r="D51" t="str">
        <f t="shared" si="0"/>
        <v>d</v>
      </c>
      <c r="E51" t="str">
        <f t="shared" si="1"/>
        <v>d) Los soportes afectivos y sociales que proporciona la red de instituciones barriales y grupos comunitarios.</v>
      </c>
    </row>
    <row r="52" spans="1:5" x14ac:dyDescent="0.25">
      <c r="A52">
        <v>51</v>
      </c>
      <c r="B52" s="1" t="s">
        <v>1607</v>
      </c>
      <c r="C52">
        <v>1</v>
      </c>
      <c r="D52" t="str">
        <f t="shared" si="0"/>
        <v>S</v>
      </c>
      <c r="E52" t="str">
        <f t="shared" si="1"/>
        <v>Sonia Fleury describe a los tres modelos de política social , según la tipología de Titmus. ¿Cómo se denomina el modelo de Política Social que se caracteriza por la solución de las necesidades sociales a partir de las posibilidades del mercado, en términos individuales o en pequeños grupos siendo la familia el grupo fundamental?</v>
      </c>
    </row>
    <row r="53" spans="1:5" x14ac:dyDescent="0.25">
      <c r="A53">
        <v>52</v>
      </c>
      <c r="B53" t="s">
        <v>36</v>
      </c>
      <c r="C53">
        <v>0</v>
      </c>
      <c r="D53" t="str">
        <f t="shared" si="0"/>
        <v>a</v>
      </c>
      <c r="E53" t="str">
        <f t="shared" si="1"/>
        <v>a) Endogenista.</v>
      </c>
    </row>
    <row r="54" spans="1:5" x14ac:dyDescent="0.25">
      <c r="A54">
        <v>53</v>
      </c>
      <c r="B54" t="s">
        <v>37</v>
      </c>
      <c r="C54">
        <v>0</v>
      </c>
      <c r="D54" t="str">
        <f t="shared" si="0"/>
        <v>b</v>
      </c>
      <c r="E54" t="str">
        <f t="shared" si="1"/>
        <v>b) Focalizada.</v>
      </c>
    </row>
    <row r="55" spans="1:5" x14ac:dyDescent="0.25">
      <c r="A55">
        <v>54</v>
      </c>
      <c r="B55" t="s">
        <v>38</v>
      </c>
      <c r="C55">
        <v>0</v>
      </c>
      <c r="D55" t="str">
        <f t="shared" si="0"/>
        <v>c</v>
      </c>
      <c r="E55" t="str">
        <f t="shared" si="1"/>
        <v>c) Fragmentaria.</v>
      </c>
    </row>
    <row r="56" spans="1:5" x14ac:dyDescent="0.25">
      <c r="A56">
        <v>55</v>
      </c>
      <c r="B56" t="s">
        <v>39</v>
      </c>
      <c r="C56">
        <v>0</v>
      </c>
      <c r="D56" t="str">
        <f t="shared" si="0"/>
        <v>*</v>
      </c>
      <c r="E56" t="str">
        <f t="shared" si="1"/>
        <v>d) Residual.</v>
      </c>
    </row>
    <row r="57" spans="1:5" x14ac:dyDescent="0.25">
      <c r="A57">
        <v>56</v>
      </c>
      <c r="B57" s="1" t="s">
        <v>1608</v>
      </c>
      <c r="C57">
        <v>1</v>
      </c>
      <c r="D57" t="str">
        <f t="shared" si="0"/>
        <v>E</v>
      </c>
      <c r="E57" t="str">
        <f t="shared" si="1"/>
        <v>En su artículo Sonia Fleury, hace mención a los desafíos actuales que enfrenta el Welfare: en la línea de los teóricos integracionistas serían: el envejecimiento de la población, los cambios sexuales en la división del trabajo y la necesidad de nuevos contratos inter generación y los sexos. ¿Cúal sería el tercero?</v>
      </c>
    </row>
    <row r="58" spans="1:5" x14ac:dyDescent="0.25">
      <c r="A58">
        <v>57</v>
      </c>
      <c r="B58" t="s">
        <v>370</v>
      </c>
      <c r="C58">
        <v>0</v>
      </c>
      <c r="D58" t="str">
        <f t="shared" si="0"/>
        <v>*</v>
      </c>
      <c r="E58" t="str">
        <f t="shared" si="1"/>
        <v>a) El cambio de valores y la necesidad de un nuevo contrato entre Estado y ciudadanos. b) El enfrentamiento racial y la necesidad de acuerdos de integración interraciales.</v>
      </c>
    </row>
    <row r="59" spans="1:5" x14ac:dyDescent="0.25">
      <c r="A59">
        <v>58</v>
      </c>
      <c r="B59" t="s">
        <v>400</v>
      </c>
      <c r="C59">
        <v>0</v>
      </c>
      <c r="D59" t="str">
        <f t="shared" si="0"/>
        <v xml:space="preserve"> </v>
      </c>
      <c r="E59" t="str">
        <f t="shared" si="1"/>
        <v xml:space="preserve"> b) El enfrentamiento racial y la necesidad de acuerdos de integración interraciales.</v>
      </c>
    </row>
    <row r="60" spans="1:5" x14ac:dyDescent="0.25">
      <c r="A60">
        <v>59</v>
      </c>
      <c r="B60" t="s">
        <v>396</v>
      </c>
      <c r="C60">
        <v>0</v>
      </c>
      <c r="D60" t="str">
        <f t="shared" si="0"/>
        <v>c</v>
      </c>
      <c r="E60" t="str">
        <f t="shared" si="1"/>
        <v>c) Los movimientos migratorios mundiales y la importancia de contratos y acuerdos transnacionales.</v>
      </c>
    </row>
    <row r="61" spans="1:5" x14ac:dyDescent="0.25">
      <c r="A61">
        <v>60</v>
      </c>
      <c r="B61" t="s">
        <v>397</v>
      </c>
      <c r="C61">
        <v>0</v>
      </c>
      <c r="D61" t="str">
        <f t="shared" si="0"/>
        <v>d</v>
      </c>
      <c r="E61" t="str">
        <f t="shared" si="1"/>
        <v>d) Las problemáticas ecológicas que trajeron aparejadas el resurgimiento de epidemias erradicadas.</v>
      </c>
    </row>
    <row r="62" spans="1:5" x14ac:dyDescent="0.25">
      <c r="A62">
        <v>61</v>
      </c>
      <c r="B62" s="1" t="s">
        <v>1609</v>
      </c>
      <c r="C62">
        <v>1</v>
      </c>
      <c r="D62" t="str">
        <f t="shared" si="0"/>
        <v>E</v>
      </c>
      <c r="E62" t="str">
        <f t="shared" si="1"/>
        <v>En su artículo Mabel Grimberg, refiere que tanto en la problemática de prevención al VIH-Sida,como en programas preventivos y en gran parte de la bibliografía clínica, epidemiológica y de las ciencias sociales, existe todavía una concepción predominante sobre la juventud y los jóvenes como "problema social". ¿Cómo es esa concepción?</v>
      </c>
    </row>
    <row r="63" spans="1:5" x14ac:dyDescent="0.25">
      <c r="A63">
        <v>62</v>
      </c>
      <c r="B63" t="s">
        <v>42</v>
      </c>
      <c r="C63">
        <v>0</v>
      </c>
      <c r="D63" t="str">
        <f t="shared" si="0"/>
        <v>a</v>
      </c>
      <c r="E63" t="str">
        <f t="shared" si="1"/>
        <v>a) Dialéctica, crítica y progresista.</v>
      </c>
    </row>
    <row r="64" spans="1:5" x14ac:dyDescent="0.25">
      <c r="A64">
        <v>63</v>
      </c>
      <c r="B64" t="s">
        <v>43</v>
      </c>
      <c r="C64">
        <v>0</v>
      </c>
      <c r="D64" t="str">
        <f t="shared" si="0"/>
        <v>b</v>
      </c>
      <c r="E64" t="str">
        <f t="shared" si="1"/>
        <v>b) Singular, particular y universal.</v>
      </c>
    </row>
    <row r="65" spans="1:5" x14ac:dyDescent="0.25">
      <c r="A65">
        <v>64</v>
      </c>
      <c r="B65" t="s">
        <v>44</v>
      </c>
      <c r="C65">
        <v>0</v>
      </c>
      <c r="D65" t="str">
        <f t="shared" si="0"/>
        <v>c</v>
      </c>
      <c r="E65" t="str">
        <f t="shared" si="1"/>
        <v>c) Retrógrada , hegemómica y conservadora.</v>
      </c>
    </row>
    <row r="66" spans="1:5" x14ac:dyDescent="0.25">
      <c r="A66">
        <v>65</v>
      </c>
      <c r="B66" t="s">
        <v>45</v>
      </c>
      <c r="C66">
        <v>0</v>
      </c>
      <c r="D66" t="str">
        <f t="shared" si="0"/>
        <v>*</v>
      </c>
      <c r="E66" t="str">
        <f t="shared" si="1"/>
        <v>d) Universalista, ahistórica y naturalizadora.</v>
      </c>
    </row>
    <row r="67" spans="1:5" x14ac:dyDescent="0.25">
      <c r="A67">
        <v>66</v>
      </c>
      <c r="B67" t="s">
        <v>1610</v>
      </c>
      <c r="C67">
        <v>1</v>
      </c>
      <c r="D67" t="str">
        <f t="shared" ref="D67:D130" si="2">+MID(B67,1,1)</f>
        <v>D</v>
      </c>
      <c r="E67" t="str">
        <f t="shared" ref="E67:E130" si="3">+IF(D67="*",MID(B67,3,500),B67)</f>
        <v>Desde el punto de vista metodológico. ¿Qué tipo de estudio realiza Mabel Grimberg para llegar a sus conclusiones?</v>
      </c>
    </row>
    <row r="68" spans="1:5" x14ac:dyDescent="0.25">
      <c r="A68">
        <v>67</v>
      </c>
      <c r="B68" t="s">
        <v>46</v>
      </c>
      <c r="C68">
        <v>0</v>
      </c>
      <c r="D68" t="str">
        <f t="shared" si="2"/>
        <v>*</v>
      </c>
      <c r="E68" t="str">
        <f t="shared" si="3"/>
        <v>a) Etnográfico.</v>
      </c>
    </row>
    <row r="69" spans="1:5" x14ac:dyDescent="0.25">
      <c r="A69">
        <v>68</v>
      </c>
      <c r="B69" t="s">
        <v>47</v>
      </c>
      <c r="C69">
        <v>0</v>
      </c>
      <c r="D69" t="str">
        <f t="shared" si="2"/>
        <v>b</v>
      </c>
      <c r="E69" t="str">
        <f t="shared" si="3"/>
        <v>b) Internalista.</v>
      </c>
    </row>
    <row r="70" spans="1:5" x14ac:dyDescent="0.25">
      <c r="A70">
        <v>69</v>
      </c>
      <c r="B70" t="s">
        <v>48</v>
      </c>
      <c r="C70">
        <v>0</v>
      </c>
      <c r="D70" t="str">
        <f t="shared" si="2"/>
        <v>c</v>
      </c>
      <c r="E70" t="str">
        <f t="shared" si="3"/>
        <v>c) De grupo control.</v>
      </c>
    </row>
    <row r="71" spans="1:5" x14ac:dyDescent="0.25">
      <c r="A71">
        <v>70</v>
      </c>
      <c r="B71" t="s">
        <v>49</v>
      </c>
      <c r="C71">
        <v>0</v>
      </c>
      <c r="D71" t="str">
        <f t="shared" si="2"/>
        <v>d</v>
      </c>
      <c r="E71" t="str">
        <f t="shared" si="3"/>
        <v>d) Topográfico.</v>
      </c>
    </row>
    <row r="72" spans="1:5" x14ac:dyDescent="0.25">
      <c r="A72">
        <v>71</v>
      </c>
      <c r="B72" t="s">
        <v>1611</v>
      </c>
      <c r="C72">
        <v>1</v>
      </c>
      <c r="D72" t="str">
        <f t="shared" si="2"/>
        <v>P</v>
      </c>
      <c r="E72" t="str">
        <f t="shared" si="3"/>
        <v>Para Claudia Danani ¿Cúal es la noción en la que confluyen los problemas de la política social y el de la economía social como alternativa socio económica?</v>
      </c>
    </row>
    <row r="73" spans="1:5" x14ac:dyDescent="0.25">
      <c r="A73">
        <v>72</v>
      </c>
      <c r="B73" t="s">
        <v>50</v>
      </c>
      <c r="C73">
        <v>0</v>
      </c>
      <c r="D73" t="str">
        <f t="shared" si="2"/>
        <v>a</v>
      </c>
      <c r="E73" t="str">
        <f t="shared" si="3"/>
        <v>a) Demandas desmedidas.</v>
      </c>
    </row>
    <row r="74" spans="1:5" x14ac:dyDescent="0.25">
      <c r="A74">
        <v>73</v>
      </c>
      <c r="B74" t="s">
        <v>51</v>
      </c>
      <c r="C74">
        <v>0</v>
      </c>
      <c r="D74" t="str">
        <f t="shared" si="2"/>
        <v>b</v>
      </c>
      <c r="E74" t="str">
        <f t="shared" si="3"/>
        <v>b) Exigencias básicas.</v>
      </c>
    </row>
    <row r="75" spans="1:5" x14ac:dyDescent="0.25">
      <c r="A75">
        <v>74</v>
      </c>
      <c r="B75" t="s">
        <v>52</v>
      </c>
      <c r="C75">
        <v>0</v>
      </c>
      <c r="D75" t="str">
        <f t="shared" si="2"/>
        <v>*</v>
      </c>
      <c r="E75" t="str">
        <f t="shared" si="3"/>
        <v>c) Necesidades legítimas.</v>
      </c>
    </row>
    <row r="76" spans="1:5" x14ac:dyDescent="0.25">
      <c r="A76">
        <v>75</v>
      </c>
      <c r="B76" t="s">
        <v>53</v>
      </c>
      <c r="C76">
        <v>0</v>
      </c>
      <c r="D76" t="str">
        <f t="shared" si="2"/>
        <v>d</v>
      </c>
      <c r="E76" t="str">
        <f t="shared" si="3"/>
        <v>d) Protección de la vulnerabilidad.</v>
      </c>
    </row>
    <row r="77" spans="1:5" x14ac:dyDescent="0.25">
      <c r="A77">
        <v>76</v>
      </c>
      <c r="B77" s="1" t="s">
        <v>1612</v>
      </c>
      <c r="C77">
        <v>1</v>
      </c>
      <c r="D77" t="str">
        <f t="shared" si="2"/>
        <v>S</v>
      </c>
      <c r="E77" t="str">
        <f t="shared" si="3"/>
        <v>Según Claudia Danani, ¿Cúal es el origen donde se desarrolla las idea de Economía Social como estrategia dirigida a los sectores populares (...) con vistas a disminuir el coste social de su reproducción para obtener un número deseable de trabajadores con un mínimo de gasto público?</v>
      </c>
    </row>
    <row r="78" spans="1:5" x14ac:dyDescent="0.25">
      <c r="A78">
        <v>77</v>
      </c>
      <c r="B78" t="s">
        <v>54</v>
      </c>
      <c r="C78">
        <v>0</v>
      </c>
      <c r="D78" t="str">
        <f t="shared" si="2"/>
        <v>a</v>
      </c>
      <c r="E78" t="str">
        <f t="shared" si="3"/>
        <v>a) La idea del marxismo hegeliano y el movimiento anarquista.</v>
      </c>
    </row>
    <row r="79" spans="1:5" x14ac:dyDescent="0.25">
      <c r="A79">
        <v>78</v>
      </c>
      <c r="B79" t="s">
        <v>55</v>
      </c>
      <c r="C79">
        <v>0</v>
      </c>
      <c r="D79" t="str">
        <f t="shared" si="2"/>
        <v>*</v>
      </c>
      <c r="E79" t="str">
        <f t="shared" si="3"/>
        <v>b) El movimiento higienista de las corrientes filantrópicas del siglo XIX.</v>
      </c>
    </row>
    <row r="80" spans="1:5" x14ac:dyDescent="0.25">
      <c r="A80">
        <v>79</v>
      </c>
      <c r="B80" t="s">
        <v>56</v>
      </c>
      <c r="C80">
        <v>0</v>
      </c>
      <c r="D80" t="str">
        <f t="shared" si="2"/>
        <v>c</v>
      </c>
      <c r="E80" t="str">
        <f t="shared" si="3"/>
        <v>c) El seno de la revolución burguesa del siglo XVII y la caída del régimen monárquico.</v>
      </c>
    </row>
    <row r="81" spans="1:5" x14ac:dyDescent="0.25">
      <c r="A81">
        <v>80</v>
      </c>
      <c r="B81" t="s">
        <v>57</v>
      </c>
      <c r="C81">
        <v>0</v>
      </c>
      <c r="D81" t="str">
        <f t="shared" si="2"/>
        <v>d</v>
      </c>
      <c r="E81" t="str">
        <f t="shared" si="3"/>
        <v>d) Las encíclicas de la Iglesia Católica progresista del principio del siglo XX</v>
      </c>
    </row>
    <row r="82" spans="1:5" x14ac:dyDescent="0.25">
      <c r="A82">
        <v>81</v>
      </c>
      <c r="B82" t="s">
        <v>1613</v>
      </c>
      <c r="C82">
        <v>1</v>
      </c>
      <c r="D82" t="str">
        <f t="shared" si="2"/>
        <v>C</v>
      </c>
      <c r="E82" t="str">
        <f t="shared" si="3"/>
        <v>Cuando Giddens habla de "relaciones de fiabilidad sostenidas por, o expresadas en, las conexiones establecidas dentro de las circunstancias de presencia mutua". ¿A qué esta haciendo referencia?</v>
      </c>
    </row>
    <row r="83" spans="1:5" x14ac:dyDescent="0.25">
      <c r="A83">
        <v>82</v>
      </c>
      <c r="B83" t="s">
        <v>58</v>
      </c>
      <c r="C83">
        <v>0</v>
      </c>
      <c r="D83" t="str">
        <f t="shared" si="2"/>
        <v>a</v>
      </c>
      <c r="E83" t="str">
        <f t="shared" si="3"/>
        <v>a) A anónimos poderes continentes.</v>
      </c>
    </row>
    <row r="84" spans="1:5" x14ac:dyDescent="0.25">
      <c r="A84">
        <v>83</v>
      </c>
      <c r="B84" t="s">
        <v>59</v>
      </c>
      <c r="C84">
        <v>0</v>
      </c>
      <c r="D84" t="str">
        <f t="shared" si="2"/>
        <v>*</v>
      </c>
      <c r="E84" t="str">
        <f t="shared" si="3"/>
        <v>b) A compromisos de presencia.</v>
      </c>
    </row>
    <row r="85" spans="1:5" x14ac:dyDescent="0.25">
      <c r="A85">
        <v>84</v>
      </c>
      <c r="B85" t="s">
        <v>60</v>
      </c>
      <c r="C85">
        <v>0</v>
      </c>
      <c r="D85" t="str">
        <f t="shared" si="2"/>
        <v>c</v>
      </c>
      <c r="E85" t="str">
        <f t="shared" si="3"/>
        <v>c) A la noción de desanclaje.</v>
      </c>
    </row>
    <row r="86" spans="1:5" x14ac:dyDescent="0.25">
      <c r="A86">
        <v>85</v>
      </c>
      <c r="B86" t="s">
        <v>61</v>
      </c>
      <c r="C86">
        <v>0</v>
      </c>
      <c r="D86" t="str">
        <f t="shared" si="2"/>
        <v>d</v>
      </c>
      <c r="E86" t="str">
        <f t="shared" si="3"/>
        <v>d) A sistemas localizados.</v>
      </c>
    </row>
    <row r="87" spans="1:5" x14ac:dyDescent="0.25">
      <c r="A87">
        <v>86</v>
      </c>
      <c r="B87" t="s">
        <v>1614</v>
      </c>
      <c r="C87">
        <v>1</v>
      </c>
      <c r="D87" t="str">
        <f t="shared" si="2"/>
        <v>C</v>
      </c>
      <c r="E87" t="str">
        <f t="shared" si="3"/>
        <v>Cuando Giddens aborda el tema de la fiabilidad, el "ser" o el "ser-en-el-mundo". ¿Con qué tiene que ver?</v>
      </c>
    </row>
    <row r="88" spans="1:5" x14ac:dyDescent="0.25">
      <c r="A88">
        <v>87</v>
      </c>
      <c r="B88" t="s">
        <v>62</v>
      </c>
      <c r="C88">
        <v>0</v>
      </c>
      <c r="D88" t="str">
        <f t="shared" si="2"/>
        <v>a</v>
      </c>
      <c r="E88" t="str">
        <f t="shared" si="3"/>
        <v>a) El ethos.</v>
      </c>
    </row>
    <row r="89" spans="1:5" x14ac:dyDescent="0.25">
      <c r="A89">
        <v>88</v>
      </c>
      <c r="B89" t="s">
        <v>63</v>
      </c>
      <c r="C89">
        <v>0</v>
      </c>
      <c r="D89" t="str">
        <f t="shared" si="2"/>
        <v>b</v>
      </c>
      <c r="E89" t="str">
        <f t="shared" si="3"/>
        <v>b) El existencialismo.</v>
      </c>
    </row>
    <row r="90" spans="1:5" x14ac:dyDescent="0.25">
      <c r="A90">
        <v>89</v>
      </c>
      <c r="B90" t="s">
        <v>64</v>
      </c>
      <c r="C90">
        <v>0</v>
      </c>
      <c r="D90" t="str">
        <f t="shared" si="2"/>
        <v>c</v>
      </c>
      <c r="E90" t="str">
        <f t="shared" si="3"/>
        <v>c) La noción de anclaje.</v>
      </c>
    </row>
    <row r="91" spans="1:5" x14ac:dyDescent="0.25">
      <c r="A91">
        <v>90</v>
      </c>
      <c r="B91" t="s">
        <v>65</v>
      </c>
      <c r="C91">
        <v>0</v>
      </c>
      <c r="D91" t="str">
        <f t="shared" si="2"/>
        <v>*</v>
      </c>
      <c r="E91" t="str">
        <f t="shared" si="3"/>
        <v>d) La seguridad ontológica.</v>
      </c>
    </row>
    <row r="92" spans="1:5" x14ac:dyDescent="0.25">
      <c r="A92">
        <v>91</v>
      </c>
      <c r="B92" t="s">
        <v>1615</v>
      </c>
      <c r="C92">
        <v>1</v>
      </c>
      <c r="D92" t="str">
        <f t="shared" si="2"/>
        <v>C</v>
      </c>
      <c r="E92" t="str">
        <f t="shared" si="3"/>
        <v>Cuando Aguilar Idañez enuncia los principios que deben orientar la evaluación del rendimiento. ¿A cúal de ellos cita al referirse a la necesidad de evaluar los aspectos más importantes y decisivos del rendimiento?</v>
      </c>
    </row>
    <row r="93" spans="1:5" x14ac:dyDescent="0.25">
      <c r="A93">
        <v>92</v>
      </c>
      <c r="B93" t="s">
        <v>66</v>
      </c>
      <c r="C93">
        <v>0</v>
      </c>
      <c r="D93" t="str">
        <f t="shared" si="2"/>
        <v>a</v>
      </c>
      <c r="E93" t="str">
        <f t="shared" si="3"/>
        <v>a) Aceptación institucional.</v>
      </c>
    </row>
    <row r="94" spans="1:5" x14ac:dyDescent="0.25">
      <c r="A94">
        <v>93</v>
      </c>
      <c r="B94" t="s">
        <v>67</v>
      </c>
      <c r="C94">
        <v>0</v>
      </c>
      <c r="D94" t="str">
        <f t="shared" si="2"/>
        <v>*</v>
      </c>
      <c r="E94" t="str">
        <f t="shared" si="3"/>
        <v>b) Medición múltiple.</v>
      </c>
    </row>
    <row r="95" spans="1:5" x14ac:dyDescent="0.25">
      <c r="A95">
        <v>94</v>
      </c>
      <c r="B95" t="s">
        <v>68</v>
      </c>
      <c r="C95">
        <v>0</v>
      </c>
      <c r="D95" t="str">
        <f t="shared" si="2"/>
        <v>c</v>
      </c>
      <c r="E95" t="str">
        <f t="shared" si="3"/>
        <v>c) Presupuesto equilibrado.</v>
      </c>
    </row>
    <row r="96" spans="1:5" x14ac:dyDescent="0.25">
      <c r="A96">
        <v>95</v>
      </c>
      <c r="B96" t="s">
        <v>69</v>
      </c>
      <c r="C96">
        <v>0</v>
      </c>
      <c r="D96" t="str">
        <f t="shared" si="2"/>
        <v>d</v>
      </c>
      <c r="E96" t="str">
        <f t="shared" si="3"/>
        <v>d) Validez de la eficiencia</v>
      </c>
    </row>
    <row r="97" spans="1:5" x14ac:dyDescent="0.25">
      <c r="A97">
        <v>96</v>
      </c>
      <c r="B97" t="s">
        <v>1616</v>
      </c>
      <c r="C97">
        <v>1</v>
      </c>
      <c r="D97" t="str">
        <f t="shared" si="2"/>
        <v>P</v>
      </c>
      <c r="E97" t="str">
        <f t="shared" si="3"/>
        <v>Para E. Garcia Fuster. ¿Cúales son los factores críticos que se deben considerar en el período de afrontamiento, para que la persona mayor viva una vida satisfactoria, manteniendo la dignidad y la autoestima después de cada pérdida?</v>
      </c>
    </row>
    <row r="98" spans="1:5" x14ac:dyDescent="0.25">
      <c r="A98">
        <v>97</v>
      </c>
      <c r="B98" t="s">
        <v>371</v>
      </c>
      <c r="C98">
        <v>0</v>
      </c>
      <c r="D98" t="str">
        <f t="shared" si="2"/>
        <v>*</v>
      </c>
      <c r="E98" t="str">
        <f t="shared" si="3"/>
        <v>a) La capacidad para afrontar las pérdidas continuas y la disponibilidad de fuentes importantes de apoyo.</v>
      </c>
    </row>
    <row r="99" spans="1:5" x14ac:dyDescent="0.25">
      <c r="A99">
        <v>98</v>
      </c>
      <c r="B99" t="s">
        <v>70</v>
      </c>
      <c r="C99">
        <v>0</v>
      </c>
      <c r="D99" t="str">
        <f t="shared" si="2"/>
        <v>b</v>
      </c>
      <c r="E99" t="str">
        <f t="shared" si="3"/>
        <v>b) La esperanza de tener protección social referente a la habitación y el alimento.</v>
      </c>
    </row>
    <row r="100" spans="1:5" x14ac:dyDescent="0.25">
      <c r="A100">
        <v>99</v>
      </c>
      <c r="B100" t="s">
        <v>71</v>
      </c>
      <c r="C100">
        <v>0</v>
      </c>
      <c r="D100" t="str">
        <f t="shared" si="2"/>
        <v>c</v>
      </c>
      <c r="E100" t="str">
        <f t="shared" si="3"/>
        <v>c) La percepción de mantener las redes sociales y la obra social.</v>
      </c>
    </row>
    <row r="101" spans="1:5" x14ac:dyDescent="0.25">
      <c r="A101">
        <v>100</v>
      </c>
      <c r="B101" t="s">
        <v>372</v>
      </c>
      <c r="C101">
        <v>0</v>
      </c>
      <c r="D101" t="str">
        <f t="shared" si="2"/>
        <v>d</v>
      </c>
      <c r="E101" t="str">
        <f t="shared" si="3"/>
        <v>d) La posibilidad de continuar realizando sus actividades laborales y sociales y mantener sus amistades.</v>
      </c>
    </row>
    <row r="102" spans="1:5" x14ac:dyDescent="0.25">
      <c r="A102">
        <v>101</v>
      </c>
      <c r="B102" t="s">
        <v>1617</v>
      </c>
      <c r="C102">
        <v>1</v>
      </c>
      <c r="D102" t="str">
        <f t="shared" si="2"/>
        <v>P</v>
      </c>
      <c r="E102" t="str">
        <f t="shared" si="3"/>
        <v>Para Garcia Fuster. ¿Cúal continúa siendo la fuente de apoyo más importante para la población anciana mas dependiente y necesitada?</v>
      </c>
    </row>
    <row r="103" spans="1:5" x14ac:dyDescent="0.25">
      <c r="A103">
        <v>102</v>
      </c>
      <c r="B103" t="s">
        <v>72</v>
      </c>
      <c r="C103">
        <v>0</v>
      </c>
      <c r="D103" t="str">
        <f t="shared" si="2"/>
        <v>a</v>
      </c>
      <c r="E103" t="str">
        <f t="shared" si="3"/>
        <v>a) La beneficencia.</v>
      </c>
    </row>
    <row r="104" spans="1:5" x14ac:dyDescent="0.25">
      <c r="A104">
        <v>103</v>
      </c>
      <c r="B104" t="s">
        <v>73</v>
      </c>
      <c r="C104">
        <v>0</v>
      </c>
      <c r="D104" t="str">
        <f t="shared" si="2"/>
        <v>b</v>
      </c>
      <c r="E104" t="str">
        <f t="shared" si="3"/>
        <v>b) El estado.</v>
      </c>
    </row>
    <row r="105" spans="1:5" x14ac:dyDescent="0.25">
      <c r="A105">
        <v>104</v>
      </c>
      <c r="B105" t="s">
        <v>74</v>
      </c>
      <c r="C105">
        <v>0</v>
      </c>
      <c r="D105" t="str">
        <f t="shared" si="2"/>
        <v>*</v>
      </c>
      <c r="E105" t="str">
        <f t="shared" si="3"/>
        <v>c) La familia.</v>
      </c>
    </row>
    <row r="106" spans="1:5" x14ac:dyDescent="0.25">
      <c r="A106">
        <v>105</v>
      </c>
      <c r="B106" t="s">
        <v>75</v>
      </c>
      <c r="C106">
        <v>0</v>
      </c>
      <c r="D106" t="str">
        <f t="shared" si="2"/>
        <v>d</v>
      </c>
      <c r="E106" t="str">
        <f t="shared" si="3"/>
        <v>d) La iglesia.</v>
      </c>
    </row>
    <row r="107" spans="1:5" x14ac:dyDescent="0.25">
      <c r="A107">
        <v>106</v>
      </c>
      <c r="B107" t="s">
        <v>1618</v>
      </c>
      <c r="C107">
        <v>1</v>
      </c>
      <c r="D107" t="str">
        <f t="shared" si="2"/>
        <v>P</v>
      </c>
      <c r="E107" t="str">
        <f t="shared" si="3"/>
        <v>Para Silverman, en Garcia Fuster, el proceso de adaptación que deben transitar las personas que enviudan, además de la capacidad de volver a configurar su propia vida. ¿Qué implica?</v>
      </c>
    </row>
    <row r="108" spans="1:5" x14ac:dyDescent="0.25">
      <c r="A108">
        <v>107</v>
      </c>
      <c r="B108" t="s">
        <v>76</v>
      </c>
      <c r="C108">
        <v>0</v>
      </c>
      <c r="D108" t="str">
        <f t="shared" si="2"/>
        <v>*</v>
      </c>
      <c r="E108" t="str">
        <f t="shared" si="3"/>
        <v>a) Aprender a vivir con la soledad.</v>
      </c>
    </row>
    <row r="109" spans="1:5" x14ac:dyDescent="0.25">
      <c r="A109">
        <v>108</v>
      </c>
      <c r="B109" t="s">
        <v>77</v>
      </c>
      <c r="C109">
        <v>0</v>
      </c>
      <c r="D109" t="str">
        <f t="shared" si="2"/>
        <v>b</v>
      </c>
      <c r="E109" t="str">
        <f t="shared" si="3"/>
        <v>b) Oportunidad de desarrollar los proyectos postergados.</v>
      </c>
    </row>
    <row r="110" spans="1:5" x14ac:dyDescent="0.25">
      <c r="A110">
        <v>109</v>
      </c>
      <c r="B110" t="s">
        <v>78</v>
      </c>
      <c r="C110">
        <v>0</v>
      </c>
      <c r="D110" t="str">
        <f t="shared" si="2"/>
        <v>c</v>
      </c>
      <c r="E110" t="str">
        <f t="shared" si="3"/>
        <v>c) Posibilidad de cambiar los grupos sociales de interacción.</v>
      </c>
    </row>
    <row r="111" spans="1:5" x14ac:dyDescent="0.25">
      <c r="A111">
        <v>110</v>
      </c>
      <c r="B111" t="s">
        <v>79</v>
      </c>
      <c r="C111">
        <v>0</v>
      </c>
      <c r="D111" t="str">
        <f t="shared" si="2"/>
        <v>d</v>
      </c>
      <c r="E111" t="str">
        <f t="shared" si="3"/>
        <v>d) Utilizar el mayor tiempo del que se dispone.</v>
      </c>
    </row>
    <row r="112" spans="1:5" x14ac:dyDescent="0.25">
      <c r="A112">
        <v>111</v>
      </c>
      <c r="B112" t="s">
        <v>1619</v>
      </c>
      <c r="C112">
        <v>1</v>
      </c>
      <c r="D112" t="str">
        <f t="shared" si="2"/>
        <v>S</v>
      </c>
      <c r="E112" t="str">
        <f t="shared" si="3"/>
        <v>Según Carballeda, ¿Cómo debía ser el poder que Sarmiento pretende constituir mediante la educación, vinculado con la "ductilidad femenina", para lograr la efectividad requerida?</v>
      </c>
    </row>
    <row r="113" spans="1:5" x14ac:dyDescent="0.25">
      <c r="A113">
        <v>112</v>
      </c>
      <c r="B113" t="s">
        <v>80</v>
      </c>
      <c r="C113">
        <v>0</v>
      </c>
      <c r="D113" t="str">
        <f t="shared" si="2"/>
        <v>a</v>
      </c>
      <c r="E113" t="str">
        <f t="shared" si="3"/>
        <v>a) Contenedor.</v>
      </c>
    </row>
    <row r="114" spans="1:5" x14ac:dyDescent="0.25">
      <c r="A114">
        <v>113</v>
      </c>
      <c r="B114" t="s">
        <v>81</v>
      </c>
      <c r="C114">
        <v>0</v>
      </c>
      <c r="D114" t="str">
        <f t="shared" si="2"/>
        <v>*</v>
      </c>
      <c r="E114" t="str">
        <f t="shared" si="3"/>
        <v>b) Invisible.</v>
      </c>
    </row>
    <row r="115" spans="1:5" x14ac:dyDescent="0.25">
      <c r="A115">
        <v>114</v>
      </c>
      <c r="B115" t="s">
        <v>82</v>
      </c>
      <c r="C115">
        <v>0</v>
      </c>
      <c r="D115" t="str">
        <f t="shared" si="2"/>
        <v>c</v>
      </c>
      <c r="E115" t="str">
        <f t="shared" si="3"/>
        <v>c) Moderado.</v>
      </c>
    </row>
    <row r="116" spans="1:5" x14ac:dyDescent="0.25">
      <c r="A116">
        <v>115</v>
      </c>
      <c r="B116" t="s">
        <v>83</v>
      </c>
      <c r="C116">
        <v>0</v>
      </c>
      <c r="D116" t="str">
        <f t="shared" si="2"/>
        <v>d</v>
      </c>
      <c r="E116" t="str">
        <f t="shared" si="3"/>
        <v>d) Sensible.</v>
      </c>
    </row>
    <row r="117" spans="1:5" x14ac:dyDescent="0.25">
      <c r="A117">
        <v>116</v>
      </c>
      <c r="B117" s="1" t="s">
        <v>1620</v>
      </c>
      <c r="C117">
        <v>1</v>
      </c>
      <c r="D117" t="str">
        <f t="shared" si="2"/>
        <v>P</v>
      </c>
      <c r="E117" t="str">
        <f t="shared" si="3"/>
        <v>Para Dabas y Perrone, las mejores intervenciones en la estrategia de trabajo en red se realizan cuando se produce una opción sobre articulaciones y vínculos preexistentes. Desde esta perspectiva ¿Qué impacto tendrá sobre el funcionamiento nuestro accionar?</v>
      </c>
    </row>
    <row r="118" spans="1:5" x14ac:dyDescent="0.25">
      <c r="A118">
        <v>117</v>
      </c>
      <c r="B118" t="s">
        <v>84</v>
      </c>
      <c r="C118">
        <v>0</v>
      </c>
      <c r="D118" t="str">
        <f t="shared" si="2"/>
        <v>a</v>
      </c>
      <c r="E118" t="str">
        <f t="shared" si="3"/>
        <v>a) Delimitación de poder y determinación de roles.</v>
      </c>
    </row>
    <row r="119" spans="1:5" x14ac:dyDescent="0.25">
      <c r="A119">
        <v>118</v>
      </c>
      <c r="B119" t="s">
        <v>85</v>
      </c>
      <c r="C119">
        <v>0</v>
      </c>
      <c r="D119" t="str">
        <f t="shared" si="2"/>
        <v>b</v>
      </c>
      <c r="E119" t="str">
        <f t="shared" si="3"/>
        <v>b) Elección de representantes y clarificación de rangos.</v>
      </c>
    </row>
    <row r="120" spans="1:5" x14ac:dyDescent="0.25">
      <c r="A120">
        <v>119</v>
      </c>
      <c r="B120" t="s">
        <v>86</v>
      </c>
      <c r="C120">
        <v>0</v>
      </c>
      <c r="D120" t="str">
        <f t="shared" si="2"/>
        <v>c</v>
      </c>
      <c r="E120" t="str">
        <f t="shared" si="3"/>
        <v>c) Esclarecimiento y capacitación.</v>
      </c>
    </row>
    <row r="121" spans="1:5" x14ac:dyDescent="0.25">
      <c r="A121">
        <v>120</v>
      </c>
      <c r="B121" t="s">
        <v>87</v>
      </c>
      <c r="C121">
        <v>0</v>
      </c>
      <c r="D121" t="str">
        <f t="shared" si="2"/>
        <v>*</v>
      </c>
      <c r="E121" t="str">
        <f t="shared" si="3"/>
        <v>d) Promoción y potenciamiento.</v>
      </c>
    </row>
    <row r="122" spans="1:5" x14ac:dyDescent="0.25">
      <c r="A122">
        <v>121</v>
      </c>
      <c r="B122" s="1" t="s">
        <v>1621</v>
      </c>
      <c r="C122">
        <v>1</v>
      </c>
      <c r="D122" t="str">
        <f t="shared" si="2"/>
        <v>P</v>
      </c>
      <c r="E122" t="str">
        <f t="shared" si="3"/>
        <v>Para Dabas y Perrone , muchas respuestas gerenciales, son con frecuencia el resultado de presiones interactivas, ilógicas e irracionales de la vida organizacional o del contexto. En la actual realidad caótica y compleja. ¿Qué hay que aplicar en lo que se hace?</v>
      </c>
    </row>
    <row r="123" spans="1:5" x14ac:dyDescent="0.25">
      <c r="A123">
        <v>122</v>
      </c>
      <c r="B123" t="s">
        <v>88</v>
      </c>
      <c r="C123">
        <v>0</v>
      </c>
      <c r="D123" t="str">
        <f t="shared" si="2"/>
        <v>*</v>
      </c>
      <c r="E123" t="str">
        <f t="shared" si="3"/>
        <v>a) Intuición y emoción.</v>
      </c>
    </row>
    <row r="124" spans="1:5" x14ac:dyDescent="0.25">
      <c r="A124">
        <v>123</v>
      </c>
      <c r="B124" t="s">
        <v>89</v>
      </c>
      <c r="C124">
        <v>0</v>
      </c>
      <c r="D124" t="str">
        <f t="shared" si="2"/>
        <v>b</v>
      </c>
      <c r="E124" t="str">
        <f t="shared" si="3"/>
        <v>b) Normas y poder.</v>
      </c>
    </row>
    <row r="125" spans="1:5" x14ac:dyDescent="0.25">
      <c r="A125">
        <v>124</v>
      </c>
      <c r="B125" t="s">
        <v>90</v>
      </c>
      <c r="C125">
        <v>0</v>
      </c>
      <c r="D125" t="str">
        <f t="shared" si="2"/>
        <v>c</v>
      </c>
      <c r="E125" t="str">
        <f t="shared" si="3"/>
        <v>c) Razón y método.</v>
      </c>
    </row>
    <row r="126" spans="1:5" x14ac:dyDescent="0.25">
      <c r="A126">
        <v>125</v>
      </c>
      <c r="B126" t="s">
        <v>91</v>
      </c>
      <c r="C126">
        <v>0</v>
      </c>
      <c r="D126" t="str">
        <f t="shared" si="2"/>
        <v>d</v>
      </c>
      <c r="E126" t="str">
        <f t="shared" si="3"/>
        <v>d) Teoría y datos concretos.</v>
      </c>
    </row>
    <row r="127" spans="1:5" x14ac:dyDescent="0.25">
      <c r="A127">
        <v>126</v>
      </c>
      <c r="B127" s="1" t="s">
        <v>1622</v>
      </c>
      <c r="C127">
        <v>1</v>
      </c>
      <c r="D127" t="str">
        <f t="shared" si="2"/>
        <v>P</v>
      </c>
      <c r="E127" t="str">
        <f t="shared" si="3"/>
        <v>Para Silvia Faraone, avanzar en la construcción de los modelos alternativos implica la creación de redes vinculares con significaciones diferentes a las que existían antes de producirse la "enfermedad" y que son constitutivas de la misma. Por tal motivo ¿En qué estaría centrada la intervención?</v>
      </c>
    </row>
    <row r="128" spans="1:5" x14ac:dyDescent="0.25">
      <c r="A128">
        <v>127</v>
      </c>
      <c r="B128" t="s">
        <v>92</v>
      </c>
      <c r="C128">
        <v>0</v>
      </c>
      <c r="D128" t="str">
        <f t="shared" si="2"/>
        <v>*</v>
      </c>
      <c r="E128" t="str">
        <f t="shared" si="3"/>
        <v>a) En reinsertar.</v>
      </c>
    </row>
    <row r="129" spans="1:5" x14ac:dyDescent="0.25">
      <c r="A129">
        <v>128</v>
      </c>
      <c r="B129" t="s">
        <v>93</v>
      </c>
      <c r="C129">
        <v>0</v>
      </c>
      <c r="D129" t="str">
        <f t="shared" si="2"/>
        <v>b</v>
      </c>
      <c r="E129" t="str">
        <f t="shared" si="3"/>
        <v>b) En reconstruir.</v>
      </c>
    </row>
    <row r="130" spans="1:5" x14ac:dyDescent="0.25">
      <c r="A130">
        <v>129</v>
      </c>
      <c r="B130" t="s">
        <v>94</v>
      </c>
      <c r="C130">
        <v>0</v>
      </c>
      <c r="D130" t="str">
        <f t="shared" si="2"/>
        <v>c</v>
      </c>
      <c r="E130" t="str">
        <f t="shared" si="3"/>
        <v>c) En recrear.</v>
      </c>
    </row>
    <row r="131" spans="1:5" x14ac:dyDescent="0.25">
      <c r="A131">
        <v>130</v>
      </c>
      <c r="B131" t="s">
        <v>95</v>
      </c>
      <c r="C131">
        <v>0</v>
      </c>
      <c r="D131" t="str">
        <f t="shared" ref="D131:D194" si="4">+MID(B131,1,1)</f>
        <v>d</v>
      </c>
      <c r="E131" t="str">
        <f t="shared" ref="E131:E194" si="5">+IF(D131="*",MID(B131,3,500),B131)</f>
        <v>d) En restituir.</v>
      </c>
    </row>
    <row r="132" spans="1:5" x14ac:dyDescent="0.25">
      <c r="A132">
        <v>131</v>
      </c>
      <c r="B132" t="s">
        <v>1623</v>
      </c>
      <c r="C132">
        <v>1</v>
      </c>
      <c r="D132" t="str">
        <f t="shared" si="4"/>
        <v>P</v>
      </c>
      <c r="E132" t="str">
        <f t="shared" si="5"/>
        <v>Para Graciela Touzé, la fuerza del paradigma abstencionista retrasó significativamente la aceptación y el desarrollo de otros modelos de trabajo. Especialmente, ¿A qué modelo se refiere la autora?</v>
      </c>
    </row>
    <row r="133" spans="1:5" x14ac:dyDescent="0.25">
      <c r="A133">
        <v>132</v>
      </c>
      <c r="B133" t="s">
        <v>96</v>
      </c>
      <c r="C133">
        <v>0</v>
      </c>
      <c r="D133" t="str">
        <f t="shared" si="4"/>
        <v>a</v>
      </c>
      <c r="E133" t="str">
        <f t="shared" si="5"/>
        <v>a) El de la contención familiar.</v>
      </c>
    </row>
    <row r="134" spans="1:5" x14ac:dyDescent="0.25">
      <c r="A134">
        <v>133</v>
      </c>
      <c r="B134" t="s">
        <v>97</v>
      </c>
      <c r="C134">
        <v>0</v>
      </c>
      <c r="D134" t="str">
        <f t="shared" si="4"/>
        <v>b</v>
      </c>
      <c r="E134" t="str">
        <f t="shared" si="5"/>
        <v>b) El de la internación domiciliaria.</v>
      </c>
    </row>
    <row r="135" spans="1:5" x14ac:dyDescent="0.25">
      <c r="A135">
        <v>134</v>
      </c>
      <c r="B135" t="s">
        <v>98</v>
      </c>
      <c r="C135">
        <v>0</v>
      </c>
      <c r="D135" t="str">
        <f t="shared" si="4"/>
        <v>*</v>
      </c>
      <c r="E135" t="str">
        <f t="shared" si="5"/>
        <v>c) El de la reducción de daño.</v>
      </c>
    </row>
    <row r="136" spans="1:5" x14ac:dyDescent="0.25">
      <c r="A136">
        <v>135</v>
      </c>
      <c r="B136" t="s">
        <v>99</v>
      </c>
      <c r="C136">
        <v>0</v>
      </c>
      <c r="D136" t="str">
        <f t="shared" si="4"/>
        <v>d</v>
      </c>
      <c r="E136" t="str">
        <f t="shared" si="5"/>
        <v>d) El de la sanción judicial.</v>
      </c>
    </row>
    <row r="137" spans="1:5" x14ac:dyDescent="0.25">
      <c r="A137">
        <v>136</v>
      </c>
      <c r="B137" t="s">
        <v>1624</v>
      </c>
      <c r="C137">
        <v>1</v>
      </c>
      <c r="D137" t="str">
        <f t="shared" si="4"/>
        <v>P</v>
      </c>
      <c r="E137" t="str">
        <f t="shared" si="5"/>
        <v>Para Graciela Touze ¿En qué situaciones se encuentran dos instancias especializadas como la Justicia y la Medicina, respecto al heterocontrol de la toxicomanía?</v>
      </c>
    </row>
    <row r="138" spans="1:5" x14ac:dyDescent="0.25">
      <c r="A138">
        <v>137</v>
      </c>
      <c r="B138" t="s">
        <v>100</v>
      </c>
      <c r="C138">
        <v>0</v>
      </c>
      <c r="D138" t="str">
        <f t="shared" si="4"/>
        <v>a</v>
      </c>
      <c r="E138" t="str">
        <f t="shared" si="5"/>
        <v>a) Articulación- superposición.</v>
      </c>
    </row>
    <row r="139" spans="1:5" x14ac:dyDescent="0.25">
      <c r="A139">
        <v>138</v>
      </c>
      <c r="B139" t="s">
        <v>101</v>
      </c>
      <c r="C139">
        <v>0</v>
      </c>
      <c r="D139" t="str">
        <f t="shared" si="4"/>
        <v>b</v>
      </c>
      <c r="E139" t="str">
        <f t="shared" si="5"/>
        <v>b) Complementación-competencia.</v>
      </c>
    </row>
    <row r="140" spans="1:5" x14ac:dyDescent="0.25">
      <c r="A140">
        <v>139</v>
      </c>
      <c r="B140" t="s">
        <v>102</v>
      </c>
      <c r="C140">
        <v>0</v>
      </c>
      <c r="D140" t="str">
        <f t="shared" si="4"/>
        <v>*</v>
      </c>
      <c r="E140" t="str">
        <f t="shared" si="5"/>
        <v>c) Rivalidad- colaboración.</v>
      </c>
    </row>
    <row r="141" spans="1:5" x14ac:dyDescent="0.25">
      <c r="A141">
        <v>140</v>
      </c>
      <c r="B141" t="s">
        <v>103</v>
      </c>
      <c r="C141">
        <v>0</v>
      </c>
      <c r="D141" t="str">
        <f t="shared" si="4"/>
        <v>d</v>
      </c>
      <c r="E141" t="str">
        <f t="shared" si="5"/>
        <v>d) Subsidiariedad-prescindencia.</v>
      </c>
    </row>
    <row r="142" spans="1:5" x14ac:dyDescent="0.25">
      <c r="A142">
        <v>141</v>
      </c>
      <c r="B142" t="s">
        <v>1625</v>
      </c>
      <c r="C142">
        <v>1</v>
      </c>
      <c r="D142" t="str">
        <f t="shared" si="4"/>
        <v>P</v>
      </c>
      <c r="E142" t="str">
        <f t="shared" si="5"/>
        <v>Para Natalio Kisnerman, la práctica tiene contenidos que deben ser tenidos en cuenta en la supervisión. Cita el contenido objetivo, el convencional y, ¿Cúal es el otro mencionado por el autor?</v>
      </c>
    </row>
    <row r="143" spans="1:5" x14ac:dyDescent="0.25">
      <c r="A143">
        <v>142</v>
      </c>
      <c r="B143" t="s">
        <v>104</v>
      </c>
      <c r="C143">
        <v>0</v>
      </c>
      <c r="D143" t="str">
        <f t="shared" si="4"/>
        <v>a</v>
      </c>
      <c r="E143" t="str">
        <f t="shared" si="5"/>
        <v>a) El ecléptico.</v>
      </c>
    </row>
    <row r="144" spans="1:5" x14ac:dyDescent="0.25">
      <c r="A144">
        <v>143</v>
      </c>
      <c r="B144" t="s">
        <v>105</v>
      </c>
      <c r="C144">
        <v>0</v>
      </c>
      <c r="D144" t="str">
        <f t="shared" si="4"/>
        <v>b</v>
      </c>
      <c r="E144" t="str">
        <f t="shared" si="5"/>
        <v>b) El específico.</v>
      </c>
    </row>
    <row r="145" spans="1:5" x14ac:dyDescent="0.25">
      <c r="A145">
        <v>144</v>
      </c>
      <c r="B145" t="s">
        <v>106</v>
      </c>
      <c r="C145">
        <v>0</v>
      </c>
      <c r="D145" t="str">
        <f t="shared" si="4"/>
        <v>c</v>
      </c>
      <c r="E145" t="str">
        <f t="shared" si="5"/>
        <v>c) El constructivo.</v>
      </c>
    </row>
    <row r="146" spans="1:5" x14ac:dyDescent="0.25">
      <c r="A146">
        <v>145</v>
      </c>
      <c r="B146" t="s">
        <v>107</v>
      </c>
      <c r="C146">
        <v>0</v>
      </c>
      <c r="D146" t="str">
        <f t="shared" si="4"/>
        <v>*</v>
      </c>
      <c r="E146" t="str">
        <f t="shared" si="5"/>
        <v>d) El significativo.</v>
      </c>
    </row>
    <row r="147" spans="1:5" x14ac:dyDescent="0.25">
      <c r="A147">
        <v>146</v>
      </c>
      <c r="B147" t="s">
        <v>1626</v>
      </c>
      <c r="C147">
        <v>1</v>
      </c>
      <c r="D147" t="str">
        <f t="shared" si="4"/>
        <v>S</v>
      </c>
      <c r="E147" t="str">
        <f t="shared" si="5"/>
        <v>Según Natalio Kisnerman, ¿Cómo se denominan aquellos momentos, imágenes conflictivas de nuestra vida que reaparecen en situaciones grupales?</v>
      </c>
    </row>
    <row r="148" spans="1:5" x14ac:dyDescent="0.25">
      <c r="A148">
        <v>147</v>
      </c>
      <c r="B148" t="s">
        <v>108</v>
      </c>
      <c r="C148">
        <v>0</v>
      </c>
      <c r="D148" t="str">
        <f t="shared" si="4"/>
        <v>a</v>
      </c>
      <c r="E148" t="str">
        <f t="shared" si="5"/>
        <v>a) Actitudes regresivas.</v>
      </c>
    </row>
    <row r="149" spans="1:5" x14ac:dyDescent="0.25">
      <c r="A149">
        <v>148</v>
      </c>
      <c r="B149" t="s">
        <v>109</v>
      </c>
      <c r="C149">
        <v>0</v>
      </c>
      <c r="D149" t="str">
        <f t="shared" si="4"/>
        <v>b</v>
      </c>
      <c r="E149" t="str">
        <f t="shared" si="5"/>
        <v>b) Escenas temidas.</v>
      </c>
    </row>
    <row r="150" spans="1:5" x14ac:dyDescent="0.25">
      <c r="A150">
        <v>149</v>
      </c>
      <c r="B150" t="s">
        <v>110</v>
      </c>
      <c r="C150">
        <v>0</v>
      </c>
      <c r="D150" t="str">
        <f t="shared" si="4"/>
        <v>c</v>
      </c>
      <c r="E150" t="str">
        <f t="shared" si="5"/>
        <v>c) Medidas estructurales.</v>
      </c>
    </row>
    <row r="151" spans="1:5" x14ac:dyDescent="0.25">
      <c r="A151">
        <v>150</v>
      </c>
      <c r="B151" t="s">
        <v>111</v>
      </c>
      <c r="C151">
        <v>0</v>
      </c>
      <c r="D151" t="str">
        <f t="shared" si="4"/>
        <v>*</v>
      </c>
      <c r="E151" t="str">
        <f t="shared" si="5"/>
        <v>d) Situaciones transferenciales.</v>
      </c>
    </row>
    <row r="152" spans="1:5" x14ac:dyDescent="0.25">
      <c r="A152">
        <v>151</v>
      </c>
      <c r="B152" t="s">
        <v>1627</v>
      </c>
      <c r="C152">
        <v>1</v>
      </c>
      <c r="D152" t="str">
        <f t="shared" si="4"/>
        <v>P</v>
      </c>
      <c r="E152" t="str">
        <f t="shared" si="5"/>
        <v>Para Kisnerman el conocimiento no es el producto de un sujeto. Para el autor ¿De dónde surge el conocimiento?</v>
      </c>
    </row>
    <row r="153" spans="1:5" x14ac:dyDescent="0.25">
      <c r="A153">
        <v>152</v>
      </c>
      <c r="B153" t="s">
        <v>112</v>
      </c>
      <c r="C153">
        <v>0</v>
      </c>
      <c r="D153" t="str">
        <f t="shared" si="4"/>
        <v>a</v>
      </c>
      <c r="E153" t="str">
        <f t="shared" si="5"/>
        <v>a) De desarrollos científicos.</v>
      </c>
    </row>
    <row r="154" spans="1:5" x14ac:dyDescent="0.25">
      <c r="A154">
        <v>153</v>
      </c>
      <c r="B154" t="s">
        <v>113</v>
      </c>
      <c r="C154">
        <v>0</v>
      </c>
      <c r="D154" t="str">
        <f t="shared" si="4"/>
        <v>*</v>
      </c>
      <c r="E154" t="str">
        <f t="shared" si="5"/>
        <v>b) De intercambios relacionales.</v>
      </c>
    </row>
    <row r="155" spans="1:5" x14ac:dyDescent="0.25">
      <c r="A155">
        <v>154</v>
      </c>
      <c r="B155" t="s">
        <v>114</v>
      </c>
      <c r="C155">
        <v>0</v>
      </c>
      <c r="D155" t="str">
        <f t="shared" si="4"/>
        <v>c</v>
      </c>
      <c r="E155" t="str">
        <f t="shared" si="5"/>
        <v>c) De investigaciones continuas y sostenidas.</v>
      </c>
    </row>
    <row r="156" spans="1:5" x14ac:dyDescent="0.25">
      <c r="A156">
        <v>155</v>
      </c>
      <c r="B156" t="s">
        <v>115</v>
      </c>
      <c r="C156">
        <v>0</v>
      </c>
      <c r="D156" t="str">
        <f t="shared" si="4"/>
        <v>d</v>
      </c>
      <c r="E156" t="str">
        <f t="shared" si="5"/>
        <v>d) De la relación con fenómenos naturales.</v>
      </c>
    </row>
    <row r="157" spans="1:5" x14ac:dyDescent="0.25">
      <c r="A157">
        <v>156</v>
      </c>
      <c r="B157" t="s">
        <v>1628</v>
      </c>
      <c r="C157">
        <v>1</v>
      </c>
      <c r="D157" t="str">
        <f t="shared" si="4"/>
        <v>S</v>
      </c>
      <c r="E157" t="str">
        <f t="shared" si="5"/>
        <v>Según Natalio Kisnerman, desde un enfoque constructivista, ¿Qué capacidad alcanzada debe evaluarse en el supervisado para participar provechosamente en situaciones de interacción y aprendizaje?</v>
      </c>
    </row>
    <row r="158" spans="1:5" x14ac:dyDescent="0.25">
      <c r="A158">
        <v>157</v>
      </c>
      <c r="B158" t="s">
        <v>116</v>
      </c>
      <c r="C158">
        <v>0</v>
      </c>
      <c r="D158" t="str">
        <f t="shared" si="4"/>
        <v>a</v>
      </c>
      <c r="E158" t="str">
        <f t="shared" si="5"/>
        <v>a) La de atención flotante y operativización efectiva.</v>
      </c>
    </row>
    <row r="159" spans="1:5" x14ac:dyDescent="0.25">
      <c r="A159">
        <v>158</v>
      </c>
      <c r="B159" t="s">
        <v>117</v>
      </c>
      <c r="C159">
        <v>0</v>
      </c>
      <c r="D159" t="str">
        <f t="shared" si="4"/>
        <v>b</v>
      </c>
      <c r="E159" t="str">
        <f t="shared" si="5"/>
        <v>b) La de evaluar con indicadores cualitativos y realizar análisis apropiados.</v>
      </c>
    </row>
    <row r="160" spans="1:5" x14ac:dyDescent="0.25">
      <c r="A160">
        <v>159</v>
      </c>
      <c r="B160" t="s">
        <v>118</v>
      </c>
      <c r="C160">
        <v>0</v>
      </c>
      <c r="D160" t="str">
        <f t="shared" si="4"/>
        <v>*</v>
      </c>
      <c r="E160" t="str">
        <f t="shared" si="5"/>
        <v>c) La de funcionamiento intra subjetivo e inter subjetivo.</v>
      </c>
    </row>
    <row r="161" spans="1:5" x14ac:dyDescent="0.25">
      <c r="A161">
        <v>160</v>
      </c>
      <c r="B161" t="s">
        <v>119</v>
      </c>
      <c r="C161">
        <v>0</v>
      </c>
      <c r="D161" t="str">
        <f t="shared" si="4"/>
        <v>d</v>
      </c>
      <c r="E161" t="str">
        <f t="shared" si="5"/>
        <v>d) La de observación permanente y articulación con la vida cotidiana.</v>
      </c>
    </row>
    <row r="162" spans="1:5" x14ac:dyDescent="0.25">
      <c r="A162">
        <v>161</v>
      </c>
      <c r="B162" t="s">
        <v>1629</v>
      </c>
      <c r="C162">
        <v>1</v>
      </c>
      <c r="D162" t="str">
        <f t="shared" si="4"/>
        <v>S</v>
      </c>
      <c r="E162" t="str">
        <f t="shared" si="5"/>
        <v>Silvia Faraone, refiere que si bien la institución manicomial manifiesta trabajar para la cura del paciente.¿Al servicio de qué esta puesto su mayor esfuerzo?</v>
      </c>
    </row>
    <row r="163" spans="1:5" x14ac:dyDescent="0.25">
      <c r="A163">
        <v>162</v>
      </c>
      <c r="B163" t="s">
        <v>120</v>
      </c>
      <c r="C163">
        <v>0</v>
      </c>
      <c r="D163" t="str">
        <f t="shared" si="4"/>
        <v>a</v>
      </c>
      <c r="E163" t="str">
        <f t="shared" si="5"/>
        <v>a) El castigo.</v>
      </c>
    </row>
    <row r="164" spans="1:5" x14ac:dyDescent="0.25">
      <c r="A164">
        <v>163</v>
      </c>
      <c r="B164" t="s">
        <v>121</v>
      </c>
      <c r="C164">
        <v>0</v>
      </c>
      <c r="D164" t="str">
        <f t="shared" si="4"/>
        <v>*</v>
      </c>
      <c r="E164" t="str">
        <f t="shared" si="5"/>
        <v>b) La custodia.</v>
      </c>
    </row>
    <row r="165" spans="1:5" x14ac:dyDescent="0.25">
      <c r="A165">
        <v>164</v>
      </c>
      <c r="B165" t="s">
        <v>122</v>
      </c>
      <c r="C165">
        <v>0</v>
      </c>
      <c r="D165" t="str">
        <f t="shared" si="4"/>
        <v>c</v>
      </c>
      <c r="E165" t="str">
        <f t="shared" si="5"/>
        <v>c) La promoción de la salud.</v>
      </c>
    </row>
    <row r="166" spans="1:5" x14ac:dyDescent="0.25">
      <c r="A166">
        <v>165</v>
      </c>
      <c r="B166" t="s">
        <v>123</v>
      </c>
      <c r="C166">
        <v>0</v>
      </c>
      <c r="D166" t="str">
        <f t="shared" si="4"/>
        <v>d</v>
      </c>
      <c r="E166" t="str">
        <f t="shared" si="5"/>
        <v>d) La rehabilitación.</v>
      </c>
    </row>
    <row r="167" spans="1:5" x14ac:dyDescent="0.25">
      <c r="A167">
        <v>166</v>
      </c>
      <c r="B167" t="s">
        <v>1630</v>
      </c>
      <c r="C167">
        <v>1</v>
      </c>
      <c r="D167" t="str">
        <f t="shared" si="4"/>
        <v>P</v>
      </c>
      <c r="E167" t="str">
        <f t="shared" si="5"/>
        <v>Para Graciela Tonón, tomando la entrevista como relación social. ¿Cómo se denomina el despliegue de conductas, discursos, enunciados, verbalizaciones, simbolizaciones y representaciones sociales que desarrolla el entrevistado durante la misma?</v>
      </c>
    </row>
    <row r="168" spans="1:5" x14ac:dyDescent="0.25">
      <c r="A168">
        <v>167</v>
      </c>
      <c r="B168" t="s">
        <v>124</v>
      </c>
      <c r="C168">
        <v>0</v>
      </c>
      <c r="D168" t="str">
        <f t="shared" si="4"/>
        <v>*</v>
      </c>
      <c r="E168" t="str">
        <f t="shared" si="5"/>
        <v>a) Campo.</v>
      </c>
    </row>
    <row r="169" spans="1:5" x14ac:dyDescent="0.25">
      <c r="A169">
        <v>168</v>
      </c>
      <c r="B169" t="s">
        <v>125</v>
      </c>
      <c r="C169">
        <v>0</v>
      </c>
      <c r="D169" t="str">
        <f t="shared" si="4"/>
        <v>b</v>
      </c>
      <c r="E169" t="str">
        <f t="shared" si="5"/>
        <v>b) Encuadre.</v>
      </c>
    </row>
    <row r="170" spans="1:5" x14ac:dyDescent="0.25">
      <c r="A170">
        <v>169</v>
      </c>
      <c r="B170" t="s">
        <v>126</v>
      </c>
      <c r="C170">
        <v>0</v>
      </c>
      <c r="D170" t="str">
        <f t="shared" si="4"/>
        <v>c</v>
      </c>
      <c r="E170" t="str">
        <f t="shared" si="5"/>
        <v>c) Operacionalización.</v>
      </c>
    </row>
    <row r="171" spans="1:5" x14ac:dyDescent="0.25">
      <c r="A171">
        <v>170</v>
      </c>
      <c r="B171" t="s">
        <v>127</v>
      </c>
      <c r="C171">
        <v>0</v>
      </c>
      <c r="D171" t="str">
        <f t="shared" si="4"/>
        <v>d</v>
      </c>
      <c r="E171" t="str">
        <f t="shared" si="5"/>
        <v>d) Relato.</v>
      </c>
    </row>
    <row r="172" spans="1:5" x14ac:dyDescent="0.25">
      <c r="A172">
        <v>171</v>
      </c>
      <c r="B172" t="s">
        <v>1631</v>
      </c>
      <c r="C172">
        <v>1</v>
      </c>
      <c r="D172" t="str">
        <f t="shared" si="4"/>
        <v>P</v>
      </c>
      <c r="E172" t="str">
        <f t="shared" si="5"/>
        <v>Para Graciela Tonón, la conceptualización del encuadre y su operacionalización se consideran cuestiones nodales en el proceso de actuación profesional. ¿Para qué es esto indispensable en relación a determinados emergentes de las entrevistas?</v>
      </c>
    </row>
    <row r="173" spans="1:5" x14ac:dyDescent="0.25">
      <c r="A173">
        <v>172</v>
      </c>
      <c r="B173" t="s">
        <v>128</v>
      </c>
      <c r="C173">
        <v>0</v>
      </c>
      <c r="D173" t="str">
        <f t="shared" si="4"/>
        <v>a</v>
      </c>
      <c r="E173" t="str">
        <f t="shared" si="5"/>
        <v>a) Aplicar metodologías concretas.</v>
      </c>
    </row>
    <row r="174" spans="1:5" x14ac:dyDescent="0.25">
      <c r="A174">
        <v>173</v>
      </c>
      <c r="B174" t="s">
        <v>129</v>
      </c>
      <c r="C174">
        <v>0</v>
      </c>
      <c r="D174" t="str">
        <f t="shared" si="4"/>
        <v>b</v>
      </c>
      <c r="E174" t="str">
        <f t="shared" si="5"/>
        <v>b) Comprobar hipótesis de intervenciones.</v>
      </c>
    </row>
    <row r="175" spans="1:5" x14ac:dyDescent="0.25">
      <c r="A175">
        <v>174</v>
      </c>
      <c r="B175" t="s">
        <v>130</v>
      </c>
      <c r="C175">
        <v>0</v>
      </c>
      <c r="D175" t="str">
        <f t="shared" si="4"/>
        <v>c</v>
      </c>
      <c r="E175" t="str">
        <f t="shared" si="5"/>
        <v>c) Evaluar el proceso grupal.</v>
      </c>
    </row>
    <row r="176" spans="1:5" x14ac:dyDescent="0.25">
      <c r="A176">
        <v>175</v>
      </c>
      <c r="B176" t="s">
        <v>131</v>
      </c>
      <c r="C176">
        <v>0</v>
      </c>
      <c r="D176" t="str">
        <f t="shared" si="4"/>
        <v>*</v>
      </c>
      <c r="E176" t="str">
        <f t="shared" si="5"/>
        <v>d) Realizar análisis exaustivos.</v>
      </c>
    </row>
    <row r="177" spans="1:5" x14ac:dyDescent="0.25">
      <c r="A177">
        <v>176</v>
      </c>
      <c r="B177" t="s">
        <v>1632</v>
      </c>
      <c r="C177">
        <v>1</v>
      </c>
      <c r="D177" t="str">
        <f t="shared" si="4"/>
        <v>S</v>
      </c>
      <c r="E177" t="str">
        <f t="shared" si="5"/>
        <v xml:space="preserve">Según Dabas y Perrone, ¿Qué paradigma modifica la multicentralidad de la red? </v>
      </c>
    </row>
    <row r="178" spans="1:5" x14ac:dyDescent="0.25">
      <c r="A178">
        <v>177</v>
      </c>
      <c r="B178" t="s">
        <v>132</v>
      </c>
      <c r="C178">
        <v>0</v>
      </c>
      <c r="D178" t="str">
        <f t="shared" si="4"/>
        <v>a</v>
      </c>
      <c r="E178" t="str">
        <f t="shared" si="5"/>
        <v>a) El de la convergencia.</v>
      </c>
    </row>
    <row r="179" spans="1:5" x14ac:dyDescent="0.25">
      <c r="A179">
        <v>178</v>
      </c>
      <c r="B179" t="s">
        <v>133</v>
      </c>
      <c r="C179">
        <v>0</v>
      </c>
      <c r="D179" t="str">
        <f t="shared" si="4"/>
        <v>b</v>
      </c>
      <c r="E179" t="str">
        <f t="shared" si="5"/>
        <v>b) El de las islas.</v>
      </c>
    </row>
    <row r="180" spans="1:5" x14ac:dyDescent="0.25">
      <c r="A180">
        <v>179</v>
      </c>
      <c r="B180" t="s">
        <v>134</v>
      </c>
      <c r="C180">
        <v>0</v>
      </c>
      <c r="D180" t="str">
        <f t="shared" si="4"/>
        <v>*</v>
      </c>
      <c r="E180" t="str">
        <f t="shared" si="5"/>
        <v>c) El de la pirámide.</v>
      </c>
    </row>
    <row r="181" spans="1:5" x14ac:dyDescent="0.25">
      <c r="A181">
        <v>180</v>
      </c>
      <c r="B181" t="s">
        <v>135</v>
      </c>
      <c r="C181">
        <v>0</v>
      </c>
      <c r="D181" t="str">
        <f t="shared" si="4"/>
        <v>d</v>
      </c>
      <c r="E181" t="str">
        <f t="shared" si="5"/>
        <v>d) El de la transferencia.</v>
      </c>
    </row>
    <row r="182" spans="1:5" x14ac:dyDescent="0.25">
      <c r="A182">
        <v>181</v>
      </c>
      <c r="B182" t="s">
        <v>1633</v>
      </c>
      <c r="C182">
        <v>1</v>
      </c>
      <c r="D182" t="str">
        <f t="shared" si="4"/>
        <v>P</v>
      </c>
      <c r="E182" t="str">
        <f t="shared" si="5"/>
        <v>Para Mario Rovere, ¿Con qué tipo de mecanismo aparece generalmente el nivel de fusión dentro de la construcción de redes?</v>
      </c>
    </row>
    <row r="183" spans="1:5" x14ac:dyDescent="0.25">
      <c r="A183">
        <v>182</v>
      </c>
      <c r="B183" t="s">
        <v>136</v>
      </c>
      <c r="C183">
        <v>0</v>
      </c>
      <c r="D183" t="str">
        <f t="shared" si="4"/>
        <v>a</v>
      </c>
      <c r="E183" t="str">
        <f t="shared" si="5"/>
        <v>a) Autogestivo.</v>
      </c>
    </row>
    <row r="184" spans="1:5" x14ac:dyDescent="0.25">
      <c r="A184">
        <v>183</v>
      </c>
      <c r="B184" t="s">
        <v>137</v>
      </c>
      <c r="C184">
        <v>0</v>
      </c>
      <c r="D184" t="str">
        <f t="shared" si="4"/>
        <v>b</v>
      </c>
      <c r="E184" t="str">
        <f t="shared" si="5"/>
        <v>b) Convencional.</v>
      </c>
    </row>
    <row r="185" spans="1:5" x14ac:dyDescent="0.25">
      <c r="A185">
        <v>184</v>
      </c>
      <c r="B185" t="s">
        <v>138</v>
      </c>
      <c r="C185">
        <v>0</v>
      </c>
      <c r="D185" t="str">
        <f t="shared" si="4"/>
        <v>c</v>
      </c>
      <c r="E185" t="str">
        <f t="shared" si="5"/>
        <v>c) Espontáneo.</v>
      </c>
    </row>
    <row r="186" spans="1:5" x14ac:dyDescent="0.25">
      <c r="A186">
        <v>185</v>
      </c>
      <c r="B186" t="s">
        <v>139</v>
      </c>
      <c r="C186">
        <v>0</v>
      </c>
      <c r="D186" t="str">
        <f t="shared" si="4"/>
        <v>*</v>
      </c>
      <c r="E186" t="str">
        <f t="shared" si="5"/>
        <v>d) Externo.</v>
      </c>
    </row>
    <row r="187" spans="1:5" x14ac:dyDescent="0.25">
      <c r="A187">
        <v>186</v>
      </c>
      <c r="B187" t="s">
        <v>1634</v>
      </c>
      <c r="C187">
        <v>1</v>
      </c>
      <c r="D187" t="str">
        <f t="shared" si="4"/>
        <v>S</v>
      </c>
      <c r="E187" t="str">
        <f t="shared" si="5"/>
        <v>Según Mario Róvere, ¿Cómo se reduce la demanda de organización piramidal?</v>
      </c>
    </row>
    <row r="188" spans="1:5" x14ac:dyDescent="0.25">
      <c r="A188">
        <v>187</v>
      </c>
      <c r="B188" t="s">
        <v>140</v>
      </c>
      <c r="C188">
        <v>0</v>
      </c>
      <c r="D188" t="str">
        <f t="shared" si="4"/>
        <v>a</v>
      </c>
      <c r="E188" t="str">
        <f t="shared" si="5"/>
        <v>a) Con la distribución del poder hegemónico.</v>
      </c>
    </row>
    <row r="189" spans="1:5" x14ac:dyDescent="0.25">
      <c r="A189">
        <v>188</v>
      </c>
      <c r="B189" t="s">
        <v>141</v>
      </c>
      <c r="C189">
        <v>0</v>
      </c>
      <c r="D189" t="str">
        <f t="shared" si="4"/>
        <v>b</v>
      </c>
      <c r="E189" t="str">
        <f t="shared" si="5"/>
        <v>b) Con educación sobre los derechos de la población.</v>
      </c>
    </row>
    <row r="190" spans="1:5" x14ac:dyDescent="0.25">
      <c r="A190">
        <v>189</v>
      </c>
      <c r="B190" t="s">
        <v>142</v>
      </c>
      <c r="C190">
        <v>0</v>
      </c>
      <c r="D190" t="str">
        <f t="shared" si="4"/>
        <v>c</v>
      </c>
      <c r="E190" t="str">
        <f t="shared" si="5"/>
        <v>c) Mediante elecciones democráticas.</v>
      </c>
    </row>
    <row r="191" spans="1:5" x14ac:dyDescent="0.25">
      <c r="A191">
        <v>190</v>
      </c>
      <c r="B191" t="s">
        <v>143</v>
      </c>
      <c r="C191">
        <v>0</v>
      </c>
      <c r="D191" t="str">
        <f t="shared" si="4"/>
        <v>*</v>
      </c>
      <c r="E191" t="str">
        <f t="shared" si="5"/>
        <v>d) A partir de heterogeneidades democráticas.</v>
      </c>
    </row>
    <row r="192" spans="1:5" x14ac:dyDescent="0.25">
      <c r="A192">
        <v>191</v>
      </c>
      <c r="B192" s="1" t="s">
        <v>1635</v>
      </c>
      <c r="C192">
        <v>1</v>
      </c>
      <c r="D192" t="str">
        <f t="shared" si="4"/>
        <v>P</v>
      </c>
      <c r="E192" t="str">
        <f t="shared" si="5"/>
        <v>Pichardo Muñiz al definir Planificación Estratégica pretende rescatar esa concepción de estrategia al plantearla como una lucha entre oponentes para el logro de determinados objetivos. Según la autora. ¿En qué debe apoyarse la formulación de la estrategia?</v>
      </c>
    </row>
    <row r="193" spans="1:5" x14ac:dyDescent="0.25">
      <c r="A193">
        <v>192</v>
      </c>
      <c r="B193" t="s">
        <v>144</v>
      </c>
      <c r="C193">
        <v>0</v>
      </c>
      <c r="D193" t="str">
        <f t="shared" si="4"/>
        <v>a</v>
      </c>
      <c r="E193" t="str">
        <f t="shared" si="5"/>
        <v>a) En el análisis de los recursos disponibles.</v>
      </c>
    </row>
    <row r="194" spans="1:5" x14ac:dyDescent="0.25">
      <c r="A194">
        <v>193</v>
      </c>
      <c r="B194" t="s">
        <v>145</v>
      </c>
      <c r="C194">
        <v>0</v>
      </c>
      <c r="D194" t="str">
        <f t="shared" si="4"/>
        <v>*</v>
      </c>
      <c r="E194" t="str">
        <f t="shared" si="5"/>
        <v>b) En el diagnóstico y la trayectoria.</v>
      </c>
    </row>
    <row r="195" spans="1:5" x14ac:dyDescent="0.25">
      <c r="A195">
        <v>194</v>
      </c>
      <c r="B195" t="s">
        <v>146</v>
      </c>
      <c r="C195">
        <v>0</v>
      </c>
      <c r="D195" t="str">
        <f t="shared" ref="D195:D258" si="6">+MID(B195,1,1)</f>
        <v>c</v>
      </c>
      <c r="E195" t="str">
        <f t="shared" ref="E195:E258" si="7">+IF(D195="*",MID(B195,3,500),B195)</f>
        <v>c) En la imagen objetivo y el impacto.</v>
      </c>
    </row>
    <row r="196" spans="1:5" x14ac:dyDescent="0.25">
      <c r="A196">
        <v>195</v>
      </c>
      <c r="B196" t="s">
        <v>147</v>
      </c>
      <c r="C196">
        <v>0</v>
      </c>
      <c r="D196" t="str">
        <f t="shared" si="6"/>
        <v>d</v>
      </c>
      <c r="E196" t="str">
        <f t="shared" si="7"/>
        <v>d) En las necesidades de la población definida.</v>
      </c>
    </row>
    <row r="197" spans="1:5" x14ac:dyDescent="0.25">
      <c r="A197">
        <v>196</v>
      </c>
      <c r="B197" t="s">
        <v>1636</v>
      </c>
      <c r="C197">
        <v>1</v>
      </c>
      <c r="D197" t="str">
        <f t="shared" si="6"/>
        <v>S</v>
      </c>
      <c r="E197" t="str">
        <f t="shared" si="7"/>
        <v>Según Donzelot, el diagnóstico social es el procedimiento técnico que se encuadra en el punto de confluencia de la asistencia y la represión. ¿Qué se intenta eliminar de ambas mediante el diagnóstico?</v>
      </c>
    </row>
    <row r="198" spans="1:5" x14ac:dyDescent="0.25">
      <c r="A198">
        <v>197</v>
      </c>
      <c r="B198" t="s">
        <v>148</v>
      </c>
      <c r="C198">
        <v>0</v>
      </c>
      <c r="D198" t="str">
        <f t="shared" si="6"/>
        <v>a</v>
      </c>
      <c r="E198" t="str">
        <f t="shared" si="7"/>
        <v>a) La convergencia.</v>
      </c>
    </row>
    <row r="199" spans="1:5" x14ac:dyDescent="0.25">
      <c r="A199">
        <v>198</v>
      </c>
      <c r="B199" t="s">
        <v>149</v>
      </c>
      <c r="C199">
        <v>0</v>
      </c>
      <c r="D199" t="str">
        <f t="shared" si="6"/>
        <v>*</v>
      </c>
      <c r="E199" t="str">
        <f t="shared" si="7"/>
        <v>b) Las debilidades.</v>
      </c>
    </row>
    <row r="200" spans="1:5" x14ac:dyDescent="0.25">
      <c r="A200">
        <v>199</v>
      </c>
      <c r="B200" t="s">
        <v>150</v>
      </c>
      <c r="C200">
        <v>0</v>
      </c>
      <c r="D200" t="str">
        <f t="shared" si="6"/>
        <v>c</v>
      </c>
      <c r="E200" t="str">
        <f t="shared" si="7"/>
        <v>c) Los errores.</v>
      </c>
    </row>
    <row r="201" spans="1:5" x14ac:dyDescent="0.25">
      <c r="A201">
        <v>200</v>
      </c>
      <c r="B201" t="s">
        <v>151</v>
      </c>
      <c r="C201">
        <v>0</v>
      </c>
      <c r="D201" t="str">
        <f t="shared" si="6"/>
        <v>d</v>
      </c>
      <c r="E201" t="str">
        <f t="shared" si="7"/>
        <v>d) La estructuración.</v>
      </c>
    </row>
    <row r="202" spans="1:5" x14ac:dyDescent="0.25">
      <c r="A202">
        <v>201</v>
      </c>
      <c r="B202" t="s">
        <v>1637</v>
      </c>
      <c r="C202">
        <v>1</v>
      </c>
      <c r="D202" t="str">
        <f t="shared" si="6"/>
        <v>P</v>
      </c>
      <c r="E202" t="str">
        <f t="shared" si="7"/>
        <v>Para Bourdieu Wacquant, cuando se observa coherencia en el estado dado de un campo. ¿De qué es resultado esta coherencia?</v>
      </c>
    </row>
    <row r="203" spans="1:5" x14ac:dyDescent="0.25">
      <c r="A203">
        <v>202</v>
      </c>
      <c r="B203" t="s">
        <v>152</v>
      </c>
      <c r="C203">
        <v>0</v>
      </c>
      <c r="D203" t="str">
        <f t="shared" si="6"/>
        <v>a</v>
      </c>
      <c r="E203" t="str">
        <f t="shared" si="7"/>
        <v>a) Autodesarrollo inmanente de la estructura.</v>
      </c>
    </row>
    <row r="204" spans="1:5" x14ac:dyDescent="0.25">
      <c r="A204">
        <v>203</v>
      </c>
      <c r="B204" t="s">
        <v>153</v>
      </c>
      <c r="C204">
        <v>0</v>
      </c>
      <c r="D204" t="str">
        <f t="shared" si="6"/>
        <v>b</v>
      </c>
      <c r="E204" t="str">
        <f t="shared" si="7"/>
        <v>b) Causalidad de diversos fenómenos.</v>
      </c>
    </row>
    <row r="205" spans="1:5" x14ac:dyDescent="0.25">
      <c r="A205">
        <v>204</v>
      </c>
      <c r="B205" t="s">
        <v>154</v>
      </c>
      <c r="C205">
        <v>0</v>
      </c>
      <c r="D205" t="str">
        <f t="shared" si="6"/>
        <v>*</v>
      </c>
      <c r="E205" t="str">
        <f t="shared" si="7"/>
        <v>c) Conflicto y competencia.</v>
      </c>
    </row>
    <row r="206" spans="1:5" x14ac:dyDescent="0.25">
      <c r="A206">
        <v>205</v>
      </c>
      <c r="B206" t="s">
        <v>155</v>
      </c>
      <c r="C206">
        <v>0</v>
      </c>
      <c r="D206" t="str">
        <f t="shared" si="6"/>
        <v>d</v>
      </c>
      <c r="E206" t="str">
        <f t="shared" si="7"/>
        <v>d) Equilibrio y sustentabilidad.</v>
      </c>
    </row>
    <row r="207" spans="1:5" x14ac:dyDescent="0.25">
      <c r="A207">
        <v>206</v>
      </c>
      <c r="B207" t="s">
        <v>1638</v>
      </c>
      <c r="C207">
        <v>1</v>
      </c>
      <c r="D207" t="str">
        <f t="shared" si="6"/>
        <v>E</v>
      </c>
      <c r="E207" t="str">
        <f t="shared" si="7"/>
        <v xml:space="preserve">En su definición de "campo". ¿A qué noción se opone abiertamente Bourdieu? </v>
      </c>
    </row>
    <row r="208" spans="1:5" x14ac:dyDescent="0.25">
      <c r="A208">
        <v>207</v>
      </c>
      <c r="B208" t="s">
        <v>156</v>
      </c>
      <c r="C208">
        <v>0</v>
      </c>
      <c r="D208" t="str">
        <f t="shared" si="6"/>
        <v>*</v>
      </c>
      <c r="E208" t="str">
        <f t="shared" si="7"/>
        <v>a) A la de aparato.</v>
      </c>
    </row>
    <row r="209" spans="1:5" x14ac:dyDescent="0.25">
      <c r="A209">
        <v>208</v>
      </c>
      <c r="B209" t="s">
        <v>157</v>
      </c>
      <c r="C209">
        <v>0</v>
      </c>
      <c r="D209" t="str">
        <f t="shared" si="6"/>
        <v>b</v>
      </c>
      <c r="E209" t="str">
        <f t="shared" si="7"/>
        <v>b) A la de estructura.</v>
      </c>
    </row>
    <row r="210" spans="1:5" x14ac:dyDescent="0.25">
      <c r="A210">
        <v>209</v>
      </c>
      <c r="B210" t="s">
        <v>158</v>
      </c>
      <c r="C210">
        <v>0</v>
      </c>
      <c r="D210" t="str">
        <f t="shared" si="6"/>
        <v>c</v>
      </c>
      <c r="E210" t="str">
        <f t="shared" si="7"/>
        <v>c) A la de distribución.</v>
      </c>
    </row>
    <row r="211" spans="1:5" x14ac:dyDescent="0.25">
      <c r="A211">
        <v>210</v>
      </c>
      <c r="B211" t="s">
        <v>159</v>
      </c>
      <c r="C211">
        <v>0</v>
      </c>
      <c r="D211" t="str">
        <f t="shared" si="6"/>
        <v>d</v>
      </c>
      <c r="E211" t="str">
        <f t="shared" si="7"/>
        <v>d) A la de sistema.</v>
      </c>
    </row>
    <row r="212" spans="1:5" x14ac:dyDescent="0.25">
      <c r="A212">
        <v>211</v>
      </c>
      <c r="B212" t="s">
        <v>1639</v>
      </c>
      <c r="C212">
        <v>1</v>
      </c>
      <c r="D212" t="str">
        <f t="shared" si="6"/>
        <v>L</v>
      </c>
      <c r="E212" t="str">
        <f t="shared" si="7"/>
        <v>La teoría de los grupos operativos refiere que los grupos atraviesan diferentes etapas. Según Bauleo, Charur Zarzar cuando el grupo empieza a tomar sobre sí las funciones de organización, toma de decisiones y de control. ¿En qué etapa se encontraría?</v>
      </c>
    </row>
    <row r="213" spans="1:5" x14ac:dyDescent="0.25">
      <c r="A213">
        <v>212</v>
      </c>
      <c r="B213" t="s">
        <v>160</v>
      </c>
      <c r="C213">
        <v>0</v>
      </c>
      <c r="D213" t="str">
        <f t="shared" si="6"/>
        <v>a</v>
      </c>
      <c r="E213" t="str">
        <f t="shared" si="7"/>
        <v>a) Indiscriminación.</v>
      </c>
    </row>
    <row r="214" spans="1:5" x14ac:dyDescent="0.25">
      <c r="A214">
        <v>213</v>
      </c>
      <c r="B214" t="s">
        <v>161</v>
      </c>
      <c r="C214">
        <v>0</v>
      </c>
      <c r="D214" t="str">
        <f t="shared" si="6"/>
        <v>b</v>
      </c>
      <c r="E214" t="str">
        <f t="shared" si="7"/>
        <v>b) Pre-tarea.</v>
      </c>
    </row>
    <row r="215" spans="1:5" x14ac:dyDescent="0.25">
      <c r="A215">
        <v>214</v>
      </c>
      <c r="B215" t="s">
        <v>162</v>
      </c>
      <c r="C215">
        <v>0</v>
      </c>
      <c r="D215" t="str">
        <f t="shared" si="6"/>
        <v>c</v>
      </c>
      <c r="E215" t="str">
        <f t="shared" si="7"/>
        <v>c) Proyecto.</v>
      </c>
    </row>
    <row r="216" spans="1:5" x14ac:dyDescent="0.25">
      <c r="A216">
        <v>215</v>
      </c>
      <c r="B216" t="s">
        <v>163</v>
      </c>
      <c r="C216">
        <v>0</v>
      </c>
      <c r="D216" t="str">
        <f t="shared" si="6"/>
        <v>*</v>
      </c>
      <c r="E216" t="str">
        <f t="shared" si="7"/>
        <v>d) Tarea.</v>
      </c>
    </row>
    <row r="217" spans="1:5" x14ac:dyDescent="0.25">
      <c r="A217">
        <v>216</v>
      </c>
      <c r="B217" t="s">
        <v>1640</v>
      </c>
      <c r="C217">
        <v>1</v>
      </c>
      <c r="D217" t="str">
        <f t="shared" si="6"/>
        <v>S</v>
      </c>
      <c r="E217" t="str">
        <f t="shared" si="7"/>
        <v>Según Charur Zarzar. ¿Cómo se denominan los roles que están determinados por la posición que ocupa un sujeto en una determinada organización o institución?</v>
      </c>
    </row>
    <row r="218" spans="1:5" x14ac:dyDescent="0.25">
      <c r="A218">
        <v>217</v>
      </c>
      <c r="B218" t="s">
        <v>164</v>
      </c>
      <c r="C218">
        <v>0</v>
      </c>
      <c r="D218" t="str">
        <f t="shared" si="6"/>
        <v>a</v>
      </c>
      <c r="E218" t="str">
        <f t="shared" si="7"/>
        <v>a) Estructurales.</v>
      </c>
    </row>
    <row r="219" spans="1:5" x14ac:dyDescent="0.25">
      <c r="A219">
        <v>218</v>
      </c>
      <c r="B219" t="s">
        <v>165</v>
      </c>
      <c r="C219">
        <v>0</v>
      </c>
      <c r="D219" t="str">
        <f t="shared" si="6"/>
        <v>*</v>
      </c>
      <c r="E219" t="str">
        <f t="shared" si="7"/>
        <v>b) Formales.</v>
      </c>
    </row>
    <row r="220" spans="1:5" x14ac:dyDescent="0.25">
      <c r="A220">
        <v>219</v>
      </c>
      <c r="B220" t="s">
        <v>166</v>
      </c>
      <c r="C220">
        <v>0</v>
      </c>
      <c r="D220" t="str">
        <f t="shared" si="6"/>
        <v>c</v>
      </c>
      <c r="E220" t="str">
        <f t="shared" si="7"/>
        <v>c) Funcionales.</v>
      </c>
    </row>
    <row r="221" spans="1:5" x14ac:dyDescent="0.25">
      <c r="A221">
        <v>220</v>
      </c>
      <c r="B221" t="s">
        <v>167</v>
      </c>
      <c r="C221">
        <v>0</v>
      </c>
      <c r="D221" t="str">
        <f t="shared" si="6"/>
        <v>d</v>
      </c>
      <c r="E221" t="str">
        <f t="shared" si="7"/>
        <v>d) Sociales.</v>
      </c>
    </row>
    <row r="222" spans="1:5" x14ac:dyDescent="0.25">
      <c r="A222">
        <v>221</v>
      </c>
      <c r="B222" t="s">
        <v>1641</v>
      </c>
      <c r="C222">
        <v>1</v>
      </c>
      <c r="D222" t="str">
        <f t="shared" si="6"/>
        <v>A</v>
      </c>
      <c r="E222" t="str">
        <f t="shared" si="7"/>
        <v>Ante la presunción de un caso de maltrato infantil, Graciela Tonon, refiere la necesidad de validarlo, es decir saber si efectivamente se ha producido, para ello hay que efectuar la valoración del caso. ¿Qué tipo de valoración describe la autora?</v>
      </c>
    </row>
    <row r="223" spans="1:5" x14ac:dyDescent="0.25">
      <c r="A223">
        <v>222</v>
      </c>
      <c r="B223" t="s">
        <v>168</v>
      </c>
      <c r="C223">
        <v>0</v>
      </c>
      <c r="D223" t="str">
        <f t="shared" si="6"/>
        <v>a</v>
      </c>
      <c r="E223" t="str">
        <f t="shared" si="7"/>
        <v>a) Agresividad latente y situación económica.</v>
      </c>
    </row>
    <row r="224" spans="1:5" x14ac:dyDescent="0.25">
      <c r="A224">
        <v>223</v>
      </c>
      <c r="B224" t="s">
        <v>169</v>
      </c>
      <c r="C224">
        <v>0</v>
      </c>
      <c r="D224" t="str">
        <f t="shared" si="6"/>
        <v>b</v>
      </c>
      <c r="E224" t="str">
        <f t="shared" si="7"/>
        <v>b) Composición familiar y situación contextual.</v>
      </c>
    </row>
    <row r="225" spans="1:5" x14ac:dyDescent="0.25">
      <c r="A225">
        <v>224</v>
      </c>
      <c r="B225" t="s">
        <v>170</v>
      </c>
      <c r="C225">
        <v>0</v>
      </c>
      <c r="D225" t="str">
        <f t="shared" si="6"/>
        <v>*</v>
      </c>
      <c r="E225" t="str">
        <f t="shared" si="7"/>
        <v>c) Gravedad del daño y nivel de riesgo.</v>
      </c>
    </row>
    <row r="226" spans="1:5" x14ac:dyDescent="0.25">
      <c r="A226">
        <v>225</v>
      </c>
      <c r="B226" t="s">
        <v>171</v>
      </c>
      <c r="C226">
        <v>0</v>
      </c>
      <c r="D226" t="str">
        <f t="shared" si="6"/>
        <v>d</v>
      </c>
      <c r="E226" t="str">
        <f t="shared" si="7"/>
        <v>d) Vínculos afectivos y peligrosidad.</v>
      </c>
    </row>
    <row r="227" spans="1:5" x14ac:dyDescent="0.25">
      <c r="A227">
        <v>226</v>
      </c>
      <c r="B227" t="s">
        <v>1642</v>
      </c>
      <c r="C227">
        <v>1</v>
      </c>
      <c r="D227" t="str">
        <f t="shared" si="6"/>
        <v>¿</v>
      </c>
      <c r="E227" t="str">
        <f t="shared" si="7"/>
        <v>¿A qué hace referencia Graciela Tonón cuando, siguiendo a Morin , dice..."delimita un campo de competencia y construye un objeto de estudio"?</v>
      </c>
    </row>
    <row r="228" spans="1:5" x14ac:dyDescent="0.25">
      <c r="A228">
        <v>227</v>
      </c>
      <c r="B228" t="s">
        <v>172</v>
      </c>
      <c r="C228">
        <v>0</v>
      </c>
      <c r="D228" t="str">
        <f t="shared" si="6"/>
        <v>a</v>
      </c>
      <c r="E228" t="str">
        <f t="shared" si="7"/>
        <v>a) A la ciencia.</v>
      </c>
    </row>
    <row r="229" spans="1:5" x14ac:dyDescent="0.25">
      <c r="A229">
        <v>228</v>
      </c>
      <c r="B229" t="s">
        <v>173</v>
      </c>
      <c r="C229">
        <v>0</v>
      </c>
      <c r="D229" t="str">
        <f t="shared" si="6"/>
        <v>*</v>
      </c>
      <c r="E229" t="str">
        <f t="shared" si="7"/>
        <v>b) A la disciplina.</v>
      </c>
    </row>
    <row r="230" spans="1:5" x14ac:dyDescent="0.25">
      <c r="A230">
        <v>229</v>
      </c>
      <c r="B230" t="s">
        <v>174</v>
      </c>
      <c r="C230">
        <v>0</v>
      </c>
      <c r="D230" t="str">
        <f t="shared" si="6"/>
        <v>c</v>
      </c>
      <c r="E230" t="str">
        <f t="shared" si="7"/>
        <v>c) A la interdisciplina.</v>
      </c>
    </row>
    <row r="231" spans="1:5" x14ac:dyDescent="0.25">
      <c r="A231">
        <v>230</v>
      </c>
      <c r="B231" t="s">
        <v>175</v>
      </c>
      <c r="C231">
        <v>0</v>
      </c>
      <c r="D231" t="str">
        <f t="shared" si="6"/>
        <v>d</v>
      </c>
      <c r="E231" t="str">
        <f t="shared" si="7"/>
        <v>d) A la teoría.</v>
      </c>
    </row>
    <row r="232" spans="1:5" x14ac:dyDescent="0.25">
      <c r="A232">
        <v>231</v>
      </c>
      <c r="B232" t="s">
        <v>1643</v>
      </c>
      <c r="C232">
        <v>1</v>
      </c>
      <c r="D232" t="str">
        <f t="shared" si="6"/>
        <v>S</v>
      </c>
      <c r="E232" t="str">
        <f t="shared" si="7"/>
        <v>Según Rodriguez Gómez y otros, de forma general el estudio de caso se basa en el razonamiento inductivo. ¿Cúal es otra de sus características?</v>
      </c>
    </row>
    <row r="233" spans="1:5" x14ac:dyDescent="0.25">
      <c r="A233">
        <v>232</v>
      </c>
      <c r="B233" t="s">
        <v>176</v>
      </c>
      <c r="C233">
        <v>0</v>
      </c>
      <c r="D233" t="str">
        <f t="shared" si="6"/>
        <v>a</v>
      </c>
      <c r="E233" t="str">
        <f t="shared" si="7"/>
        <v>a) El conocimiento de la ideología del investigador.</v>
      </c>
    </row>
    <row r="234" spans="1:5" x14ac:dyDescent="0.25">
      <c r="A234">
        <v>233</v>
      </c>
      <c r="B234" t="s">
        <v>177</v>
      </c>
      <c r="C234">
        <v>0</v>
      </c>
      <c r="D234" t="str">
        <f t="shared" si="6"/>
        <v>*</v>
      </c>
      <c r="E234" t="str">
        <f t="shared" si="7"/>
        <v>b) El descubrimiento de nuevas relaciones y conceptos.</v>
      </c>
    </row>
    <row r="235" spans="1:5" x14ac:dyDescent="0.25">
      <c r="A235">
        <v>234</v>
      </c>
      <c r="B235" t="s">
        <v>178</v>
      </c>
      <c r="C235">
        <v>0</v>
      </c>
      <c r="D235" t="str">
        <f t="shared" si="6"/>
        <v>c</v>
      </c>
      <c r="E235" t="str">
        <f t="shared" si="7"/>
        <v>c) La refutación de hipótesis previamente establecidas.</v>
      </c>
    </row>
    <row r="236" spans="1:5" x14ac:dyDescent="0.25">
      <c r="A236">
        <v>235</v>
      </c>
      <c r="B236" t="s">
        <v>179</v>
      </c>
      <c r="C236">
        <v>0</v>
      </c>
      <c r="D236" t="str">
        <f t="shared" si="6"/>
        <v>d</v>
      </c>
      <c r="E236" t="str">
        <f t="shared" si="7"/>
        <v>d) La reconstrucción de los procesos de conocimiento</v>
      </c>
    </row>
    <row r="237" spans="1:5" x14ac:dyDescent="0.25">
      <c r="A237">
        <v>236</v>
      </c>
      <c r="B237" t="s">
        <v>1644</v>
      </c>
      <c r="C237">
        <v>1</v>
      </c>
      <c r="D237" t="str">
        <f t="shared" si="6"/>
        <v>E</v>
      </c>
      <c r="E237" t="str">
        <f t="shared" si="7"/>
        <v>En la hipótesis, "Luego de la última crisis económica, entre las mujeres se encontró mayor nivel de adecuación a los nuevos perfiles laborales que entre los varones". ¿Qué tipo de variable es el sexo?.</v>
      </c>
    </row>
    <row r="238" spans="1:5" x14ac:dyDescent="0.25">
      <c r="A238">
        <v>237</v>
      </c>
      <c r="B238" t="s">
        <v>180</v>
      </c>
      <c r="C238">
        <v>0</v>
      </c>
      <c r="D238" t="str">
        <f t="shared" si="6"/>
        <v>a</v>
      </c>
      <c r="E238" t="str">
        <f t="shared" si="7"/>
        <v>a) Interviniente.</v>
      </c>
    </row>
    <row r="239" spans="1:5" x14ac:dyDescent="0.25">
      <c r="A239">
        <v>238</v>
      </c>
      <c r="B239" t="s">
        <v>181</v>
      </c>
      <c r="C239">
        <v>0</v>
      </c>
      <c r="D239" t="str">
        <f t="shared" si="6"/>
        <v>b</v>
      </c>
      <c r="E239" t="str">
        <f t="shared" si="7"/>
        <v>b) Dependiente.</v>
      </c>
    </row>
    <row r="240" spans="1:5" x14ac:dyDescent="0.25">
      <c r="A240">
        <v>239</v>
      </c>
      <c r="B240" t="s">
        <v>182</v>
      </c>
      <c r="C240">
        <v>0</v>
      </c>
      <c r="D240" t="str">
        <f t="shared" si="6"/>
        <v>*</v>
      </c>
      <c r="E240" t="str">
        <f t="shared" si="7"/>
        <v>c) Independiente.</v>
      </c>
    </row>
    <row r="241" spans="1:5" x14ac:dyDescent="0.25">
      <c r="A241">
        <v>240</v>
      </c>
      <c r="B241" t="s">
        <v>183</v>
      </c>
      <c r="C241">
        <v>0</v>
      </c>
      <c r="D241" t="str">
        <f t="shared" si="6"/>
        <v>d</v>
      </c>
      <c r="E241" t="str">
        <f t="shared" si="7"/>
        <v>d) Ponderada.</v>
      </c>
    </row>
    <row r="242" spans="1:5" x14ac:dyDescent="0.25">
      <c r="A242">
        <v>241</v>
      </c>
      <c r="B242" t="s">
        <v>1645</v>
      </c>
      <c r="C242">
        <v>1</v>
      </c>
      <c r="D242" t="str">
        <f t="shared" si="6"/>
        <v>E</v>
      </c>
      <c r="E242" t="str">
        <f t="shared" si="7"/>
        <v>En la hipótesis, "El estudio en grupo contribuye a la obtención de mejores calificaciones", la variable "la obtención de mejores calificaciones". ¿Qué tipo de variable es?</v>
      </c>
    </row>
    <row r="243" spans="1:5" x14ac:dyDescent="0.25">
      <c r="A243">
        <v>242</v>
      </c>
      <c r="B243" t="s">
        <v>184</v>
      </c>
      <c r="C243">
        <v>0</v>
      </c>
      <c r="D243" t="str">
        <f t="shared" si="6"/>
        <v>a</v>
      </c>
      <c r="E243" t="str">
        <f t="shared" si="7"/>
        <v>a) Independiente.</v>
      </c>
    </row>
    <row r="244" spans="1:5" x14ac:dyDescent="0.25">
      <c r="A244">
        <v>243</v>
      </c>
      <c r="B244" t="s">
        <v>185</v>
      </c>
      <c r="C244">
        <v>0</v>
      </c>
      <c r="D244" t="str">
        <f t="shared" si="6"/>
        <v>b</v>
      </c>
      <c r="E244" t="str">
        <f t="shared" si="7"/>
        <v>b) Relacional.</v>
      </c>
    </row>
    <row r="245" spans="1:5" x14ac:dyDescent="0.25">
      <c r="A245">
        <v>244</v>
      </c>
      <c r="B245" t="s">
        <v>186</v>
      </c>
      <c r="C245">
        <v>0</v>
      </c>
      <c r="D245" t="str">
        <f t="shared" si="6"/>
        <v>c</v>
      </c>
      <c r="E245" t="str">
        <f t="shared" si="7"/>
        <v>c) Interviniente.</v>
      </c>
    </row>
    <row r="246" spans="1:5" x14ac:dyDescent="0.25">
      <c r="A246">
        <v>245</v>
      </c>
      <c r="B246" t="s">
        <v>187</v>
      </c>
      <c r="C246">
        <v>0</v>
      </c>
      <c r="D246" t="str">
        <f t="shared" si="6"/>
        <v>*</v>
      </c>
      <c r="E246" t="str">
        <f t="shared" si="7"/>
        <v>d) Dependiente.</v>
      </c>
    </row>
    <row r="247" spans="1:5" x14ac:dyDescent="0.25">
      <c r="A247">
        <v>246</v>
      </c>
      <c r="B247" t="s">
        <v>1646</v>
      </c>
      <c r="C247">
        <v>1</v>
      </c>
      <c r="D247" t="str">
        <f t="shared" si="6"/>
        <v>E</v>
      </c>
      <c r="E247" t="str">
        <f t="shared" si="7"/>
        <v>En la hipótesis. "El aumento de la violencia en el fútbol, disminuyó la asistencia de público a los estadios" ¿Cómo se denomina la variable "asistencia de público a los estadios"?</v>
      </c>
    </row>
    <row r="248" spans="1:5" x14ac:dyDescent="0.25">
      <c r="A248">
        <v>247</v>
      </c>
      <c r="B248" t="s">
        <v>188</v>
      </c>
      <c r="C248">
        <v>0</v>
      </c>
      <c r="D248" t="str">
        <f t="shared" si="6"/>
        <v>*</v>
      </c>
      <c r="E248" t="str">
        <f t="shared" si="7"/>
        <v>a) Dependiente.</v>
      </c>
    </row>
    <row r="249" spans="1:5" x14ac:dyDescent="0.25">
      <c r="A249">
        <v>248</v>
      </c>
      <c r="B249" t="s">
        <v>189</v>
      </c>
      <c r="C249">
        <v>0</v>
      </c>
      <c r="D249" t="str">
        <f t="shared" si="6"/>
        <v>b</v>
      </c>
      <c r="E249" t="str">
        <f t="shared" si="7"/>
        <v>b) Independiente.</v>
      </c>
    </row>
    <row r="250" spans="1:5" x14ac:dyDescent="0.25">
      <c r="A250">
        <v>249</v>
      </c>
      <c r="B250" t="s">
        <v>190</v>
      </c>
      <c r="C250">
        <v>0</v>
      </c>
      <c r="D250" t="str">
        <f t="shared" si="6"/>
        <v>c</v>
      </c>
      <c r="E250" t="str">
        <f t="shared" si="7"/>
        <v>c) Ponderada.</v>
      </c>
    </row>
    <row r="251" spans="1:5" x14ac:dyDescent="0.25">
      <c r="A251">
        <v>250</v>
      </c>
      <c r="B251" t="s">
        <v>191</v>
      </c>
      <c r="C251">
        <v>0</v>
      </c>
      <c r="D251" t="str">
        <f t="shared" si="6"/>
        <v>d</v>
      </c>
      <c r="E251" t="str">
        <f t="shared" si="7"/>
        <v>d) Relacional.</v>
      </c>
    </row>
    <row r="252" spans="1:5" x14ac:dyDescent="0.25">
      <c r="A252">
        <v>251</v>
      </c>
      <c r="B252" t="s">
        <v>1647</v>
      </c>
      <c r="C252">
        <v>1</v>
      </c>
      <c r="D252" t="str">
        <f t="shared" si="6"/>
        <v>E</v>
      </c>
      <c r="E252" t="str">
        <f t="shared" si="7"/>
        <v>En la hipótesis "El manejar acompañado por una persona adulta en la ruta, disminuye las posibilidades de sufrir accidentes al conducir" ¿Qué tipo de varible es "edad del acompañante" ?</v>
      </c>
    </row>
    <row r="253" spans="1:5" x14ac:dyDescent="0.25">
      <c r="A253">
        <v>252</v>
      </c>
      <c r="B253" t="s">
        <v>192</v>
      </c>
      <c r="C253">
        <v>0</v>
      </c>
      <c r="D253" t="str">
        <f t="shared" si="6"/>
        <v>a</v>
      </c>
      <c r="E253" t="str">
        <f t="shared" si="7"/>
        <v>a) Dependiente.</v>
      </c>
    </row>
    <row r="254" spans="1:5" x14ac:dyDescent="0.25">
      <c r="A254">
        <v>253</v>
      </c>
      <c r="B254" t="s">
        <v>189</v>
      </c>
      <c r="C254">
        <v>0</v>
      </c>
      <c r="D254" t="str">
        <f t="shared" si="6"/>
        <v>b</v>
      </c>
      <c r="E254" t="str">
        <f t="shared" si="7"/>
        <v>b) Independiente.</v>
      </c>
    </row>
    <row r="255" spans="1:5" x14ac:dyDescent="0.25">
      <c r="A255">
        <v>254</v>
      </c>
      <c r="B255" t="s">
        <v>193</v>
      </c>
      <c r="C255">
        <v>0</v>
      </c>
      <c r="D255" t="str">
        <f t="shared" si="6"/>
        <v>*</v>
      </c>
      <c r="E255" t="str">
        <f t="shared" si="7"/>
        <v>c) Interviniente.</v>
      </c>
    </row>
    <row r="256" spans="1:5" x14ac:dyDescent="0.25">
      <c r="A256">
        <v>255</v>
      </c>
      <c r="B256" t="s">
        <v>191</v>
      </c>
      <c r="C256">
        <v>0</v>
      </c>
      <c r="D256" t="str">
        <f t="shared" si="6"/>
        <v>d</v>
      </c>
      <c r="E256" t="str">
        <f t="shared" si="7"/>
        <v>d) Relacional.</v>
      </c>
    </row>
    <row r="257" spans="1:5" x14ac:dyDescent="0.25">
      <c r="A257">
        <v>256</v>
      </c>
      <c r="B257" s="1" t="s">
        <v>1648</v>
      </c>
      <c r="C257">
        <v>1</v>
      </c>
      <c r="D257" t="str">
        <f t="shared" si="6"/>
        <v>U</v>
      </c>
      <c r="E257" t="str">
        <f t="shared" si="7"/>
        <v>Una pareja de extranjeros que esta en el país de manera temporaria, consulta al Servicio Social de un Hospital Materno Infantil del G.C.B.A por la posibilidad de adopción de un niño que se encuentra internado en dicho efector. ¿Cúal es la orientación que la trabajadora social debe dar según la reserva realizada por la Argentina de la Convención Internacional de los derechos de niños niñas y adolescentes, en relación a la adopción internacional?</v>
      </c>
    </row>
    <row r="258" spans="1:5" x14ac:dyDescent="0.25">
      <c r="A258">
        <v>257</v>
      </c>
      <c r="B258" t="s">
        <v>194</v>
      </c>
      <c r="C258">
        <v>0</v>
      </c>
      <c r="D258" t="str">
        <f t="shared" si="6"/>
        <v>*</v>
      </c>
      <c r="E258" t="str">
        <f t="shared" si="7"/>
        <v>a) No esta permitida en ningún caso.</v>
      </c>
    </row>
    <row r="259" spans="1:5" x14ac:dyDescent="0.25">
      <c r="A259">
        <v>258</v>
      </c>
      <c r="B259" t="s">
        <v>195</v>
      </c>
      <c r="C259">
        <v>0</v>
      </c>
      <c r="D259" t="str">
        <f t="shared" ref="D259:D322" si="8">+MID(B259,1,1)</f>
        <v>b</v>
      </c>
      <c r="E259" t="str">
        <f t="shared" ref="E259:E322" si="9">+IF(D259="*",MID(B259,3,500),B259)</f>
        <v>b) Esta permitida entre países limítrofes.</v>
      </c>
    </row>
    <row r="260" spans="1:5" x14ac:dyDescent="0.25">
      <c r="A260">
        <v>259</v>
      </c>
      <c r="B260" t="s">
        <v>196</v>
      </c>
      <c r="C260">
        <v>0</v>
      </c>
      <c r="D260" t="str">
        <f t="shared" si="8"/>
        <v>c</v>
      </c>
      <c r="E260" t="str">
        <f t="shared" si="9"/>
        <v>c) Esta permitida para niños mayores de 6 años.</v>
      </c>
    </row>
    <row r="261" spans="1:5" x14ac:dyDescent="0.25">
      <c r="A261">
        <v>260</v>
      </c>
      <c r="B261" t="s">
        <v>197</v>
      </c>
      <c r="C261">
        <v>0</v>
      </c>
      <c r="D261" t="str">
        <f t="shared" si="8"/>
        <v>d</v>
      </c>
      <c r="E261" t="str">
        <f t="shared" si="9"/>
        <v>d) Esta permitida en todos los casos.</v>
      </c>
    </row>
    <row r="262" spans="1:5" x14ac:dyDescent="0.25">
      <c r="A262">
        <v>261</v>
      </c>
      <c r="B262" s="1" t="s">
        <v>1649</v>
      </c>
      <c r="C262">
        <v>1</v>
      </c>
      <c r="D262" t="str">
        <f t="shared" si="8"/>
        <v>U</v>
      </c>
      <c r="E262" t="str">
        <f t="shared" si="9"/>
        <v>Un residente de pediatría de un hospital del G.C.B.A acude al Servicio Social del mismo a fin de consultar acerca de un niño de 5 años internado hace 15 días. Refiere que sus padres concurren esporádicamente por dificultades laborales y vinculares. Según el artículo 18 de la Convención Internacional de los derechos de niños niñas y adolescentes. ¿A quién compete la crianza y el desarollo del niño?</v>
      </c>
    </row>
    <row r="263" spans="1:5" x14ac:dyDescent="0.25">
      <c r="A263">
        <v>262</v>
      </c>
      <c r="B263" t="s">
        <v>198</v>
      </c>
      <c r="C263">
        <v>0</v>
      </c>
      <c r="D263" t="str">
        <f t="shared" si="8"/>
        <v>a</v>
      </c>
      <c r="E263" t="str">
        <f t="shared" si="9"/>
        <v>a) A la madre.</v>
      </c>
    </row>
    <row r="264" spans="1:5" x14ac:dyDescent="0.25">
      <c r="A264">
        <v>263</v>
      </c>
      <c r="B264" t="s">
        <v>199</v>
      </c>
      <c r="C264">
        <v>0</v>
      </c>
      <c r="D264" t="str">
        <f t="shared" si="8"/>
        <v>b</v>
      </c>
      <c r="E264" t="str">
        <f t="shared" si="9"/>
        <v>b) Al padre.</v>
      </c>
    </row>
    <row r="265" spans="1:5" x14ac:dyDescent="0.25">
      <c r="A265">
        <v>264</v>
      </c>
      <c r="B265" t="s">
        <v>200</v>
      </c>
      <c r="C265">
        <v>0</v>
      </c>
      <c r="D265" t="str">
        <f t="shared" si="8"/>
        <v>*</v>
      </c>
      <c r="E265" t="str">
        <f t="shared" si="9"/>
        <v>c) A ambos padres.</v>
      </c>
    </row>
    <row r="266" spans="1:5" x14ac:dyDescent="0.25">
      <c r="A266">
        <v>265</v>
      </c>
      <c r="B266" t="s">
        <v>201</v>
      </c>
      <c r="C266">
        <v>0</v>
      </c>
      <c r="D266" t="str">
        <f t="shared" si="8"/>
        <v>d</v>
      </c>
      <c r="E266" t="str">
        <f t="shared" si="9"/>
        <v>d) Al Estado.</v>
      </c>
    </row>
    <row r="267" spans="1:5" x14ac:dyDescent="0.25">
      <c r="A267">
        <v>266</v>
      </c>
      <c r="B267" s="1" t="s">
        <v>1650</v>
      </c>
      <c r="C267">
        <v>1</v>
      </c>
      <c r="D267" t="str">
        <f t="shared" si="8"/>
        <v>L</v>
      </c>
      <c r="E267" t="str">
        <f t="shared" si="9"/>
        <v>La mamá de Juan, un joven de 25 años, consulta al Servicio Social del CESAC de su domicilio para asesorarse sobre la posibilidad de internarlo en un Hospital Psiquiátrico por reiterados brotes psicóticos, poniendo en riesgo su vida y la de terceros. La trabajadora social la asesora según la Ley 448 de Salud Mental sobre las diferentes formas de acceder al régimen de internación. ¿Cuáles son estas formas?</v>
      </c>
    </row>
    <row r="268" spans="1:5" x14ac:dyDescent="0.25">
      <c r="A268">
        <v>267</v>
      </c>
      <c r="B268" t="s">
        <v>202</v>
      </c>
      <c r="C268">
        <v>0</v>
      </c>
      <c r="D268" t="str">
        <f t="shared" si="8"/>
        <v>a</v>
      </c>
      <c r="E268" t="str">
        <f t="shared" si="9"/>
        <v>a) Solicitud de familiares, vecinos y allegados.</v>
      </c>
    </row>
    <row r="269" spans="1:5" x14ac:dyDescent="0.25">
      <c r="A269">
        <v>268</v>
      </c>
      <c r="B269" t="s">
        <v>203</v>
      </c>
      <c r="C269">
        <v>0</v>
      </c>
      <c r="D269" t="str">
        <f t="shared" si="8"/>
        <v>b</v>
      </c>
      <c r="E269" t="str">
        <f t="shared" si="9"/>
        <v>b) Pedido del empleador de Juan.</v>
      </c>
    </row>
    <row r="270" spans="1:5" x14ac:dyDescent="0.25">
      <c r="A270">
        <v>269</v>
      </c>
      <c r="B270" t="s">
        <v>204</v>
      </c>
      <c r="C270">
        <v>0</v>
      </c>
      <c r="D270" t="str">
        <f t="shared" si="8"/>
        <v>c</v>
      </c>
      <c r="E270" t="str">
        <f t="shared" si="9"/>
        <v>c) Persuasión, violencia o castigo</v>
      </c>
    </row>
    <row r="271" spans="1:5" x14ac:dyDescent="0.25">
      <c r="A271">
        <v>270</v>
      </c>
      <c r="B271" t="s">
        <v>205</v>
      </c>
      <c r="C271">
        <v>0</v>
      </c>
      <c r="D271" t="str">
        <f t="shared" si="8"/>
        <v>*</v>
      </c>
      <c r="E271" t="str">
        <f t="shared" si="9"/>
        <v>d) Voluntario, involuntario, o por orden judicial</v>
      </c>
    </row>
    <row r="272" spans="1:5" x14ac:dyDescent="0.25">
      <c r="A272">
        <v>271</v>
      </c>
      <c r="B272" s="1" t="s">
        <v>1651</v>
      </c>
      <c r="C272">
        <v>1</v>
      </c>
      <c r="D272" t="str">
        <f t="shared" si="8"/>
        <v>M</v>
      </c>
      <c r="E272" t="str">
        <f t="shared" si="9"/>
        <v xml:space="preserve">Manuel, un paciente de 40 años, se encuentra en condiciones de egresar de un Hospital Psiquiátrico del G.C.B.A. El equipo interdisciplinario interviniente evalúa ante la falta de red social y familiar continente, otras posibilidades de egreso. Según consta en el Artículo 15 de la Ley de Salud Mental 448. ¿Cúal es la estrategia de intervención a implementar en estos casos? </v>
      </c>
    </row>
    <row r="273" spans="1:5" x14ac:dyDescent="0.25">
      <c r="A273">
        <v>272</v>
      </c>
      <c r="B273" t="s">
        <v>206</v>
      </c>
      <c r="C273">
        <v>0</v>
      </c>
      <c r="D273" t="str">
        <f t="shared" si="8"/>
        <v>*</v>
      </c>
      <c r="E273" t="str">
        <f t="shared" si="9"/>
        <v>a) Albergarlo en establecimientos de Promoción Social.</v>
      </c>
    </row>
    <row r="274" spans="1:5" x14ac:dyDescent="0.25">
      <c r="A274">
        <v>273</v>
      </c>
      <c r="B274" t="s">
        <v>207</v>
      </c>
      <c r="C274">
        <v>0</v>
      </c>
      <c r="D274" t="str">
        <f t="shared" si="8"/>
        <v>b</v>
      </c>
      <c r="E274" t="str">
        <f t="shared" si="9"/>
        <v>b) Derivarlo a un Hospital General de Agudos.</v>
      </c>
    </row>
    <row r="275" spans="1:5" x14ac:dyDescent="0.25">
      <c r="A275">
        <v>274</v>
      </c>
      <c r="B275" t="s">
        <v>208</v>
      </c>
      <c r="C275">
        <v>0</v>
      </c>
      <c r="D275" t="str">
        <f t="shared" si="8"/>
        <v>c</v>
      </c>
      <c r="E275" t="str">
        <f t="shared" si="9"/>
        <v>c) Otorgar el alta con seguimientos períodicos.</v>
      </c>
    </row>
    <row r="276" spans="1:5" x14ac:dyDescent="0.25">
      <c r="A276">
        <v>275</v>
      </c>
      <c r="B276" t="s">
        <v>209</v>
      </c>
      <c r="C276">
        <v>0</v>
      </c>
      <c r="D276" t="str">
        <f t="shared" si="8"/>
        <v>d</v>
      </c>
      <c r="E276" t="str">
        <f t="shared" si="9"/>
        <v>d) Prolongar la internación en la institución.</v>
      </c>
    </row>
    <row r="277" spans="1:5" x14ac:dyDescent="0.25">
      <c r="A277">
        <v>276</v>
      </c>
      <c r="B277" s="1" t="s">
        <v>1652</v>
      </c>
      <c r="C277">
        <v>1</v>
      </c>
      <c r="D277" t="str">
        <f t="shared" si="8"/>
        <v>R</v>
      </c>
      <c r="E277" t="str">
        <f t="shared" si="9"/>
        <v>Raquel, la mamá de Pedro, quien padece una discapacidad motora consulta al Servicio Social del centro de salud de referencia, dado que por diversas circunstancias no puede usufructuar el traslado gratuito de transporte colectivo entre su domicilio y el establecimiento educacional del niño. En base a la Ley 24.901 y considerando que Pedro tiene obra social. ¿Qué orientación le debe dar la trabajadora social acerca del beneficio correspondiente?</v>
      </c>
    </row>
    <row r="278" spans="1:5" x14ac:dyDescent="0.25">
      <c r="A278">
        <v>277</v>
      </c>
      <c r="B278" t="s">
        <v>210</v>
      </c>
      <c r="C278">
        <v>0</v>
      </c>
      <c r="D278" t="str">
        <f t="shared" si="8"/>
        <v>a</v>
      </c>
      <c r="E278" t="str">
        <f t="shared" si="9"/>
        <v>a) Requerir una maestra domiciliaria.</v>
      </c>
    </row>
    <row r="279" spans="1:5" x14ac:dyDescent="0.25">
      <c r="A279">
        <v>278</v>
      </c>
      <c r="B279" t="s">
        <v>211</v>
      </c>
      <c r="C279">
        <v>0</v>
      </c>
      <c r="D279" t="str">
        <f t="shared" si="8"/>
        <v>*</v>
      </c>
      <c r="E279" t="str">
        <f t="shared" si="9"/>
        <v>b) Requerir a su cobertura social un transporte especial.</v>
      </c>
    </row>
    <row r="280" spans="1:5" x14ac:dyDescent="0.25">
      <c r="A280">
        <v>279</v>
      </c>
      <c r="B280" t="s">
        <v>212</v>
      </c>
      <c r="C280">
        <v>0</v>
      </c>
      <c r="D280" t="str">
        <f t="shared" si="8"/>
        <v>c</v>
      </c>
      <c r="E280" t="str">
        <f t="shared" si="9"/>
        <v>c) Requerir que la escuela provea el transporte.</v>
      </c>
    </row>
    <row r="281" spans="1:5" x14ac:dyDescent="0.25">
      <c r="A281">
        <v>280</v>
      </c>
      <c r="B281" t="s">
        <v>213</v>
      </c>
      <c r="C281">
        <v>0</v>
      </c>
      <c r="D281" t="str">
        <f t="shared" si="8"/>
        <v>d</v>
      </c>
      <c r="E281" t="str">
        <f t="shared" si="9"/>
        <v>d) Tramitar el pase a una institución educativa mas cercana.</v>
      </c>
    </row>
    <row r="282" spans="1:5" x14ac:dyDescent="0.25">
      <c r="A282">
        <v>281</v>
      </c>
      <c r="B282" s="1" t="s">
        <v>1653</v>
      </c>
      <c r="C282">
        <v>1</v>
      </c>
      <c r="D282" t="str">
        <f t="shared" si="8"/>
        <v>E</v>
      </c>
      <c r="E282" t="str">
        <f t="shared" si="9"/>
        <v>El señor Lopez tiene dos hijos, uno de 12 años que cursa la escuela primaria y el otro de 23 declarado discapacitado, este concurre a un establecimiento oficial en el cual se le brindan servicios de rehabilitación. Según el artículo 14 Bis de la Ley 22.431. ¿Qué tiene derecho a percibir el señor Lopez junto con su salario, por su hijo discapacitado?</v>
      </c>
    </row>
    <row r="283" spans="1:5" x14ac:dyDescent="0.25">
      <c r="A283">
        <v>282</v>
      </c>
      <c r="B283" t="s">
        <v>214</v>
      </c>
      <c r="C283">
        <v>0</v>
      </c>
      <c r="D283" t="str">
        <f t="shared" si="8"/>
        <v>a</v>
      </c>
      <c r="E283" t="str">
        <f t="shared" si="9"/>
        <v>a) Una asignación por escolaridad equivalente a la que percibe por su hijo de 12 años.</v>
      </c>
    </row>
    <row r="284" spans="1:5" x14ac:dyDescent="0.25">
      <c r="A284">
        <v>283</v>
      </c>
      <c r="B284" t="s">
        <v>215</v>
      </c>
      <c r="C284">
        <v>0</v>
      </c>
      <c r="D284" t="str">
        <f t="shared" si="8"/>
        <v>b</v>
      </c>
      <c r="E284" t="str">
        <f t="shared" si="9"/>
        <v>b) Ninguna asignación porque su hijo discapacitado tiene mas de 21 años.</v>
      </c>
    </row>
    <row r="285" spans="1:5" x14ac:dyDescent="0.25">
      <c r="A285">
        <v>284</v>
      </c>
      <c r="B285" t="s">
        <v>398</v>
      </c>
      <c r="C285">
        <v>0</v>
      </c>
      <c r="D285" t="str">
        <f t="shared" si="8"/>
        <v>*</v>
      </c>
      <c r="E285" t="str">
        <f t="shared" si="9"/>
        <v>c) Una asignación por escolaridad que duplique el monto de la asignación percibida por su otro hijo.</v>
      </c>
    </row>
    <row r="286" spans="1:5" x14ac:dyDescent="0.25">
      <c r="A286">
        <v>285</v>
      </c>
      <c r="B286" t="s">
        <v>373</v>
      </c>
      <c r="C286">
        <v>0</v>
      </c>
      <c r="D286" t="str">
        <f t="shared" si="8"/>
        <v>d</v>
      </c>
      <c r="E286" t="str">
        <f t="shared" si="9"/>
        <v>d) Ninguna asignación porque su hijo discapacitado no asiste a un establecimiento de enseñanza primaria.</v>
      </c>
    </row>
    <row r="287" spans="1:5" x14ac:dyDescent="0.25">
      <c r="A287">
        <v>286</v>
      </c>
      <c r="B287" t="s">
        <v>1654</v>
      </c>
      <c r="C287">
        <v>1</v>
      </c>
      <c r="D287" t="str">
        <f t="shared" si="8"/>
        <v>J</v>
      </c>
      <c r="E287" t="str">
        <f t="shared" si="9"/>
        <v>Julieta tiene una discapacidad motora, es empleada en relación de dependencia en una empresa gastronómica. De acuerdo al Artículo 10 de la Ley 22.431. ¿Por su discapacidad, qué beneficios tiene Julieta?</v>
      </c>
    </row>
    <row r="288" spans="1:5" x14ac:dyDescent="0.25">
      <c r="A288">
        <v>287</v>
      </c>
      <c r="B288" t="s">
        <v>399</v>
      </c>
      <c r="C288">
        <v>0</v>
      </c>
      <c r="D288" t="str">
        <f t="shared" si="8"/>
        <v>a</v>
      </c>
      <c r="E288" t="str">
        <f t="shared" si="9"/>
        <v>a) Los mismos derechos y obligaciones que sus compañeros no discapacitados, más el 4 por ciento adicional sobre el total del sueldo anual complementario.</v>
      </c>
    </row>
    <row r="289" spans="1:5" x14ac:dyDescent="0.25">
      <c r="A289">
        <v>288</v>
      </c>
      <c r="B289" t="s">
        <v>216</v>
      </c>
      <c r="C289">
        <v>0</v>
      </c>
      <c r="D289" t="str">
        <f t="shared" si="8"/>
        <v>b</v>
      </c>
      <c r="E289" t="str">
        <f t="shared" si="9"/>
        <v>b) Jornada laboral con horario reducido para complementar su rehabilitación.</v>
      </c>
    </row>
    <row r="290" spans="1:5" x14ac:dyDescent="0.25">
      <c r="A290">
        <v>289</v>
      </c>
      <c r="B290" t="s">
        <v>217</v>
      </c>
      <c r="C290">
        <v>0</v>
      </c>
      <c r="D290" t="str">
        <f t="shared" si="8"/>
        <v>*</v>
      </c>
      <c r="E290" t="str">
        <f t="shared" si="9"/>
        <v>c) Los mismos derechos y obligaciones que sus compañeros no discapacitados.</v>
      </c>
    </row>
    <row r="291" spans="1:5" x14ac:dyDescent="0.25">
      <c r="A291">
        <v>290</v>
      </c>
      <c r="B291" t="s">
        <v>374</v>
      </c>
      <c r="C291">
        <v>0</v>
      </c>
      <c r="D291" t="str">
        <f t="shared" si="8"/>
        <v>d</v>
      </c>
      <c r="E291" t="str">
        <f t="shared" si="9"/>
        <v>d) La misma cantidad de días de licencia ordinaria que el resto de sus compañeros, mas 5 días hábiles extra anuales.</v>
      </c>
    </row>
    <row r="292" spans="1:5" x14ac:dyDescent="0.25">
      <c r="A292">
        <v>291</v>
      </c>
      <c r="B292" s="1" t="s">
        <v>1655</v>
      </c>
      <c r="C292">
        <v>1</v>
      </c>
      <c r="D292" t="str">
        <f t="shared" si="8"/>
        <v>U</v>
      </c>
      <c r="E292" t="str">
        <f t="shared" si="9"/>
        <v>Una adolescente de 15 años de edad cuya familia de origen reside en la provincia de Tucumán, tuvo a su hijo en un hospital público de la Ciudad de Buenos Aires. Tanto ella como su hijo se encuentran en condiciones de alta. Según la resolución 1342/05 de la Secretaría de Salud ¿Cómo debe proceder el equipo de salud del hospital?</v>
      </c>
    </row>
    <row r="293" spans="1:5" x14ac:dyDescent="0.25">
      <c r="A293">
        <v>292</v>
      </c>
      <c r="B293" t="s">
        <v>375</v>
      </c>
      <c r="C293">
        <v>0</v>
      </c>
      <c r="D293" t="str">
        <f t="shared" si="8"/>
        <v>a</v>
      </c>
      <c r="E293" t="str">
        <f t="shared" si="9"/>
        <v>a) Dando intervención al Consejo de derechos de niñas niños y adolescentes de la Ciudad de Buenos Aires, por tratarse de una menor.</v>
      </c>
    </row>
    <row r="294" spans="1:5" x14ac:dyDescent="0.25">
      <c r="A294">
        <v>293</v>
      </c>
      <c r="B294" t="s">
        <v>376</v>
      </c>
      <c r="C294">
        <v>0</v>
      </c>
      <c r="D294" t="str">
        <f t="shared" si="8"/>
        <v>b</v>
      </c>
      <c r="E294" t="str">
        <f t="shared" si="9"/>
        <v>b) Exige a la madre la iniciación del trámite del DNI del recién nacido como condición para otorgar el alta.</v>
      </c>
    </row>
    <row r="295" spans="1:5" x14ac:dyDescent="0.25">
      <c r="A295">
        <v>294</v>
      </c>
      <c r="B295" t="s">
        <v>377</v>
      </c>
      <c r="C295">
        <v>0</v>
      </c>
      <c r="D295" t="str">
        <f t="shared" si="8"/>
        <v>*</v>
      </c>
      <c r="E295" t="str">
        <f t="shared" si="9"/>
        <v>c) Le otorga el alta a la madre y al niño, pudiendo retirarse por sus propios medios sin un acompañante adulto.</v>
      </c>
    </row>
    <row r="296" spans="1:5" x14ac:dyDescent="0.25">
      <c r="A296">
        <v>295</v>
      </c>
      <c r="B296" t="s">
        <v>378</v>
      </c>
      <c r="C296">
        <v>0</v>
      </c>
      <c r="D296" t="str">
        <f t="shared" si="8"/>
        <v>d</v>
      </c>
      <c r="E296" t="str">
        <f t="shared" si="9"/>
        <v>d) Prolonga su internación hasta tanto se presente algún integrante adulto de la familia de origen de la Madre.</v>
      </c>
    </row>
    <row r="297" spans="1:5" x14ac:dyDescent="0.25">
      <c r="A297">
        <v>296</v>
      </c>
      <c r="B297" s="1" t="s">
        <v>1656</v>
      </c>
      <c r="C297">
        <v>1</v>
      </c>
      <c r="D297" t="str">
        <f t="shared" si="8"/>
        <v>U</v>
      </c>
      <c r="E297" t="str">
        <f t="shared" si="9"/>
        <v>Una joven de 18 años, con DNI en mal estado acude al Servicio de Salud Sexual y Reproductiva de un Centro de Salud dependiente del G.C.B.A. Solicita asesoramiento y la provisión de un método anticonceptivo. Según la resolución 1253/05, Artículo 1 de la Secretaría de Salud ¿Cómo debe proceder el profesional interviniente?</v>
      </c>
    </row>
    <row r="298" spans="1:5" x14ac:dyDescent="0.25">
      <c r="A298">
        <v>297</v>
      </c>
      <c r="B298" t="s">
        <v>379</v>
      </c>
      <c r="C298">
        <v>0</v>
      </c>
      <c r="D298" t="str">
        <f t="shared" si="8"/>
        <v>a</v>
      </c>
      <c r="E298" t="str">
        <f t="shared" si="9"/>
        <v>a) Le brinda asesoramiento pero no le entrega el método anticonceptivo, hasta tanto no tramite su nuevo DNI.</v>
      </c>
    </row>
    <row r="299" spans="1:5" x14ac:dyDescent="0.25">
      <c r="A299">
        <v>298</v>
      </c>
      <c r="B299" t="s">
        <v>218</v>
      </c>
      <c r="C299">
        <v>0</v>
      </c>
      <c r="D299" t="str">
        <f t="shared" si="8"/>
        <v>*</v>
      </c>
      <c r="E299" t="str">
        <f t="shared" si="9"/>
        <v>b) Le brinda asesoramiento y provee el método.</v>
      </c>
    </row>
    <row r="300" spans="1:5" x14ac:dyDescent="0.25">
      <c r="A300">
        <v>299</v>
      </c>
      <c r="B300" t="s">
        <v>380</v>
      </c>
      <c r="C300">
        <v>0</v>
      </c>
      <c r="D300" t="str">
        <f t="shared" si="8"/>
        <v>c</v>
      </c>
      <c r="E300" t="str">
        <f t="shared" si="9"/>
        <v>c) Le solicita que concurra acompañada de un adulto responsable para brindarle el asesoramiento y la provisión del método.</v>
      </c>
    </row>
    <row r="301" spans="1:5" x14ac:dyDescent="0.25">
      <c r="A301">
        <v>300</v>
      </c>
      <c r="B301" t="s">
        <v>219</v>
      </c>
      <c r="C301">
        <v>0</v>
      </c>
      <c r="D301" t="str">
        <f t="shared" si="8"/>
        <v>d</v>
      </c>
      <c r="E301" t="str">
        <f t="shared" si="9"/>
        <v>d) Le niega el asesoramiento y la provisión del método por el mal estado de su DNI.</v>
      </c>
    </row>
    <row r="302" spans="1:5" x14ac:dyDescent="0.25">
      <c r="A302">
        <v>301</v>
      </c>
      <c r="B302" s="1" t="s">
        <v>1657</v>
      </c>
      <c r="C302">
        <v>1</v>
      </c>
      <c r="D302" t="str">
        <f t="shared" si="8"/>
        <v>D</v>
      </c>
      <c r="E302" t="str">
        <f t="shared" si="9"/>
        <v>Desde el Centro de Salud y Acción Comunitaria Nº 12, se plantea realizar talleres de promoción de la Ley 418 de Salud Sexual y Reproductiva, en diferentes espacios comunitarios. En concordancia con la población destinataria de dicha ley. ¿ A quiénes estarían dirigidas las acciones?</v>
      </c>
    </row>
    <row r="303" spans="1:5" x14ac:dyDescent="0.25">
      <c r="A303">
        <v>302</v>
      </c>
      <c r="B303" t="s">
        <v>220</v>
      </c>
      <c r="C303">
        <v>0</v>
      </c>
      <c r="D303" t="str">
        <f t="shared" si="8"/>
        <v>a</v>
      </c>
      <c r="E303" t="str">
        <f t="shared" si="9"/>
        <v>a) Adolescentes.</v>
      </c>
    </row>
    <row r="304" spans="1:5" x14ac:dyDescent="0.25">
      <c r="A304">
        <v>303</v>
      </c>
      <c r="B304" t="s">
        <v>221</v>
      </c>
      <c r="C304">
        <v>0</v>
      </c>
      <c r="D304" t="str">
        <f t="shared" si="8"/>
        <v>b</v>
      </c>
      <c r="E304" t="str">
        <f t="shared" si="9"/>
        <v>b) Mujeres mayores de 21 años.</v>
      </c>
    </row>
    <row r="305" spans="1:5" x14ac:dyDescent="0.25">
      <c r="A305">
        <v>304</v>
      </c>
      <c r="B305" t="s">
        <v>222</v>
      </c>
      <c r="C305">
        <v>0</v>
      </c>
      <c r="D305" t="str">
        <f t="shared" si="8"/>
        <v>c</v>
      </c>
      <c r="E305" t="str">
        <f t="shared" si="9"/>
        <v>c) Población con domicilio en el área de responsabilidad del Centro de Salud.</v>
      </c>
    </row>
    <row r="306" spans="1:5" x14ac:dyDescent="0.25">
      <c r="A306">
        <v>305</v>
      </c>
      <c r="B306" t="s">
        <v>223</v>
      </c>
      <c r="C306">
        <v>0</v>
      </c>
      <c r="D306" t="str">
        <f t="shared" si="8"/>
        <v>*</v>
      </c>
      <c r="E306" t="str">
        <f t="shared" si="9"/>
        <v>d) Población en general, especialmente las personas en edad fértil.</v>
      </c>
    </row>
    <row r="307" spans="1:5" x14ac:dyDescent="0.25">
      <c r="A307">
        <v>306</v>
      </c>
      <c r="B307" s="1" t="s">
        <v>1658</v>
      </c>
      <c r="C307">
        <v>1</v>
      </c>
      <c r="D307" t="str">
        <f t="shared" si="8"/>
        <v>V</v>
      </c>
      <c r="E307" t="str">
        <f t="shared" si="9"/>
        <v>Vanina tiene 23 años, vive en Barrio Mitre junto a su pareja y sus dos hermanos de 8 y 12 años. Desde hace 3 años asumió la crianza de los hermanos luego del fallecimiento de sus padres. No tiene un trabajo estable y las changas que realiza son el único ingreso del hogar. En ocasión de un control de salud de los niños Vanina consulta en el Servicio Social sobre la posibilidad de adoptar a sus hermanos. ¿Cuál es el motivo por el cual la trabajadora social le informa que esto no será posible?</v>
      </c>
    </row>
    <row r="308" spans="1:5" x14ac:dyDescent="0.25">
      <c r="A308">
        <v>307</v>
      </c>
      <c r="B308" t="s">
        <v>224</v>
      </c>
      <c r="C308">
        <v>0</v>
      </c>
      <c r="D308" t="str">
        <f t="shared" si="8"/>
        <v>a</v>
      </c>
      <c r="E308" t="str">
        <f t="shared" si="9"/>
        <v>a) No esta casada legalmente.</v>
      </c>
    </row>
    <row r="309" spans="1:5" x14ac:dyDescent="0.25">
      <c r="A309">
        <v>308</v>
      </c>
      <c r="B309" t="s">
        <v>225</v>
      </c>
      <c r="C309">
        <v>0</v>
      </c>
      <c r="D309" t="str">
        <f t="shared" si="8"/>
        <v>b</v>
      </c>
      <c r="E309" t="str">
        <f t="shared" si="9"/>
        <v>b) Carece de la edad necesaria.</v>
      </c>
    </row>
    <row r="310" spans="1:5" x14ac:dyDescent="0.25">
      <c r="A310">
        <v>309</v>
      </c>
      <c r="B310" t="s">
        <v>226</v>
      </c>
      <c r="C310">
        <v>0</v>
      </c>
      <c r="D310" t="str">
        <f t="shared" si="8"/>
        <v>*</v>
      </c>
      <c r="E310" t="str">
        <f t="shared" si="9"/>
        <v>c) No puede adoptar a sus hermanos o medio hermanos.</v>
      </c>
    </row>
    <row r="311" spans="1:5" x14ac:dyDescent="0.25">
      <c r="A311">
        <v>310</v>
      </c>
      <c r="B311" t="s">
        <v>227</v>
      </c>
      <c r="C311">
        <v>0</v>
      </c>
      <c r="D311" t="str">
        <f t="shared" si="8"/>
        <v>d</v>
      </c>
      <c r="E311" t="str">
        <f t="shared" si="9"/>
        <v>d) Sus ingresos económicos no son estables.</v>
      </c>
    </row>
    <row r="312" spans="1:5" x14ac:dyDescent="0.25">
      <c r="A312">
        <v>311</v>
      </c>
      <c r="B312" t="s">
        <v>1659</v>
      </c>
      <c r="C312">
        <v>1</v>
      </c>
      <c r="D312" t="str">
        <f t="shared" si="8"/>
        <v>J</v>
      </c>
      <c r="E312" t="str">
        <f t="shared" si="9"/>
        <v xml:space="preserve">Juan y Ana tienen 27 y 25 años respectivamente, se casaron recientemente y desean adoptar un bebé. ¿Qué podrán hacer de acuerdo a lo estipulado por la Ley 24779? </v>
      </c>
    </row>
    <row r="313" spans="1:5" x14ac:dyDescent="0.25">
      <c r="A313">
        <v>312</v>
      </c>
      <c r="B313" t="s">
        <v>228</v>
      </c>
      <c r="C313">
        <v>0</v>
      </c>
      <c r="D313" t="str">
        <f t="shared" si="8"/>
        <v>*</v>
      </c>
      <c r="E313" t="str">
        <f t="shared" si="9"/>
        <v>a) Sólo podrán concretar la adopción si estan casados legalmente desde hace 3 años.</v>
      </c>
    </row>
    <row r="314" spans="1:5" x14ac:dyDescent="0.25">
      <c r="A314">
        <v>313</v>
      </c>
      <c r="B314" t="s">
        <v>229</v>
      </c>
      <c r="C314">
        <v>0</v>
      </c>
      <c r="D314" t="str">
        <f t="shared" si="8"/>
        <v>b</v>
      </c>
      <c r="E314" t="str">
        <f t="shared" si="9"/>
        <v>b) Deberán comprobar la infertilidad de ambos.</v>
      </c>
    </row>
    <row r="315" spans="1:5" x14ac:dyDescent="0.25">
      <c r="A315">
        <v>314</v>
      </c>
      <c r="B315" t="s">
        <v>230</v>
      </c>
      <c r="C315">
        <v>0</v>
      </c>
      <c r="D315" t="str">
        <f t="shared" si="8"/>
        <v>c</v>
      </c>
      <c r="E315" t="str">
        <f t="shared" si="9"/>
        <v>c) Podrán adoptar un bebé porque son personas mayores de 21 años.</v>
      </c>
    </row>
    <row r="316" spans="1:5" x14ac:dyDescent="0.25">
      <c r="A316">
        <v>315</v>
      </c>
      <c r="B316" t="s">
        <v>381</v>
      </c>
      <c r="C316">
        <v>0</v>
      </c>
      <c r="D316" t="str">
        <f t="shared" si="8"/>
        <v>d</v>
      </c>
      <c r="E316" t="str">
        <f t="shared" si="9"/>
        <v>d) Solamente podrán adoptar un bebé si la trabajadora social confirma que cuentan con la solvencia económica para asumir la crianza.</v>
      </c>
    </row>
    <row r="317" spans="1:5" x14ac:dyDescent="0.25">
      <c r="A317">
        <v>316</v>
      </c>
      <c r="B317" s="1" t="s">
        <v>1660</v>
      </c>
      <c r="C317">
        <v>1</v>
      </c>
      <c r="D317" t="str">
        <f t="shared" si="8"/>
        <v>S</v>
      </c>
      <c r="E317" t="str">
        <f t="shared" si="9"/>
        <v>Se presenta una joven de 18 años en el Servicio Social de un hospital solicitando asesoramiento respecto a la posibilidad de contraer matrimonio con su novio de la misma edad. Si se considera lo dispuesto por la Ley 23.515 ¿Con el consentimiento de quiénes podrán hacerlo?</v>
      </c>
    </row>
    <row r="318" spans="1:5" x14ac:dyDescent="0.25">
      <c r="A318">
        <v>317</v>
      </c>
      <c r="B318" t="s">
        <v>231</v>
      </c>
      <c r="C318">
        <v>0</v>
      </c>
      <c r="D318" t="str">
        <f t="shared" si="8"/>
        <v>a</v>
      </c>
      <c r="E318" t="str">
        <f t="shared" si="9"/>
        <v>a) Ellos mismos si se encuentran emancipados.</v>
      </c>
    </row>
    <row r="319" spans="1:5" x14ac:dyDescent="0.25">
      <c r="A319">
        <v>318</v>
      </c>
      <c r="B319" t="s">
        <v>232</v>
      </c>
      <c r="C319">
        <v>0</v>
      </c>
      <c r="D319" t="str">
        <f t="shared" si="8"/>
        <v>b</v>
      </c>
      <c r="E319" t="str">
        <f t="shared" si="9"/>
        <v>b) Ellos mismos aún cuando no se encontraran emancipados.</v>
      </c>
    </row>
    <row r="320" spans="1:5" x14ac:dyDescent="0.25">
      <c r="A320">
        <v>319</v>
      </c>
      <c r="B320" t="s">
        <v>233</v>
      </c>
      <c r="C320">
        <v>0</v>
      </c>
      <c r="D320" t="str">
        <f t="shared" si="8"/>
        <v>*</v>
      </c>
      <c r="E320" t="str">
        <f t="shared" si="9"/>
        <v>c) Sus padres o tutores.</v>
      </c>
    </row>
    <row r="321" spans="1:5" x14ac:dyDescent="0.25">
      <c r="A321">
        <v>320</v>
      </c>
      <c r="B321" t="s">
        <v>234</v>
      </c>
      <c r="C321">
        <v>0</v>
      </c>
      <c r="D321" t="str">
        <f t="shared" si="8"/>
        <v>d</v>
      </c>
      <c r="E321" t="str">
        <f t="shared" si="9"/>
        <v>d) El ministerio público.</v>
      </c>
    </row>
    <row r="322" spans="1:5" x14ac:dyDescent="0.25">
      <c r="A322">
        <v>321</v>
      </c>
      <c r="B322" s="1" t="s">
        <v>1661</v>
      </c>
      <c r="C322">
        <v>1</v>
      </c>
      <c r="D322" t="str">
        <f t="shared" si="8"/>
        <v>L</v>
      </c>
      <c r="E322" t="str">
        <f t="shared" si="9"/>
        <v>Laura vive sola con su hijo de 1 año y ambos se atienden en un centro de salud de la zona. Allí mantiene una entrevista con una trabajadora social en la que relata que desde pequeña padece una enfermedad muscular que le impide trabajar pero que esto se torna un problema luego de su divorcio, ya que antes resolvía su subsistencia a partir de los ingresos de su marido. ¿Sobre qué debería ser asesorada si se tiene en cuenta la Ley 23.515?</v>
      </c>
    </row>
    <row r="323" spans="1:5" x14ac:dyDescent="0.25">
      <c r="A323">
        <v>322</v>
      </c>
      <c r="B323" t="s">
        <v>235</v>
      </c>
      <c r="C323">
        <v>0</v>
      </c>
      <c r="D323" t="str">
        <f t="shared" ref="D323:D386" si="10">+MID(B323,1,1)</f>
        <v>a</v>
      </c>
      <c r="E323" t="str">
        <f t="shared" ref="E323:E386" si="11">+IF(D323="*",MID(B323,3,500),B323)</f>
        <v>a) La conveniencia de pedir un aumento en la cuota de alimentos para su hijo.</v>
      </c>
    </row>
    <row r="324" spans="1:5" x14ac:dyDescent="0.25">
      <c r="A324">
        <v>323</v>
      </c>
      <c r="B324" t="s">
        <v>236</v>
      </c>
      <c r="C324">
        <v>0</v>
      </c>
      <c r="D324" t="str">
        <f t="shared" si="10"/>
        <v>*</v>
      </c>
      <c r="E324" t="str">
        <f t="shared" si="11"/>
        <v>b) Su derecho a ser asistida por su ex marido.</v>
      </c>
    </row>
    <row r="325" spans="1:5" x14ac:dyDescent="0.25">
      <c r="A325">
        <v>324</v>
      </c>
      <c r="B325" t="s">
        <v>237</v>
      </c>
      <c r="C325">
        <v>0</v>
      </c>
      <c r="D325" t="str">
        <f t="shared" si="10"/>
        <v>c</v>
      </c>
      <c r="E325" t="str">
        <f t="shared" si="11"/>
        <v>c) Su derecho a recibir una ayuda económica estatal.</v>
      </c>
    </row>
    <row r="326" spans="1:5" x14ac:dyDescent="0.25">
      <c r="A326">
        <v>325</v>
      </c>
      <c r="B326" t="s">
        <v>238</v>
      </c>
      <c r="C326">
        <v>0</v>
      </c>
      <c r="D326" t="str">
        <f t="shared" si="10"/>
        <v>d</v>
      </c>
      <c r="E326" t="str">
        <f t="shared" si="11"/>
        <v>d) La posibilidad de ortorgar al padre la tenencia de su hijo para aliviar sus gastos.</v>
      </c>
    </row>
    <row r="327" spans="1:5" x14ac:dyDescent="0.25">
      <c r="A327">
        <v>326</v>
      </c>
      <c r="B327" s="1" t="s">
        <v>1662</v>
      </c>
      <c r="C327">
        <v>1</v>
      </c>
      <c r="D327" t="str">
        <f t="shared" si="10"/>
        <v>U</v>
      </c>
      <c r="E327" t="str">
        <f t="shared" si="11"/>
        <v>Una trabajadora social de un hospital ha sido sancionada por negligencia frecuente en el cumplimiento de sus deberes profesionales. Según el artículo 32 de la Ley de Ejercicio Profesional.¿Cúal de estas medidas disciplinarias no le compete apoptar al Consejo Profesional?</v>
      </c>
    </row>
    <row r="328" spans="1:5" x14ac:dyDescent="0.25">
      <c r="A328">
        <v>327</v>
      </c>
      <c r="B328" t="s">
        <v>239</v>
      </c>
      <c r="C328">
        <v>0</v>
      </c>
      <c r="D328" t="str">
        <f t="shared" si="10"/>
        <v>a</v>
      </c>
      <c r="E328" t="str">
        <f t="shared" si="11"/>
        <v>a) LLamado de atención o advertencia en presencia de la Comisión Directiva.</v>
      </c>
    </row>
    <row r="329" spans="1:5" x14ac:dyDescent="0.25">
      <c r="A329">
        <v>328</v>
      </c>
      <c r="B329" t="s">
        <v>240</v>
      </c>
      <c r="C329">
        <v>0</v>
      </c>
      <c r="D329" t="str">
        <f t="shared" si="10"/>
        <v>*</v>
      </c>
      <c r="E329" t="str">
        <f t="shared" si="11"/>
        <v>b) Cambio del area de desempeñp profesional.</v>
      </c>
    </row>
    <row r="330" spans="1:5" x14ac:dyDescent="0.25">
      <c r="A330">
        <v>329</v>
      </c>
      <c r="B330" t="s">
        <v>241</v>
      </c>
      <c r="C330">
        <v>0</v>
      </c>
      <c r="D330" t="str">
        <f t="shared" si="10"/>
        <v>c</v>
      </c>
      <c r="E330" t="str">
        <f t="shared" si="11"/>
        <v>c) Multa.</v>
      </c>
    </row>
    <row r="331" spans="1:5" x14ac:dyDescent="0.25">
      <c r="A331">
        <v>330</v>
      </c>
      <c r="B331" t="s">
        <v>242</v>
      </c>
      <c r="C331">
        <v>0</v>
      </c>
      <c r="D331" t="str">
        <f t="shared" si="10"/>
        <v>d</v>
      </c>
      <c r="E331" t="str">
        <f t="shared" si="11"/>
        <v>d) Suspensión.</v>
      </c>
    </row>
    <row r="332" spans="1:5" x14ac:dyDescent="0.25">
      <c r="A332">
        <v>331</v>
      </c>
      <c r="B332" s="1" t="s">
        <v>1663</v>
      </c>
      <c r="C332">
        <v>1</v>
      </c>
      <c r="D332" t="str">
        <f t="shared" si="10"/>
        <v>U</v>
      </c>
      <c r="E332" t="str">
        <f t="shared" si="11"/>
        <v>Una mujer adulta concurre con su pareja a retirar el resultado de un testeo de VIH en el Hospital Santojanni, obteniendo un resultado positivo. Ante este hecho. ¿Cúales son las acciones que no está obligado a realizar el personal de ese efector según la Ley 23.798?</v>
      </c>
    </row>
    <row r="333" spans="1:5" x14ac:dyDescent="0.25">
      <c r="A333">
        <v>332</v>
      </c>
      <c r="B333" t="s">
        <v>243</v>
      </c>
      <c r="C333">
        <v>0</v>
      </c>
      <c r="D333" t="str">
        <f t="shared" si="10"/>
        <v>a</v>
      </c>
      <c r="E333" t="str">
        <f t="shared" si="11"/>
        <v>a) Asesorarla sobre su derecho a recibir asistencia adecuada.</v>
      </c>
    </row>
    <row r="334" spans="1:5" x14ac:dyDescent="0.25">
      <c r="A334">
        <v>333</v>
      </c>
      <c r="B334" t="s">
        <v>244</v>
      </c>
      <c r="C334">
        <v>0</v>
      </c>
      <c r="D334" t="str">
        <f t="shared" si="10"/>
        <v>b</v>
      </c>
      <c r="E334" t="str">
        <f t="shared" si="11"/>
        <v>b) Informar a la mujer sobre el carácter infecto contagioso del virus.</v>
      </c>
    </row>
    <row r="335" spans="1:5" x14ac:dyDescent="0.25">
      <c r="A335">
        <v>334</v>
      </c>
      <c r="B335" t="s">
        <v>245</v>
      </c>
      <c r="C335">
        <v>0</v>
      </c>
      <c r="D335" t="str">
        <f t="shared" si="10"/>
        <v>c</v>
      </c>
      <c r="E335" t="str">
        <f t="shared" si="11"/>
        <v>c) Notificar dentro de 48 horas a la autoridad sanitaria correspondiente.</v>
      </c>
    </row>
    <row r="336" spans="1:5" x14ac:dyDescent="0.25">
      <c r="A336">
        <v>335</v>
      </c>
      <c r="B336" t="s">
        <v>246</v>
      </c>
      <c r="C336">
        <v>0</v>
      </c>
      <c r="D336" t="str">
        <f t="shared" si="10"/>
        <v>*</v>
      </c>
      <c r="E336" t="str">
        <f t="shared" si="11"/>
        <v>d) Prescribir las pruebas diagnósticas a la pareja.</v>
      </c>
    </row>
    <row r="337" spans="1:5" x14ac:dyDescent="0.25">
      <c r="A337">
        <v>336</v>
      </c>
      <c r="B337" s="1" t="s">
        <v>1664</v>
      </c>
      <c r="C337">
        <v>1</v>
      </c>
      <c r="D337" t="str">
        <f t="shared" si="10"/>
        <v>E</v>
      </c>
      <c r="E337" t="str">
        <f t="shared" si="11"/>
        <v>En el marco de actividades de un Cepad (Centro de Prevención, Asesoramiento y Diagnóstico), un profesional está manteniendo una entrevista con un adolescente que ha decidido realizar un test de VIH. Según la Ley 23.798. ¿Qué acciones deberá realizar este profesional?</v>
      </c>
    </row>
    <row r="338" spans="1:5" x14ac:dyDescent="0.25">
      <c r="A338">
        <v>337</v>
      </c>
      <c r="B338" t="s">
        <v>247</v>
      </c>
      <c r="C338">
        <v>0</v>
      </c>
      <c r="D338" t="str">
        <f t="shared" si="10"/>
        <v>a</v>
      </c>
      <c r="E338" t="str">
        <f t="shared" si="11"/>
        <v>a) Informar sobre los factores de riesgo de adquirir el virus.</v>
      </c>
    </row>
    <row r="339" spans="1:5" x14ac:dyDescent="0.25">
      <c r="A339">
        <v>338</v>
      </c>
      <c r="B339" t="s">
        <v>248</v>
      </c>
      <c r="C339">
        <v>0</v>
      </c>
      <c r="D339" t="str">
        <f t="shared" si="10"/>
        <v>b</v>
      </c>
      <c r="E339" t="str">
        <f t="shared" si="11"/>
        <v>b) Explicar en qué consiste el tratamiento de la enfermedad.</v>
      </c>
    </row>
    <row r="340" spans="1:5" x14ac:dyDescent="0.25">
      <c r="A340">
        <v>339</v>
      </c>
      <c r="B340" t="s">
        <v>249</v>
      </c>
      <c r="C340">
        <v>0</v>
      </c>
      <c r="D340" t="str">
        <f t="shared" si="10"/>
        <v>c</v>
      </c>
      <c r="E340" t="str">
        <f t="shared" si="11"/>
        <v>c) Pedir la autorización personal o escrita de los padres o responsables.</v>
      </c>
    </row>
    <row r="341" spans="1:5" x14ac:dyDescent="0.25">
      <c r="A341">
        <v>340</v>
      </c>
      <c r="B341" t="s">
        <v>250</v>
      </c>
      <c r="C341">
        <v>0</v>
      </c>
      <c r="D341" t="str">
        <f t="shared" si="10"/>
        <v>*</v>
      </c>
      <c r="E341" t="str">
        <f t="shared" si="11"/>
        <v>d) Solicitar consentimiento y asegurar confidencialidad.</v>
      </c>
    </row>
    <row r="342" spans="1:5" x14ac:dyDescent="0.25">
      <c r="A342">
        <v>341</v>
      </c>
      <c r="B342" s="1" t="s">
        <v>1665</v>
      </c>
      <c r="C342">
        <v>1</v>
      </c>
      <c r="D342" t="str">
        <f t="shared" si="10"/>
        <v>E</v>
      </c>
      <c r="E342" t="str">
        <f t="shared" si="11"/>
        <v>Esteban de 14 años se encuentra internado en el Servicio de Pediatría del Hospital Durand, ingresa por guardia al sufrir una intoxicación por consumo de pasta base. De la entrevista social surge que el niño se encuentra en situación de calle, sin acompañamiento de un referente adulto y sin un medio familiar continente. Según la Ley Nacional 26.061. ¿A quién deberá comunicar el equipo de salud, esta circunstancia que constituye una situación de vulneración de derechos?</v>
      </c>
    </row>
    <row r="343" spans="1:5" x14ac:dyDescent="0.25">
      <c r="A343">
        <v>342</v>
      </c>
      <c r="B343" t="s">
        <v>251</v>
      </c>
      <c r="C343">
        <v>0</v>
      </c>
      <c r="D343" t="str">
        <f t="shared" si="10"/>
        <v>a</v>
      </c>
      <c r="E343" t="str">
        <f t="shared" si="11"/>
        <v>a) A la Asesoría Tutelar de Menores e Incapaces del Gobierno de la Ciudad.</v>
      </c>
    </row>
    <row r="344" spans="1:5" x14ac:dyDescent="0.25">
      <c r="A344">
        <v>343</v>
      </c>
      <c r="B344" t="s">
        <v>382</v>
      </c>
      <c r="C344">
        <v>0</v>
      </c>
      <c r="D344" t="str">
        <f t="shared" si="10"/>
        <v>*</v>
      </c>
      <c r="E344" t="str">
        <f t="shared" si="11"/>
        <v>b) Al Consejo de los Derechos de niñas, niños y adolescentes del Gobierno de la Ciudad de Buenos Aires.</v>
      </c>
    </row>
    <row r="345" spans="1:5" x14ac:dyDescent="0.25">
      <c r="A345">
        <v>344</v>
      </c>
      <c r="B345" t="s">
        <v>252</v>
      </c>
      <c r="C345">
        <v>0</v>
      </c>
      <c r="D345" t="str">
        <f t="shared" si="10"/>
        <v>c</v>
      </c>
      <c r="E345" t="str">
        <f t="shared" si="11"/>
        <v>c) Al Consejo Nacional del Niño, el Adolescente y la Familia.</v>
      </c>
    </row>
    <row r="346" spans="1:5" x14ac:dyDescent="0.25">
      <c r="A346">
        <v>345</v>
      </c>
      <c r="B346" t="s">
        <v>253</v>
      </c>
      <c r="C346">
        <v>0</v>
      </c>
      <c r="D346" t="str">
        <f t="shared" si="10"/>
        <v>d</v>
      </c>
      <c r="E346" t="str">
        <f t="shared" si="11"/>
        <v>d) A la seccional policial que corresponde a la jurisdicción del hospital.</v>
      </c>
    </row>
    <row r="347" spans="1:5" x14ac:dyDescent="0.25">
      <c r="A347">
        <v>346</v>
      </c>
      <c r="B347" s="1" t="s">
        <v>1666</v>
      </c>
      <c r="C347">
        <v>1</v>
      </c>
      <c r="D347" t="str">
        <f t="shared" si="10"/>
        <v>J</v>
      </c>
      <c r="E347" t="str">
        <f t="shared" si="11"/>
        <v>Juana de 32 años se acerca al Servicio Social del Centro de Salud de su barrio; se encuentra con sus tres hijos pequeños de 9, 6 y 3 años y en un estado de gran angustia. En la entrevista social la joven mujer comenta estar desocupada hace varios meses, al igual que su marido y no disponer de recursos para atender a las necesidades mas básicas de sus niños, como ser la alimentación. Asimismo, expresa encontrarse ante un inminente desalojo de la precaria vivienda en donde habitan. Según la Ley 26.061 ¿Qué medidas de protección deben adoptarse ante esta situación?</v>
      </c>
    </row>
    <row r="348" spans="1:5" x14ac:dyDescent="0.25">
      <c r="A348">
        <v>347</v>
      </c>
      <c r="B348" t="s">
        <v>383</v>
      </c>
      <c r="C348">
        <v>0</v>
      </c>
      <c r="D348" t="str">
        <f t="shared" si="10"/>
        <v>*</v>
      </c>
      <c r="E348" t="str">
        <f t="shared" si="11"/>
        <v>a) La inclusión de los niños y la familia en programas destinados al fortalecimiento y apoyo familiar.</v>
      </c>
    </row>
    <row r="349" spans="1:5" x14ac:dyDescent="0.25">
      <c r="A349">
        <v>348</v>
      </c>
      <c r="B349" t="s">
        <v>384</v>
      </c>
      <c r="C349">
        <v>0</v>
      </c>
      <c r="D349" t="str">
        <f t="shared" si="10"/>
        <v>b</v>
      </c>
      <c r="E349" t="str">
        <f t="shared" si="11"/>
        <v>b) La inclusión únicamente de los niños en algún comedor de su zona para atender la necesidad de alimentación.</v>
      </c>
    </row>
    <row r="350" spans="1:5" x14ac:dyDescent="0.25">
      <c r="A350">
        <v>349</v>
      </c>
      <c r="B350" t="s">
        <v>254</v>
      </c>
      <c r="C350">
        <v>0</v>
      </c>
      <c r="D350" t="str">
        <f t="shared" si="10"/>
        <v>c</v>
      </c>
      <c r="E350" t="str">
        <f t="shared" si="11"/>
        <v>c) La separación permanente de los niños de su familia nuclear y su institucionalización.</v>
      </c>
    </row>
    <row r="351" spans="1:5" x14ac:dyDescent="0.25">
      <c r="A351">
        <v>350</v>
      </c>
      <c r="B351" t="s">
        <v>385</v>
      </c>
      <c r="C351">
        <v>0</v>
      </c>
      <c r="D351" t="str">
        <f t="shared" si="10"/>
        <v>d</v>
      </c>
      <c r="E351" t="str">
        <f t="shared" si="11"/>
        <v>d) La separación transitoria de los niños de su medio familiar hasta que se solucione la problemática social.</v>
      </c>
    </row>
    <row r="352" spans="1:5" x14ac:dyDescent="0.25">
      <c r="A352">
        <v>351</v>
      </c>
      <c r="B352" s="1" t="s">
        <v>1667</v>
      </c>
      <c r="C352">
        <v>1</v>
      </c>
      <c r="D352" t="str">
        <f t="shared" si="10"/>
        <v>S</v>
      </c>
      <c r="E352" t="str">
        <f t="shared" si="11"/>
        <v>Sandra de 29 años de edad, concurre a un Centro de Salud del Gobierno de la Ciudad, en la entrevista con la trabajadora social, Sandra expresa ser víctima, desde hace aproximadamente un año, de violencia física y verbal por parte de su pareja conviviente. Explica que las agresiones se han agudizado en los últimos meses, encontrándose, actualmente preocupada y con temor por su seguridad física. Sandra desea saber las acciones que se podrían llevar a cabo para detener rapidamente la violencia, de su pareja. Según la Ley 24.417, una vez realizada la denuncia correspondiente. ¿Qué medida cautelar deberá adoptar el Juez para resguardar la integridad física del damnificado?</v>
      </c>
    </row>
    <row r="353" spans="1:5" x14ac:dyDescent="0.25">
      <c r="A353">
        <v>352</v>
      </c>
      <c r="B353" t="s">
        <v>255</v>
      </c>
      <c r="C353">
        <v>0</v>
      </c>
      <c r="D353" t="str">
        <f t="shared" si="10"/>
        <v>a</v>
      </c>
      <c r="E353" t="str">
        <f t="shared" si="11"/>
        <v>a) Brindar al agresor asistencia médica psicológica gratuita.</v>
      </c>
    </row>
    <row r="354" spans="1:5" x14ac:dyDescent="0.25">
      <c r="A354">
        <v>353</v>
      </c>
      <c r="B354" t="s">
        <v>256</v>
      </c>
      <c r="C354">
        <v>0</v>
      </c>
      <c r="D354" t="str">
        <f t="shared" si="10"/>
        <v>b</v>
      </c>
      <c r="E354" t="str">
        <f t="shared" si="11"/>
        <v>b) Convocar a las partes a una audiencia de mediación.</v>
      </c>
    </row>
    <row r="355" spans="1:5" x14ac:dyDescent="0.25">
      <c r="A355">
        <v>354</v>
      </c>
      <c r="B355" t="s">
        <v>257</v>
      </c>
      <c r="C355">
        <v>0</v>
      </c>
      <c r="D355" t="str">
        <f t="shared" si="10"/>
        <v>c</v>
      </c>
      <c r="E355" t="str">
        <f t="shared" si="11"/>
        <v>c) Instar a las partes a asistir a programas educativos o terapéuticas.</v>
      </c>
    </row>
    <row r="356" spans="1:5" x14ac:dyDescent="0.25">
      <c r="A356">
        <v>355</v>
      </c>
      <c r="B356" t="s">
        <v>258</v>
      </c>
      <c r="C356">
        <v>0</v>
      </c>
      <c r="D356" t="str">
        <f t="shared" si="10"/>
        <v>*</v>
      </c>
      <c r="E356" t="str">
        <f t="shared" si="11"/>
        <v>d) Ordenar la exclusión del agresor de la vivienda donde habita la víctima.</v>
      </c>
    </row>
    <row r="357" spans="1:5" x14ac:dyDescent="0.25">
      <c r="A357">
        <v>356</v>
      </c>
      <c r="B357" s="1" t="s">
        <v>1668</v>
      </c>
      <c r="C357">
        <v>1</v>
      </c>
      <c r="D357" t="str">
        <f t="shared" si="10"/>
        <v>F</v>
      </c>
      <c r="E357" t="str">
        <f t="shared" si="11"/>
        <v xml:space="preserve">Fátima de 11 años de edad ingresa a la guardia pediátrica del Hospital Fernández, trasladada por el SAME y acompañada por su maestra de grado quien manifiesta que la niña da muestras claras de haber sufrido abuso sexual. Luego de la revisación médica el profesional de la salud constata la presencia de signos y síntomas de abuso. Según la Ley 24.417. ¿Qué procedimiento deberán efectuar tanto los profesionales de la salud como los representantes de las instituciones educativas ante esta situación? </v>
      </c>
    </row>
    <row r="358" spans="1:5" x14ac:dyDescent="0.25">
      <c r="A358">
        <v>357</v>
      </c>
      <c r="B358" t="s">
        <v>259</v>
      </c>
      <c r="C358">
        <v>0</v>
      </c>
      <c r="D358" t="str">
        <f t="shared" si="10"/>
        <v>*</v>
      </c>
      <c r="E358" t="str">
        <f t="shared" si="11"/>
        <v>a) Efectuar la denuncia pública correspondiente.</v>
      </c>
    </row>
    <row r="359" spans="1:5" x14ac:dyDescent="0.25">
      <c r="A359">
        <v>358</v>
      </c>
      <c r="B359" t="s">
        <v>260</v>
      </c>
      <c r="C359">
        <v>0</v>
      </c>
      <c r="D359" t="str">
        <f t="shared" si="10"/>
        <v>b</v>
      </c>
      <c r="E359" t="str">
        <f t="shared" si="11"/>
        <v>b) Contactarse con algun familiar o referente adulto de la niña.</v>
      </c>
    </row>
    <row r="360" spans="1:5" x14ac:dyDescent="0.25">
      <c r="A360">
        <v>359</v>
      </c>
      <c r="B360" t="s">
        <v>261</v>
      </c>
      <c r="C360">
        <v>0</v>
      </c>
      <c r="D360" t="str">
        <f t="shared" si="10"/>
        <v>c</v>
      </c>
      <c r="E360" t="str">
        <f t="shared" si="11"/>
        <v>c) Elevar nota al Distrito Escolar zonal comunicando la situación.</v>
      </c>
    </row>
    <row r="361" spans="1:5" x14ac:dyDescent="0.25">
      <c r="A361">
        <v>360</v>
      </c>
      <c r="B361" t="s">
        <v>386</v>
      </c>
      <c r="C361">
        <v>0</v>
      </c>
      <c r="D361" t="str">
        <f t="shared" si="10"/>
        <v>d</v>
      </c>
      <c r="E361" t="str">
        <f t="shared" si="11"/>
        <v>d) Solicitar la intervención de la seccional policial correspondiente a la jurisdicción del hospital.</v>
      </c>
    </row>
    <row r="362" spans="1:5" x14ac:dyDescent="0.25">
      <c r="A362">
        <v>361</v>
      </c>
      <c r="B362" t="s">
        <v>1669</v>
      </c>
      <c r="C362">
        <v>1</v>
      </c>
      <c r="D362" t="str">
        <f t="shared" si="10"/>
        <v>S</v>
      </c>
      <c r="E362" t="str">
        <f t="shared" si="11"/>
        <v>Según la Ordenanza N 40.997/85 (MCBA) del Sistema Municipal de Residencias del Equipo de Salud, ¿Cúal es la función primordial del Jefe de Residentes?</v>
      </c>
    </row>
    <row r="363" spans="1:5" x14ac:dyDescent="0.25">
      <c r="A363">
        <v>362</v>
      </c>
      <c r="B363" t="s">
        <v>387</v>
      </c>
      <c r="C363">
        <v>0</v>
      </c>
      <c r="D363" t="str">
        <f t="shared" si="10"/>
        <v>a</v>
      </c>
      <c r="E363" t="str">
        <f t="shared" si="11"/>
        <v>a) Contabilizar la cantidad de prestaciones realizadas por los residentes en el ámbito de sus respectivas rotaciones.</v>
      </c>
    </row>
    <row r="364" spans="1:5" x14ac:dyDescent="0.25">
      <c r="A364">
        <v>363</v>
      </c>
      <c r="B364" t="s">
        <v>262</v>
      </c>
      <c r="C364">
        <v>0</v>
      </c>
      <c r="D364" t="str">
        <f t="shared" si="10"/>
        <v>b</v>
      </c>
      <c r="E364" t="str">
        <f t="shared" si="11"/>
        <v>b) Controlar el horario de llegada de los residentes de su especialidad.</v>
      </c>
    </row>
    <row r="365" spans="1:5" x14ac:dyDescent="0.25">
      <c r="A365">
        <v>364</v>
      </c>
      <c r="B365" t="s">
        <v>388</v>
      </c>
      <c r="C365">
        <v>0</v>
      </c>
      <c r="D365" t="str">
        <f t="shared" si="10"/>
        <v>*</v>
      </c>
      <c r="E365" t="str">
        <f t="shared" si="11"/>
        <v>c) Organizar la actividad asistencial y docente de los residentes, según el programa y supervisar sus tareas.</v>
      </c>
    </row>
    <row r="366" spans="1:5" x14ac:dyDescent="0.25">
      <c r="A366">
        <v>365</v>
      </c>
      <c r="B366" t="s">
        <v>263</v>
      </c>
      <c r="C366">
        <v>0</v>
      </c>
      <c r="D366" t="str">
        <f t="shared" si="10"/>
        <v>d</v>
      </c>
      <c r="E366" t="str">
        <f t="shared" si="11"/>
        <v>d) Realizar tareas asistenciales en las areas de inserción que dispoga el jefe del Servicio.</v>
      </c>
    </row>
    <row r="367" spans="1:5" x14ac:dyDescent="0.25">
      <c r="A367">
        <v>366</v>
      </c>
      <c r="B367" t="s">
        <v>1670</v>
      </c>
      <c r="C367">
        <v>1</v>
      </c>
      <c r="D367" t="str">
        <f t="shared" si="10"/>
        <v>D</v>
      </c>
      <c r="E367" t="str">
        <f t="shared" si="11"/>
        <v>De acuerdo a la Ordenanza N 40.997/85 (MCBA) del sistema Municipal de Residencias del Equipo de Salud, ¿Cúantos días de licencia anual ordinaria por período de contrato corresponde a los residentes?</v>
      </c>
    </row>
    <row r="368" spans="1:5" x14ac:dyDescent="0.25">
      <c r="A368">
        <v>367</v>
      </c>
      <c r="B368" t="s">
        <v>264</v>
      </c>
      <c r="C368">
        <v>0</v>
      </c>
      <c r="D368" t="str">
        <f t="shared" si="10"/>
        <v>a</v>
      </c>
      <c r="E368" t="str">
        <f t="shared" si="11"/>
        <v>a) 10 días hábiles.</v>
      </c>
    </row>
    <row r="369" spans="1:5" x14ac:dyDescent="0.25">
      <c r="A369">
        <v>368</v>
      </c>
      <c r="B369" t="s">
        <v>265</v>
      </c>
      <c r="C369">
        <v>0</v>
      </c>
      <c r="D369" t="str">
        <f t="shared" si="10"/>
        <v>b</v>
      </c>
      <c r="E369" t="str">
        <f t="shared" si="11"/>
        <v>b) 20 días corridos.</v>
      </c>
    </row>
    <row r="370" spans="1:5" x14ac:dyDescent="0.25">
      <c r="A370">
        <v>369</v>
      </c>
      <c r="B370" t="s">
        <v>266</v>
      </c>
      <c r="C370">
        <v>0</v>
      </c>
      <c r="D370" t="str">
        <f t="shared" si="10"/>
        <v>*</v>
      </c>
      <c r="E370" t="str">
        <f t="shared" si="11"/>
        <v>c) 15 días hábiles.</v>
      </c>
    </row>
    <row r="371" spans="1:5" x14ac:dyDescent="0.25">
      <c r="A371">
        <v>370</v>
      </c>
      <c r="B371" t="s">
        <v>267</v>
      </c>
      <c r="C371">
        <v>0</v>
      </c>
      <c r="D371" t="str">
        <f t="shared" si="10"/>
        <v>d</v>
      </c>
      <c r="E371" t="str">
        <f t="shared" si="11"/>
        <v>d) Los que se acuerden con el jefe de residentes.</v>
      </c>
    </row>
    <row r="372" spans="1:5" x14ac:dyDescent="0.25">
      <c r="A372">
        <v>371</v>
      </c>
      <c r="B372" s="1" t="s">
        <v>1671</v>
      </c>
      <c r="C372">
        <v>1</v>
      </c>
      <c r="D372" t="str">
        <f t="shared" si="10"/>
        <v>G</v>
      </c>
      <c r="E372" t="str">
        <f t="shared" si="11"/>
        <v>Guillermo de 29 años, ha sido procesado por tenencia de estupefacientes para consumo personal. Según el artículo 21 de la Ley 23737, ¿En qué casos el Juez de la causa podrá, por única vez, sustituir la pena por una medida de seguridad educativa en la forma y modo que judicialmente se determine?</v>
      </c>
    </row>
    <row r="373" spans="1:5" x14ac:dyDescent="0.25">
      <c r="A373">
        <v>372</v>
      </c>
      <c r="B373" t="s">
        <v>268</v>
      </c>
      <c r="C373">
        <v>0</v>
      </c>
      <c r="D373" t="str">
        <f t="shared" si="10"/>
        <v>a</v>
      </c>
      <c r="E373" t="str">
        <f t="shared" si="11"/>
        <v>a) Si la familia del procesado se hace cargo y se compromete con un tratamiento familiar.</v>
      </c>
    </row>
    <row r="374" spans="1:5" x14ac:dyDescent="0.25">
      <c r="A374">
        <v>373</v>
      </c>
      <c r="B374" t="s">
        <v>269</v>
      </c>
      <c r="C374">
        <v>0</v>
      </c>
      <c r="D374" t="str">
        <f t="shared" si="10"/>
        <v>b</v>
      </c>
      <c r="E374" t="str">
        <f t="shared" si="11"/>
        <v>b) Si el procesado no tuviera antecedentes penales.</v>
      </c>
    </row>
    <row r="375" spans="1:5" x14ac:dyDescent="0.25">
      <c r="A375">
        <v>374</v>
      </c>
      <c r="B375" t="s">
        <v>389</v>
      </c>
      <c r="C375">
        <v>0</v>
      </c>
      <c r="D375" t="str">
        <f t="shared" si="10"/>
        <v>*</v>
      </c>
      <c r="E375" t="str">
        <f t="shared" si="11"/>
        <v>c) Si el procesado no dependiera física o psíquicamente de estupefacientes por tratarse de un principiante o experimentador.</v>
      </c>
    </row>
    <row r="376" spans="1:5" x14ac:dyDescent="0.25">
      <c r="A376">
        <v>375</v>
      </c>
      <c r="B376" t="s">
        <v>390</v>
      </c>
      <c r="C376">
        <v>0</v>
      </c>
      <c r="D376" t="str">
        <f t="shared" si="10"/>
        <v>d</v>
      </c>
      <c r="E376" t="str">
        <f t="shared" si="11"/>
        <v>d) Si el procesado no dependiera física o psíquicamente de estupefacientes aún siendo reincidente.</v>
      </c>
    </row>
    <row r="377" spans="1:5" x14ac:dyDescent="0.25">
      <c r="A377">
        <v>376</v>
      </c>
      <c r="B377" s="1" t="s">
        <v>1672</v>
      </c>
      <c r="C377">
        <v>1</v>
      </c>
      <c r="D377" t="str">
        <f t="shared" si="10"/>
        <v>L</v>
      </c>
      <c r="E377" t="str">
        <f t="shared" si="11"/>
        <v>Luisa, de 59 años, ha sido procesada por tenencia de estupefacientes según lo indicado por la Ley N° 23.737. Durante el juicio se acredita que la tenencia es para uso personal, se declara su culpabilidad y su dependencia física y psíquica a los estupefacientes. Según el artículo 17 de esta Ley, ¿Con qué alternativa cuenta el Juez en caso que decida dejar en suspenso la aplicación de la pena?</v>
      </c>
    </row>
    <row r="378" spans="1:5" x14ac:dyDescent="0.25">
      <c r="A378">
        <v>377</v>
      </c>
      <c r="B378" t="s">
        <v>391</v>
      </c>
      <c r="C378">
        <v>0</v>
      </c>
      <c r="D378" t="str">
        <f t="shared" si="10"/>
        <v>a</v>
      </c>
      <c r="E378" t="str">
        <f t="shared" si="11"/>
        <v>a) Ordenar la inclusión del grupo familiar en un tratamiento integral comunicado sistemáticamente al Juzgado.</v>
      </c>
    </row>
    <row r="379" spans="1:5" x14ac:dyDescent="0.25">
      <c r="A379">
        <v>378</v>
      </c>
      <c r="B379" t="s">
        <v>392</v>
      </c>
      <c r="C379">
        <v>0</v>
      </c>
      <c r="D379" t="str">
        <f t="shared" si="10"/>
        <v>*</v>
      </c>
      <c r="E379" t="str">
        <f t="shared" si="11"/>
        <v>b) Someter al condenado a una medida de seguridad curativa por el tiempo necesario para su desintoxicación y rehabilitación.</v>
      </c>
    </row>
    <row r="380" spans="1:5" x14ac:dyDescent="0.25">
      <c r="A380">
        <v>379</v>
      </c>
      <c r="B380" t="s">
        <v>393</v>
      </c>
      <c r="C380">
        <v>0</v>
      </c>
      <c r="D380" t="str">
        <f t="shared" si="10"/>
        <v>c</v>
      </c>
      <c r="E380" t="str">
        <f t="shared" si="11"/>
        <v>c) Someter al condenado a una medida de seguridad educativa en la forma y modo que judicialmente se determine.</v>
      </c>
    </row>
    <row r="381" spans="1:5" x14ac:dyDescent="0.25">
      <c r="A381">
        <v>380</v>
      </c>
      <c r="B381" t="s">
        <v>394</v>
      </c>
      <c r="C381">
        <v>0</v>
      </c>
      <c r="D381" t="str">
        <f t="shared" si="10"/>
        <v>d</v>
      </c>
      <c r="E381" t="str">
        <f t="shared" si="11"/>
        <v>d) Someter al condenado a trabajos comunitarios en instituciones públicas hasta que muestre signos de rehabilitación.</v>
      </c>
    </row>
    <row r="382" spans="1:5" x14ac:dyDescent="0.25">
      <c r="A382">
        <v>381</v>
      </c>
      <c r="B382" s="1" t="s">
        <v>1673</v>
      </c>
      <c r="C382">
        <v>1</v>
      </c>
      <c r="D382" t="str">
        <f t="shared" si="10"/>
        <v>D</v>
      </c>
      <c r="E382" t="str">
        <f t="shared" si="11"/>
        <v>Desde hace tres meses Natalia de 29 años se encuentra internada en un hospital psiquiátrico en la Ciudad de Buenos Aires. Su familia considera que el tratamiento y el cuidado que recibe en la institución no son pertinentes. Según el inciso C del artículo 12 de la Ley N° 22.914 ¿Quién es el responsable de controlar el trámite de las actuaciones en que interviene, requiriendo las medidas conducentes al mejor tratamiento y cuidado de los internados, así como la administración y custodia de sus bienes y, tan pronto como sea pertinente solicitar el cese de la internación?</v>
      </c>
    </row>
    <row r="383" spans="1:5" x14ac:dyDescent="0.25">
      <c r="A383">
        <v>382</v>
      </c>
      <c r="B383" t="s">
        <v>270</v>
      </c>
      <c r="C383">
        <v>0</v>
      </c>
      <c r="D383" t="str">
        <f t="shared" si="10"/>
        <v>a</v>
      </c>
      <c r="E383" t="str">
        <f t="shared" si="11"/>
        <v>a) El cuerpo médico forense.</v>
      </c>
    </row>
    <row r="384" spans="1:5" x14ac:dyDescent="0.25">
      <c r="A384">
        <v>383</v>
      </c>
      <c r="B384" t="s">
        <v>271</v>
      </c>
      <c r="C384">
        <v>0</v>
      </c>
      <c r="D384" t="str">
        <f t="shared" si="10"/>
        <v>b</v>
      </c>
      <c r="E384" t="str">
        <f t="shared" si="11"/>
        <v>b) La Dirección del Hospital.</v>
      </c>
    </row>
    <row r="385" spans="1:5" x14ac:dyDescent="0.25">
      <c r="A385">
        <v>384</v>
      </c>
      <c r="B385" t="s">
        <v>272</v>
      </c>
      <c r="C385">
        <v>0</v>
      </c>
      <c r="D385" t="str">
        <f t="shared" si="10"/>
        <v>c</v>
      </c>
      <c r="E385" t="str">
        <f t="shared" si="11"/>
        <v>c) La Jefatura del Servicio de Internación.</v>
      </c>
    </row>
    <row r="386" spans="1:5" x14ac:dyDescent="0.25">
      <c r="A386">
        <v>385</v>
      </c>
      <c r="B386" t="s">
        <v>273</v>
      </c>
      <c r="C386">
        <v>0</v>
      </c>
      <c r="D386" t="str">
        <f t="shared" si="10"/>
        <v>*</v>
      </c>
      <c r="E386" t="str">
        <f t="shared" si="11"/>
        <v>d) El Ministerio de Menores e Incapaces.</v>
      </c>
    </row>
    <row r="387" spans="1:5" x14ac:dyDescent="0.25">
      <c r="A387">
        <v>386</v>
      </c>
      <c r="B387" s="1" t="s">
        <v>1674</v>
      </c>
      <c r="C387">
        <v>1</v>
      </c>
      <c r="D387" t="str">
        <f t="shared" ref="D387:D419" si="12">+MID(B387,1,1)</f>
        <v>S</v>
      </c>
      <c r="E387" t="str">
        <f t="shared" ref="E387:E450" si="13">+IF(D387="*",MID(B387,3,500),B387)</f>
        <v>Según la Ley 23.264 ¿A cuál de los padres incumbe en caso de divorcio vincular, separación personal, separación de hecho, o nulidad de matrimonio- el deber de dar alimento a sus hijos y educarlos; no obstante que la tenencia sea ejercida por uno de ellos?</v>
      </c>
    </row>
    <row r="388" spans="1:5" x14ac:dyDescent="0.25">
      <c r="A388">
        <v>387</v>
      </c>
      <c r="B388" t="s">
        <v>274</v>
      </c>
      <c r="C388">
        <v>0</v>
      </c>
      <c r="D388" t="str">
        <f t="shared" si="12"/>
        <v>a</v>
      </c>
      <c r="E388" t="str">
        <f t="shared" si="13"/>
        <v>a) A los abuelos de ambos lados</v>
      </c>
    </row>
    <row r="389" spans="1:5" x14ac:dyDescent="0.25">
      <c r="A389">
        <v>388</v>
      </c>
      <c r="B389" t="s">
        <v>275</v>
      </c>
      <c r="C389">
        <v>0</v>
      </c>
      <c r="D389" t="str">
        <f t="shared" si="12"/>
        <v>b</v>
      </c>
      <c r="E389" t="str">
        <f t="shared" si="13"/>
        <v>b) A quien el Juez disponga</v>
      </c>
    </row>
    <row r="390" spans="1:5" x14ac:dyDescent="0.25">
      <c r="A390">
        <v>389</v>
      </c>
      <c r="B390" t="s">
        <v>276</v>
      </c>
      <c r="C390">
        <v>0</v>
      </c>
      <c r="D390" t="str">
        <f t="shared" si="12"/>
        <v>c</v>
      </c>
      <c r="E390" t="str">
        <f t="shared" si="13"/>
        <v>c) Al progenitor que tiene la tenencia</v>
      </c>
    </row>
    <row r="391" spans="1:5" x14ac:dyDescent="0.25">
      <c r="A391">
        <v>390</v>
      </c>
      <c r="B391" t="s">
        <v>277</v>
      </c>
      <c r="C391">
        <v>0</v>
      </c>
      <c r="D391" t="str">
        <f t="shared" si="12"/>
        <v>*</v>
      </c>
      <c r="E391" t="str">
        <f t="shared" si="13"/>
        <v>d) Siempre a ambos padres</v>
      </c>
    </row>
    <row r="392" spans="1:5" x14ac:dyDescent="0.25">
      <c r="A392">
        <v>391</v>
      </c>
      <c r="B392" s="1" t="s">
        <v>1675</v>
      </c>
      <c r="C392">
        <v>1</v>
      </c>
      <c r="D392" t="str">
        <f t="shared" si="12"/>
        <v>S</v>
      </c>
      <c r="E392" t="str">
        <f t="shared" si="13"/>
        <v xml:space="preserve">Según la Ley 23.264 Adrián de 15 años, necesita consentimiento expreso de ambos padres para ingresar a una comunidad religiosa. Sobre la posibilidad del ingreso del joven a dicha institución existe un desacuerdo entre el padre y la madre. Uno de ellos acude al Juez competente planteándole el entredicho y solicitándole una solución. De acuerdo al artículo 264 de esta misma Ley ¿Cómo debería actuar el Juez ante esta situación? </v>
      </c>
    </row>
    <row r="393" spans="1:5" x14ac:dyDescent="0.25">
      <c r="A393">
        <v>392</v>
      </c>
      <c r="B393" t="s">
        <v>278</v>
      </c>
      <c r="C393">
        <v>0</v>
      </c>
      <c r="D393" t="str">
        <f t="shared" si="12"/>
        <v>a</v>
      </c>
      <c r="E393" t="str">
        <f t="shared" si="13"/>
        <v>a) Resolverá hacer responsable a la comunidad religiosa del bienestar del joven.</v>
      </c>
    </row>
    <row r="394" spans="1:5" x14ac:dyDescent="0.25">
      <c r="A394">
        <v>393</v>
      </c>
      <c r="B394" t="s">
        <v>395</v>
      </c>
      <c r="C394">
        <v>0</v>
      </c>
      <c r="D394" t="str">
        <f t="shared" si="12"/>
        <v>*</v>
      </c>
      <c r="E394" t="str">
        <f t="shared" si="13"/>
        <v>b) Resolverá lo mas conveniente para el interés del hijo, previa audiencia de los padres con intervención del Ministerio Pupilar.</v>
      </c>
    </row>
    <row r="395" spans="1:5" x14ac:dyDescent="0.25">
      <c r="A395">
        <v>394</v>
      </c>
      <c r="B395" t="s">
        <v>279</v>
      </c>
      <c r="C395">
        <v>0</v>
      </c>
      <c r="D395" t="str">
        <f t="shared" si="12"/>
        <v>c</v>
      </c>
      <c r="E395" t="str">
        <f t="shared" si="13"/>
        <v>c) Resolverá según lo manifestado por el joven, previa entrevista con el mismo.</v>
      </c>
    </row>
    <row r="396" spans="1:5" x14ac:dyDescent="0.25">
      <c r="A396">
        <v>395</v>
      </c>
      <c r="B396" t="s">
        <v>280</v>
      </c>
      <c r="C396">
        <v>0</v>
      </c>
      <c r="D396" t="str">
        <f t="shared" si="12"/>
        <v>d</v>
      </c>
      <c r="E396" t="str">
        <f t="shared" si="13"/>
        <v>d) Transferirá la decisión a los abuelos del joven en caso de que exista la familia ampliada.</v>
      </c>
    </row>
    <row r="397" spans="1:5" x14ac:dyDescent="0.25">
      <c r="A397">
        <v>396</v>
      </c>
      <c r="B397" s="1" t="s">
        <v>1676</v>
      </c>
      <c r="C397">
        <v>1</v>
      </c>
      <c r="D397" t="str">
        <f t="shared" si="12"/>
        <v>I</v>
      </c>
      <c r="E397" t="str">
        <f t="shared" si="13"/>
        <v>Ingresa a un Hospital de Agudos del Gobierno de la Ciudad un niño de 4 años de edad presentando un cuadro de desnutrición aguda por déficit alimentario. La familia plantea que no cuenta con recursos materiales para cubrir las necesidades básicas. ¿Cómo deberá proceder el equipo de salud teniendo en cuenta el marco de la Ley 114?</v>
      </c>
    </row>
    <row r="398" spans="1:5" x14ac:dyDescent="0.25">
      <c r="A398">
        <v>397</v>
      </c>
      <c r="B398" t="s">
        <v>281</v>
      </c>
      <c r="C398">
        <v>0</v>
      </c>
      <c r="D398" t="str">
        <f t="shared" si="12"/>
        <v>a</v>
      </c>
      <c r="E398" t="str">
        <f t="shared" si="13"/>
        <v>a) Denunciar a los padres al Consejo de Derechos.</v>
      </c>
    </row>
    <row r="399" spans="1:5" x14ac:dyDescent="0.25">
      <c r="A399">
        <v>398</v>
      </c>
      <c r="B399" t="s">
        <v>282</v>
      </c>
      <c r="C399">
        <v>0</v>
      </c>
      <c r="D399" t="str">
        <f t="shared" si="12"/>
        <v>*</v>
      </c>
      <c r="E399" t="str">
        <f t="shared" si="13"/>
        <v>b) Incorporar a la familia a un programa alimentario.</v>
      </c>
    </row>
    <row r="400" spans="1:5" x14ac:dyDescent="0.25">
      <c r="A400">
        <v>399</v>
      </c>
      <c r="B400" t="s">
        <v>283</v>
      </c>
      <c r="C400">
        <v>0</v>
      </c>
      <c r="D400" t="str">
        <f t="shared" si="12"/>
        <v>c</v>
      </c>
      <c r="E400" t="str">
        <f t="shared" si="13"/>
        <v>c) Otorgar la guarda del niño a otro familiar con mayores recursos.</v>
      </c>
    </row>
    <row r="401" spans="1:5" x14ac:dyDescent="0.25">
      <c r="A401">
        <v>400</v>
      </c>
      <c r="B401" t="s">
        <v>284</v>
      </c>
      <c r="C401">
        <v>0</v>
      </c>
      <c r="D401" t="str">
        <f t="shared" si="12"/>
        <v>d</v>
      </c>
      <c r="E401" t="str">
        <f t="shared" si="13"/>
        <v>d) Ubicar al niño en un hogar sustituto.</v>
      </c>
    </row>
    <row r="402" spans="1:5" x14ac:dyDescent="0.25">
      <c r="A402">
        <v>401</v>
      </c>
      <c r="B402" s="1" t="s">
        <v>1677</v>
      </c>
      <c r="C402">
        <v>1</v>
      </c>
      <c r="D402" t="str">
        <f t="shared" si="12"/>
        <v>U</v>
      </c>
      <c r="E402" t="str">
        <f t="shared" si="13"/>
        <v>Una mujer ingresa a un Hospital de Agudos del Gobierno de la Ciudad como consecuencia de un aborto. La pareja de la mujer desconoce el motivo que da origen a la internación y se dirige al médico tratante a fin de averiguarlo. De acuerdo a la Ley Básica de Salud ¿Cómo debe intervenir el médico?</v>
      </c>
    </row>
    <row r="403" spans="1:5" x14ac:dyDescent="0.25">
      <c r="A403">
        <v>402</v>
      </c>
      <c r="B403" t="s">
        <v>285</v>
      </c>
      <c r="C403">
        <v>0</v>
      </c>
      <c r="D403" t="str">
        <f t="shared" si="12"/>
        <v>a</v>
      </c>
      <c r="E403" t="str">
        <f t="shared" si="13"/>
        <v>a) Derivarlo al Servicio Social del Hospital con la finalidad que se le informe.</v>
      </c>
    </row>
    <row r="404" spans="1:5" x14ac:dyDescent="0.25">
      <c r="A404">
        <v>403</v>
      </c>
      <c r="B404" t="s">
        <v>286</v>
      </c>
      <c r="C404">
        <v>0</v>
      </c>
      <c r="D404" t="str">
        <f t="shared" si="12"/>
        <v>b</v>
      </c>
      <c r="E404" t="str">
        <f t="shared" si="13"/>
        <v>b) Indicar al interesado el procedimiento administrativo para efectuar dicha solicitud.</v>
      </c>
    </row>
    <row r="405" spans="1:5" x14ac:dyDescent="0.25">
      <c r="A405">
        <v>404</v>
      </c>
      <c r="B405" t="s">
        <v>287</v>
      </c>
      <c r="C405">
        <v>0</v>
      </c>
      <c r="D405" t="str">
        <f t="shared" si="12"/>
        <v>c</v>
      </c>
      <c r="E405" t="str">
        <f t="shared" si="13"/>
        <v>c) Informar fehacientemente la situación a la pareja de la mujer.</v>
      </c>
    </row>
    <row r="406" spans="1:5" x14ac:dyDescent="0.25">
      <c r="A406">
        <v>405</v>
      </c>
      <c r="B406" t="s">
        <v>288</v>
      </c>
      <c r="C406">
        <v>0</v>
      </c>
      <c r="D406" t="str">
        <f t="shared" si="12"/>
        <v>*</v>
      </c>
      <c r="E406" t="str">
        <f t="shared" si="13"/>
        <v>d) Presevar la información y solicitar a la paciente su opinión al respecto.</v>
      </c>
    </row>
    <row r="407" spans="1:5" x14ac:dyDescent="0.25">
      <c r="A407">
        <v>406</v>
      </c>
      <c r="B407" s="1" t="s">
        <v>1678</v>
      </c>
      <c r="C407">
        <v>1</v>
      </c>
      <c r="D407" t="str">
        <f t="shared" si="12"/>
        <v>U</v>
      </c>
      <c r="E407" t="str">
        <f t="shared" si="13"/>
        <v>Un hombre se encuentra internado en un hospital del Gobierno de la Ciudad padeciendo una enfermedad terminal. La familia solicita al médico no informar al paciente acerca de su diagnóstico, en tanto que su paciente solicita conocer su estado de salud. ¿Cómo debe proceder el médico según la Ley Básica de Salud?</v>
      </c>
    </row>
    <row r="408" spans="1:5" x14ac:dyDescent="0.25">
      <c r="A408">
        <v>407</v>
      </c>
      <c r="B408" t="s">
        <v>289</v>
      </c>
      <c r="C408">
        <v>0</v>
      </c>
      <c r="D408" t="str">
        <f t="shared" si="12"/>
        <v>a</v>
      </c>
      <c r="E408" t="str">
        <f t="shared" si="13"/>
        <v>a) Acceder a la petición de la familia de no confirmar el diagnóstico al paciente</v>
      </c>
    </row>
    <row r="409" spans="1:5" x14ac:dyDescent="0.25">
      <c r="A409">
        <v>408</v>
      </c>
      <c r="B409" t="s">
        <v>290</v>
      </c>
      <c r="C409">
        <v>0</v>
      </c>
      <c r="D409" t="str">
        <f t="shared" si="12"/>
        <v>b</v>
      </c>
      <c r="E409" t="str">
        <f t="shared" si="13"/>
        <v>b) Comunicar al paciente un diagnóstico que no explicite la gravedad del cuadro</v>
      </c>
    </row>
    <row r="410" spans="1:5" x14ac:dyDescent="0.25">
      <c r="A410">
        <v>409</v>
      </c>
      <c r="B410" t="s">
        <v>291</v>
      </c>
      <c r="C410">
        <v>0</v>
      </c>
      <c r="D410" t="str">
        <f t="shared" si="12"/>
        <v>c</v>
      </c>
      <c r="E410" t="str">
        <f t="shared" si="13"/>
        <v>c) Sugerir a la familia la importancia de que pueden transmitir ellos mismos el diagnóstico</v>
      </c>
    </row>
    <row r="411" spans="1:5" x14ac:dyDescent="0.25">
      <c r="A411">
        <v>410</v>
      </c>
      <c r="B411" t="s">
        <v>292</v>
      </c>
      <c r="C411">
        <v>0</v>
      </c>
      <c r="D411" t="str">
        <f t="shared" si="12"/>
        <v>*</v>
      </c>
      <c r="E411" t="str">
        <f t="shared" si="13"/>
        <v>d) Tomar los recaudos pertinentes y comunicar el diagnóstico al paciente</v>
      </c>
    </row>
    <row r="412" spans="1:5" x14ac:dyDescent="0.25">
      <c r="A412">
        <v>411</v>
      </c>
      <c r="B412" t="s">
        <v>1679</v>
      </c>
      <c r="C412">
        <v>1</v>
      </c>
      <c r="D412" t="str">
        <f t="shared" si="12"/>
        <v>S</v>
      </c>
      <c r="E412" t="str">
        <f t="shared" si="13"/>
        <v>Según Mastrángelo de Pamphilis ¿Cómo comienza la construcción del objeto de estudio y objeto modelo?</v>
      </c>
    </row>
    <row r="413" spans="1:5" x14ac:dyDescent="0.25">
      <c r="A413">
        <v>412</v>
      </c>
      <c r="B413" t="s">
        <v>293</v>
      </c>
      <c r="C413">
        <v>0</v>
      </c>
      <c r="D413" t="str">
        <f t="shared" si="12"/>
        <v>*</v>
      </c>
      <c r="E413" t="str">
        <f t="shared" si="13"/>
        <v>a) Con algún problema por resolver.</v>
      </c>
    </row>
    <row r="414" spans="1:5" x14ac:dyDescent="0.25">
      <c r="A414">
        <v>413</v>
      </c>
      <c r="B414" t="s">
        <v>294</v>
      </c>
      <c r="C414">
        <v>0</v>
      </c>
      <c r="D414" t="str">
        <f t="shared" si="12"/>
        <v>b</v>
      </c>
      <c r="E414" t="str">
        <f t="shared" si="13"/>
        <v>b) Delimitación del universo a estudiar.</v>
      </c>
    </row>
    <row r="415" spans="1:5" x14ac:dyDescent="0.25">
      <c r="A415">
        <v>414</v>
      </c>
      <c r="B415" t="s">
        <v>295</v>
      </c>
      <c r="C415">
        <v>0</v>
      </c>
      <c r="D415" t="str">
        <f t="shared" si="12"/>
        <v>c</v>
      </c>
      <c r="E415" t="str">
        <f t="shared" si="13"/>
        <v>c) Encuestas a actores sociales.</v>
      </c>
    </row>
    <row r="416" spans="1:5" x14ac:dyDescent="0.25">
      <c r="A416">
        <v>415</v>
      </c>
      <c r="B416" t="s">
        <v>296</v>
      </c>
      <c r="C416">
        <v>0</v>
      </c>
      <c r="D416" t="str">
        <f t="shared" si="12"/>
        <v>d</v>
      </c>
      <c r="E416" t="str">
        <f t="shared" si="13"/>
        <v>d) Explicitación de un marco teórico.</v>
      </c>
    </row>
    <row r="417" spans="1:5" x14ac:dyDescent="0.25">
      <c r="A417">
        <v>416</v>
      </c>
      <c r="B417" t="s">
        <v>1680</v>
      </c>
      <c r="C417">
        <v>1</v>
      </c>
      <c r="D417" t="str">
        <f t="shared" si="12"/>
        <v>C</v>
      </c>
      <c r="E417" t="str">
        <f t="shared" si="13"/>
        <v>Cuando Mastrángelo Pamphilis expresa algo más que números, marcas o indicios; "predica" cosas, sintetiza, concluye, aporta ideas y resultados de la indagación sobre algunas dimensiones del objeto de estudio ¿A qué concepto se está refiriendo?</v>
      </c>
    </row>
    <row r="418" spans="1:5" x14ac:dyDescent="0.25">
      <c r="A418">
        <v>417</v>
      </c>
      <c r="B418" t="s">
        <v>297</v>
      </c>
      <c r="C418">
        <v>0</v>
      </c>
      <c r="D418" t="str">
        <f t="shared" si="12"/>
        <v>*</v>
      </c>
      <c r="E418" t="str">
        <f t="shared" si="13"/>
        <v>a) Dato.</v>
      </c>
    </row>
    <row r="419" spans="1:5" x14ac:dyDescent="0.25">
      <c r="A419">
        <v>418</v>
      </c>
      <c r="B419" t="s">
        <v>298</v>
      </c>
      <c r="C419">
        <v>0</v>
      </c>
      <c r="D419" t="str">
        <f t="shared" si="12"/>
        <v>b</v>
      </c>
      <c r="E419" t="str">
        <f t="shared" si="13"/>
        <v>b) Indicador.</v>
      </c>
    </row>
    <row r="420" spans="1:5" x14ac:dyDescent="0.25">
      <c r="A420">
        <v>419</v>
      </c>
      <c r="B420" t="s">
        <v>299</v>
      </c>
      <c r="C420">
        <v>0</v>
      </c>
      <c r="D420" t="str">
        <f t="shared" ref="D420:D483" si="14">+MID(B420,1,1)</f>
        <v>c</v>
      </c>
      <c r="E420" t="str">
        <f t="shared" si="13"/>
        <v>c) Muestra.</v>
      </c>
    </row>
    <row r="421" spans="1:5" x14ac:dyDescent="0.25">
      <c r="A421">
        <v>420</v>
      </c>
      <c r="B421" t="s">
        <v>300</v>
      </c>
      <c r="C421">
        <v>0</v>
      </c>
      <c r="D421" t="str">
        <f t="shared" si="14"/>
        <v>d</v>
      </c>
      <c r="E421" t="str">
        <f t="shared" si="13"/>
        <v>d) Variable.</v>
      </c>
    </row>
    <row r="422" spans="1:5" x14ac:dyDescent="0.25">
      <c r="A422">
        <v>421</v>
      </c>
      <c r="B422" s="1" t="s">
        <v>1681</v>
      </c>
      <c r="C422">
        <v>1</v>
      </c>
      <c r="D422" t="str">
        <f t="shared" si="14"/>
        <v>S</v>
      </c>
      <c r="E422" t="str">
        <f t="shared" si="13"/>
        <v>Según Cáceres y otros, en Trabajo Social tanto el entrevistador como el entrevistado desarrollan su respectivo protagonismo, son capaces de asumir tareas de acción alrededor de lo tratado en la entrevista. Para los autores ¿De dónde se parte para que esto sea posible?</v>
      </c>
    </row>
    <row r="423" spans="1:5" x14ac:dyDescent="0.25">
      <c r="A423">
        <v>422</v>
      </c>
      <c r="B423" t="s">
        <v>301</v>
      </c>
      <c r="C423">
        <v>0</v>
      </c>
      <c r="D423" t="str">
        <f t="shared" si="14"/>
        <v>a</v>
      </c>
      <c r="E423" t="str">
        <f t="shared" si="13"/>
        <v>a) De la asimetría que genera el saber estimular al otro</v>
      </c>
    </row>
    <row r="424" spans="1:5" x14ac:dyDescent="0.25">
      <c r="A424">
        <v>423</v>
      </c>
      <c r="B424" t="s">
        <v>302</v>
      </c>
      <c r="C424">
        <v>0</v>
      </c>
      <c r="D424" t="str">
        <f t="shared" si="14"/>
        <v>b</v>
      </c>
      <c r="E424" t="str">
        <f t="shared" si="13"/>
        <v>b) De la habilidad del entrevistador para interpretar las necesidades del entrevistado</v>
      </c>
    </row>
    <row r="425" spans="1:5" x14ac:dyDescent="0.25">
      <c r="A425">
        <v>424</v>
      </c>
      <c r="B425" t="s">
        <v>303</v>
      </c>
      <c r="C425">
        <v>0</v>
      </c>
      <c r="D425" t="str">
        <f t="shared" si="14"/>
        <v>*</v>
      </c>
      <c r="E425" t="str">
        <f t="shared" si="13"/>
        <v>c) De una relación recíproca basada en una vinculación horizontal</v>
      </c>
    </row>
    <row r="426" spans="1:5" x14ac:dyDescent="0.25">
      <c r="A426">
        <v>425</v>
      </c>
      <c r="B426" t="s">
        <v>304</v>
      </c>
      <c r="C426">
        <v>0</v>
      </c>
      <c r="D426" t="str">
        <f t="shared" si="14"/>
        <v>d</v>
      </c>
      <c r="E426" t="str">
        <f t="shared" si="13"/>
        <v>d) De las relaciones amistosas generadas en la interacción</v>
      </c>
    </row>
    <row r="427" spans="1:5" x14ac:dyDescent="0.25">
      <c r="A427">
        <v>426</v>
      </c>
      <c r="B427" t="s">
        <v>1682</v>
      </c>
      <c r="C427">
        <v>1</v>
      </c>
      <c r="D427" t="str">
        <f t="shared" si="14"/>
        <v>C</v>
      </c>
      <c r="E427" t="str">
        <f t="shared" si="13"/>
        <v>Cuando Cáceres y otros refieren que las limitaciones desde el entrevistador pueden ser actitudes que generan desconfianza, aluden a mostrar apuro, a mirar constantemente el reloj ¿Qué otra actitud mencionan al respecto?</v>
      </c>
    </row>
    <row r="428" spans="1:5" x14ac:dyDescent="0.25">
      <c r="A428">
        <v>427</v>
      </c>
      <c r="B428" t="s">
        <v>305</v>
      </c>
      <c r="C428">
        <v>0</v>
      </c>
      <c r="D428" t="str">
        <f t="shared" si="14"/>
        <v>a</v>
      </c>
      <c r="E428" t="str">
        <f t="shared" si="13"/>
        <v>a) Acordar horarios en forma telefónica.</v>
      </c>
    </row>
    <row r="429" spans="1:5" x14ac:dyDescent="0.25">
      <c r="A429">
        <v>428</v>
      </c>
      <c r="B429" t="s">
        <v>306</v>
      </c>
      <c r="C429">
        <v>0</v>
      </c>
      <c r="D429" t="str">
        <f t="shared" si="14"/>
        <v>b</v>
      </c>
      <c r="E429" t="str">
        <f t="shared" si="13"/>
        <v>b) Establecer diversidad de horarios de inicio y finalización de las entrevistas.</v>
      </c>
    </row>
    <row r="430" spans="1:5" x14ac:dyDescent="0.25">
      <c r="A430">
        <v>429</v>
      </c>
      <c r="B430" t="s">
        <v>307</v>
      </c>
      <c r="C430">
        <v>0</v>
      </c>
      <c r="D430" t="str">
        <f t="shared" si="14"/>
        <v>*</v>
      </c>
      <c r="E430" t="str">
        <f t="shared" si="13"/>
        <v>c) Evitar mirar de frente al entrevistado.</v>
      </c>
    </row>
    <row r="431" spans="1:5" x14ac:dyDescent="0.25">
      <c r="A431">
        <v>430</v>
      </c>
      <c r="B431" t="s">
        <v>308</v>
      </c>
      <c r="C431">
        <v>0</v>
      </c>
      <c r="D431" t="str">
        <f t="shared" si="14"/>
        <v>d</v>
      </c>
      <c r="E431" t="str">
        <f t="shared" si="13"/>
        <v>d) Interesarse en las problemáticas de los acompañantes.</v>
      </c>
    </row>
    <row r="432" spans="1:5" x14ac:dyDescent="0.25">
      <c r="A432">
        <v>431</v>
      </c>
      <c r="B432" t="s">
        <v>1683</v>
      </c>
      <c r="C432">
        <v>1</v>
      </c>
      <c r="D432" t="str">
        <f t="shared" si="14"/>
        <v>P</v>
      </c>
      <c r="E432" t="str">
        <f t="shared" si="13"/>
        <v>Para Rosana Guber los objetivos de la entrevista se plasman en la obtención de una profusa información. Para que esto sea posible.¿Qué es imprescindible cuidar de las verdaderas fuentes de información?</v>
      </c>
    </row>
    <row r="433" spans="1:5" x14ac:dyDescent="0.25">
      <c r="A433">
        <v>432</v>
      </c>
      <c r="B433" t="s">
        <v>309</v>
      </c>
      <c r="C433">
        <v>0</v>
      </c>
      <c r="D433" t="str">
        <f t="shared" si="14"/>
        <v>a</v>
      </c>
      <c r="E433" t="str">
        <f t="shared" si="13"/>
        <v>a) La comodidad proporcionada por el encuadre.</v>
      </c>
    </row>
    <row r="434" spans="1:5" x14ac:dyDescent="0.25">
      <c r="A434">
        <v>433</v>
      </c>
      <c r="B434" t="s">
        <v>310</v>
      </c>
      <c r="C434">
        <v>0</v>
      </c>
      <c r="D434" t="str">
        <f t="shared" si="14"/>
        <v>b</v>
      </c>
      <c r="E434" t="str">
        <f t="shared" si="13"/>
        <v>b) La confiabilidad institucional.</v>
      </c>
    </row>
    <row r="435" spans="1:5" x14ac:dyDescent="0.25">
      <c r="A435">
        <v>434</v>
      </c>
      <c r="B435" t="s">
        <v>311</v>
      </c>
      <c r="C435">
        <v>0</v>
      </c>
      <c r="D435" t="str">
        <f t="shared" si="14"/>
        <v>*</v>
      </c>
      <c r="E435" t="str">
        <f t="shared" si="13"/>
        <v>c) La relación personal con los informantes.</v>
      </c>
    </row>
    <row r="436" spans="1:5" x14ac:dyDescent="0.25">
      <c r="A436">
        <v>435</v>
      </c>
      <c r="B436" t="s">
        <v>312</v>
      </c>
      <c r="C436">
        <v>0</v>
      </c>
      <c r="D436" t="str">
        <f t="shared" si="14"/>
        <v>d</v>
      </c>
      <c r="E436" t="str">
        <f t="shared" si="13"/>
        <v>d) La tendencia a la fabulación.</v>
      </c>
    </row>
    <row r="437" spans="1:5" x14ac:dyDescent="0.25">
      <c r="A437">
        <v>436</v>
      </c>
      <c r="B437" t="s">
        <v>1684</v>
      </c>
      <c r="C437">
        <v>1</v>
      </c>
      <c r="D437" t="str">
        <f t="shared" si="14"/>
        <v>P</v>
      </c>
      <c r="E437" t="str">
        <f t="shared" si="13"/>
        <v>Para Guber ¿Cuál es el peligro de desarrollar una relación de conquista desde la entrevista y desplazar el vínculo de orden social y cultural a una cuestión de encantos personales?</v>
      </c>
    </row>
    <row r="438" spans="1:5" x14ac:dyDescent="0.25">
      <c r="A438">
        <v>437</v>
      </c>
      <c r="B438" t="s">
        <v>313</v>
      </c>
      <c r="C438">
        <v>0</v>
      </c>
      <c r="D438" t="str">
        <f t="shared" si="14"/>
        <v>*</v>
      </c>
      <c r="E438" t="str">
        <f t="shared" si="13"/>
        <v>a) Cerrar la posibilidad de analizar y comprender una relación coproducida socialmente.</v>
      </c>
    </row>
    <row r="439" spans="1:5" x14ac:dyDescent="0.25">
      <c r="A439">
        <v>438</v>
      </c>
      <c r="B439" t="s">
        <v>314</v>
      </c>
      <c r="C439">
        <v>0</v>
      </c>
      <c r="D439" t="str">
        <f t="shared" si="14"/>
        <v>b</v>
      </c>
      <c r="E439" t="str">
        <f t="shared" si="13"/>
        <v>b) Facilitar el fenómeno de transferencia que obstaculiza el desarrollo de la entrevista.</v>
      </c>
    </row>
    <row r="440" spans="1:5" x14ac:dyDescent="0.25">
      <c r="A440">
        <v>439</v>
      </c>
      <c r="B440" t="s">
        <v>315</v>
      </c>
      <c r="C440">
        <v>0</v>
      </c>
      <c r="D440" t="str">
        <f t="shared" si="14"/>
        <v>c</v>
      </c>
      <c r="E440" t="str">
        <f t="shared" si="13"/>
        <v>c) Obturar la posibilidad de rapport, indispensable para la mejor producción de la entrevista.</v>
      </c>
    </row>
    <row r="441" spans="1:5" x14ac:dyDescent="0.25">
      <c r="A441">
        <v>440</v>
      </c>
      <c r="B441" t="s">
        <v>316</v>
      </c>
      <c r="C441">
        <v>0</v>
      </c>
      <c r="D441" t="str">
        <f t="shared" si="14"/>
        <v>d</v>
      </c>
      <c r="E441" t="str">
        <f t="shared" si="13"/>
        <v>d) Promover una relación que desvie el foco central de la entrevista.</v>
      </c>
    </row>
    <row r="442" spans="1:5" x14ac:dyDescent="0.25">
      <c r="A442">
        <v>441</v>
      </c>
      <c r="B442" t="s">
        <v>1685</v>
      </c>
      <c r="C442">
        <v>1</v>
      </c>
      <c r="D442" t="str">
        <f t="shared" si="14"/>
        <v>C</v>
      </c>
      <c r="E442" t="str">
        <f t="shared" si="13"/>
        <v>Cuando Cáceres y otros hablan de la entrevista plantean los principios y postulados profesionales de Trabajo Social. Entre los tres postulados éticos plantean el respeto a la dignidad humana, perfectibilidad humana y ¿Cuál es el tercero?</v>
      </c>
    </row>
    <row r="443" spans="1:5" x14ac:dyDescent="0.25">
      <c r="A443">
        <v>442</v>
      </c>
      <c r="B443" t="s">
        <v>317</v>
      </c>
      <c r="C443">
        <v>0</v>
      </c>
      <c r="D443" t="str">
        <f t="shared" si="14"/>
        <v>a</v>
      </c>
      <c r="E443" t="str">
        <f t="shared" si="13"/>
        <v>a) Defensa de los derechos del individuo.</v>
      </c>
    </row>
    <row r="444" spans="1:5" x14ac:dyDescent="0.25">
      <c r="A444">
        <v>443</v>
      </c>
      <c r="B444" t="s">
        <v>318</v>
      </c>
      <c r="C444">
        <v>0</v>
      </c>
      <c r="D444" t="str">
        <f t="shared" si="14"/>
        <v>b</v>
      </c>
      <c r="E444" t="str">
        <f t="shared" si="13"/>
        <v>b) Intervenciones adecuadas según las necesidades.</v>
      </c>
    </row>
    <row r="445" spans="1:5" x14ac:dyDescent="0.25">
      <c r="A445">
        <v>444</v>
      </c>
      <c r="B445" t="s">
        <v>319</v>
      </c>
      <c r="C445">
        <v>0</v>
      </c>
      <c r="D445" t="str">
        <f t="shared" si="14"/>
        <v>c</v>
      </c>
      <c r="E445" t="str">
        <f t="shared" si="13"/>
        <v>c) Satisfacción integral del usuario.</v>
      </c>
    </row>
    <row r="446" spans="1:5" x14ac:dyDescent="0.25">
      <c r="A446">
        <v>445</v>
      </c>
      <c r="B446" t="s">
        <v>320</v>
      </c>
      <c r="C446">
        <v>0</v>
      </c>
      <c r="D446" t="str">
        <f t="shared" si="14"/>
        <v>*</v>
      </c>
      <c r="E446" t="str">
        <f t="shared" si="13"/>
        <v>d) Sociabilidad esencial de la persona.</v>
      </c>
    </row>
    <row r="447" spans="1:5" x14ac:dyDescent="0.25">
      <c r="A447">
        <v>446</v>
      </c>
      <c r="B447" t="s">
        <v>1686</v>
      </c>
      <c r="C447">
        <v>1</v>
      </c>
      <c r="D447" t="str">
        <f t="shared" si="14"/>
        <v>P</v>
      </c>
      <c r="E447" t="str">
        <f t="shared" si="13"/>
        <v>Para Cáceres y otros, ¿Cuáles son las dos dimensiones de la entrevista?</v>
      </c>
    </row>
    <row r="448" spans="1:5" x14ac:dyDescent="0.25">
      <c r="A448">
        <v>447</v>
      </c>
      <c r="B448" t="s">
        <v>321</v>
      </c>
      <c r="C448">
        <v>0</v>
      </c>
      <c r="D448" t="str">
        <f t="shared" si="14"/>
        <v>a</v>
      </c>
      <c r="E448" t="str">
        <f t="shared" si="13"/>
        <v>a) Analítica e instrumental metodológica.</v>
      </c>
    </row>
    <row r="449" spans="1:5" x14ac:dyDescent="0.25">
      <c r="A449">
        <v>448</v>
      </c>
      <c r="B449" t="s">
        <v>322</v>
      </c>
      <c r="C449">
        <v>0</v>
      </c>
      <c r="D449" t="str">
        <f t="shared" si="14"/>
        <v>b</v>
      </c>
      <c r="E449" t="str">
        <f t="shared" si="13"/>
        <v>b) Diagnóstica y global evaluativa.</v>
      </c>
    </row>
    <row r="450" spans="1:5" x14ac:dyDescent="0.25">
      <c r="A450">
        <v>449</v>
      </c>
      <c r="B450" t="s">
        <v>323</v>
      </c>
      <c r="C450">
        <v>0</v>
      </c>
      <c r="D450" t="str">
        <f t="shared" si="14"/>
        <v>*</v>
      </c>
      <c r="E450" t="str">
        <f t="shared" si="13"/>
        <v>c) Técnica y proceso de interacción social.</v>
      </c>
    </row>
    <row r="451" spans="1:5" x14ac:dyDescent="0.25">
      <c r="A451">
        <v>450</v>
      </c>
      <c r="B451" t="s">
        <v>324</v>
      </c>
      <c r="C451">
        <v>0</v>
      </c>
      <c r="D451" t="str">
        <f t="shared" si="14"/>
        <v>d</v>
      </c>
      <c r="E451" t="str">
        <f t="shared" ref="E451:E514" si="15">+IF(D451="*",MID(B451,3,500),B451)</f>
        <v>d) Valoración y construcción social.</v>
      </c>
    </row>
    <row r="452" spans="1:5" x14ac:dyDescent="0.25">
      <c r="A452">
        <v>451</v>
      </c>
      <c r="B452" s="1" t="s">
        <v>1687</v>
      </c>
      <c r="C452">
        <v>1</v>
      </c>
      <c r="D452" t="str">
        <f t="shared" si="14"/>
        <v>P</v>
      </c>
      <c r="E452" t="str">
        <f t="shared" si="15"/>
        <v>Para Carballeda la visión de lo social como algo constitutivo de la vida cotidiana exige considerar la construcción de intercambios y reciprocidades dentro de un grupo, familia o barrio. Desde esta perspectiva ¿En términos de qué es organizada la vida social para el autor?</v>
      </c>
    </row>
    <row r="453" spans="1:5" x14ac:dyDescent="0.25">
      <c r="A453">
        <v>452</v>
      </c>
      <c r="B453" t="s">
        <v>325</v>
      </c>
      <c r="C453">
        <v>0</v>
      </c>
      <c r="D453" t="str">
        <f t="shared" si="14"/>
        <v>a</v>
      </c>
      <c r="E453" t="str">
        <f t="shared" si="15"/>
        <v>a) Elucidaciones.</v>
      </c>
    </row>
    <row r="454" spans="1:5" x14ac:dyDescent="0.25">
      <c r="A454">
        <v>453</v>
      </c>
      <c r="B454" t="s">
        <v>326</v>
      </c>
      <c r="C454">
        <v>0</v>
      </c>
      <c r="D454" t="str">
        <f t="shared" si="14"/>
        <v>b</v>
      </c>
      <c r="E454" t="str">
        <f t="shared" si="15"/>
        <v>b) Multireferencias.</v>
      </c>
    </row>
    <row r="455" spans="1:5" x14ac:dyDescent="0.25">
      <c r="A455">
        <v>454</v>
      </c>
      <c r="B455" t="s">
        <v>327</v>
      </c>
      <c r="C455">
        <v>0</v>
      </c>
      <c r="D455" t="str">
        <f t="shared" si="14"/>
        <v>*</v>
      </c>
      <c r="E455" t="str">
        <f t="shared" si="15"/>
        <v>c) Símbolos .</v>
      </c>
    </row>
    <row r="456" spans="1:5" x14ac:dyDescent="0.25">
      <c r="A456">
        <v>455</v>
      </c>
      <c r="B456" t="s">
        <v>328</v>
      </c>
      <c r="C456">
        <v>0</v>
      </c>
      <c r="D456" t="str">
        <f t="shared" si="14"/>
        <v>d</v>
      </c>
      <c r="E456" t="str">
        <f t="shared" si="15"/>
        <v>d) Trasculturaciones.</v>
      </c>
    </row>
    <row r="457" spans="1:5" x14ac:dyDescent="0.25">
      <c r="A457">
        <v>456</v>
      </c>
      <c r="B457" t="s">
        <v>1688</v>
      </c>
      <c r="C457">
        <v>1</v>
      </c>
      <c r="D457" t="str">
        <f t="shared" si="14"/>
        <v>S</v>
      </c>
      <c r="E457" t="str">
        <f t="shared" si="15"/>
        <v>Según Garcia Fuster ¿A qué se encuentra mas estrechamente asociado la institucionalización de la persona anciana?</v>
      </c>
    </row>
    <row r="458" spans="1:5" x14ac:dyDescent="0.25">
      <c r="A458">
        <v>457</v>
      </c>
      <c r="B458" t="s">
        <v>329</v>
      </c>
      <c r="C458">
        <v>0</v>
      </c>
      <c r="D458" t="str">
        <f t="shared" si="14"/>
        <v>a</v>
      </c>
      <c r="E458" t="str">
        <f t="shared" si="15"/>
        <v>a) A las dificultades económicas para afrontar el pago de cuidadores</v>
      </c>
    </row>
    <row r="459" spans="1:5" x14ac:dyDescent="0.25">
      <c r="A459">
        <v>458</v>
      </c>
      <c r="B459" t="s">
        <v>330</v>
      </c>
      <c r="C459">
        <v>0</v>
      </c>
      <c r="D459" t="str">
        <f t="shared" si="14"/>
        <v>b</v>
      </c>
      <c r="E459" t="str">
        <f t="shared" si="15"/>
        <v>b) Al desarraigo de los familiares en la sociedad moderna</v>
      </c>
    </row>
    <row r="460" spans="1:5" x14ac:dyDescent="0.25">
      <c r="A460">
        <v>459</v>
      </c>
      <c r="B460" t="s">
        <v>331</v>
      </c>
      <c r="C460">
        <v>0</v>
      </c>
      <c r="D460" t="str">
        <f t="shared" si="14"/>
        <v>c</v>
      </c>
      <c r="E460" t="str">
        <f t="shared" si="15"/>
        <v>c) A la escacez de espacios que tienen actualmente las viviendas</v>
      </c>
    </row>
    <row r="461" spans="1:5" x14ac:dyDescent="0.25">
      <c r="A461">
        <v>460</v>
      </c>
      <c r="B461" t="s">
        <v>332</v>
      </c>
      <c r="C461">
        <v>0</v>
      </c>
      <c r="D461" t="str">
        <f t="shared" si="14"/>
        <v>*</v>
      </c>
      <c r="E461" t="str">
        <f t="shared" si="15"/>
        <v>d) A la percepción de la carga que supone su cuidado</v>
      </c>
    </row>
    <row r="462" spans="1:5" x14ac:dyDescent="0.25">
      <c r="A462">
        <v>461</v>
      </c>
      <c r="B462" t="s">
        <v>1689</v>
      </c>
      <c r="C462">
        <v>1</v>
      </c>
      <c r="D462" t="str">
        <f t="shared" si="14"/>
        <v>P</v>
      </c>
      <c r="E462" t="str">
        <f t="shared" si="15"/>
        <v>Para Graciela Tonon. ¿Cúal es la etapa de la Estrategia Metodológica de intervención en situaciones de maltrato infantil en la cual se identifican el nivel de riesgo y el nivel de severidad de la situación?</v>
      </c>
    </row>
    <row r="463" spans="1:5" x14ac:dyDescent="0.25">
      <c r="A463">
        <v>462</v>
      </c>
      <c r="B463" t="s">
        <v>333</v>
      </c>
      <c r="C463">
        <v>0</v>
      </c>
      <c r="D463" t="str">
        <f t="shared" si="14"/>
        <v>a</v>
      </c>
      <c r="E463" t="str">
        <f t="shared" si="15"/>
        <v>a) Anamnesis.</v>
      </c>
    </row>
    <row r="464" spans="1:5" x14ac:dyDescent="0.25">
      <c r="A464">
        <v>463</v>
      </c>
      <c r="B464" t="s">
        <v>334</v>
      </c>
      <c r="C464">
        <v>0</v>
      </c>
      <c r="D464" t="str">
        <f t="shared" si="14"/>
        <v>b</v>
      </c>
      <c r="E464" t="str">
        <f t="shared" si="15"/>
        <v>b) Determinación de la intervención.</v>
      </c>
    </row>
    <row r="465" spans="1:5" x14ac:dyDescent="0.25">
      <c r="A465">
        <v>464</v>
      </c>
      <c r="B465" t="s">
        <v>335</v>
      </c>
      <c r="C465">
        <v>0</v>
      </c>
      <c r="D465" t="str">
        <f t="shared" si="14"/>
        <v>c</v>
      </c>
      <c r="E465" t="str">
        <f t="shared" si="15"/>
        <v>c) Diagnóstico del caso.</v>
      </c>
    </row>
    <row r="466" spans="1:5" x14ac:dyDescent="0.25">
      <c r="A466">
        <v>465</v>
      </c>
      <c r="B466" t="s">
        <v>336</v>
      </c>
      <c r="C466">
        <v>0</v>
      </c>
      <c r="D466" t="str">
        <f t="shared" si="14"/>
        <v>*</v>
      </c>
      <c r="E466" t="str">
        <f t="shared" si="15"/>
        <v>d) Validación de la situación.</v>
      </c>
    </row>
    <row r="467" spans="1:5" x14ac:dyDescent="0.25">
      <c r="A467">
        <v>466</v>
      </c>
      <c r="B467" t="s">
        <v>1690</v>
      </c>
      <c r="C467">
        <v>1</v>
      </c>
      <c r="D467" t="str">
        <f t="shared" si="14"/>
        <v>S</v>
      </c>
      <c r="E467" t="str">
        <f t="shared" si="15"/>
        <v>Siguiendo a Foucault, el control de la sociedad sobre los individuos se opera por la conciencia y se ejerce en el cuerpo. Por lo tanto para este autor el cuerpo es:</v>
      </c>
    </row>
    <row r="468" spans="1:5" x14ac:dyDescent="0.25">
      <c r="A468">
        <v>467</v>
      </c>
      <c r="B468" t="s">
        <v>337</v>
      </c>
      <c r="C468">
        <v>0</v>
      </c>
      <c r="D468" t="str">
        <f t="shared" si="14"/>
        <v>a</v>
      </c>
      <c r="E468" t="str">
        <f t="shared" si="15"/>
        <v>a) Un instrumento de exploración</v>
      </c>
    </row>
    <row r="469" spans="1:5" x14ac:dyDescent="0.25">
      <c r="A469">
        <v>468</v>
      </c>
      <c r="B469" t="s">
        <v>338</v>
      </c>
      <c r="C469">
        <v>0</v>
      </c>
      <c r="D469" t="str">
        <f t="shared" si="14"/>
        <v>b</v>
      </c>
      <c r="E469" t="str">
        <f t="shared" si="15"/>
        <v>b) Una herramienta del poder médico</v>
      </c>
    </row>
    <row r="470" spans="1:5" x14ac:dyDescent="0.25">
      <c r="A470">
        <v>469</v>
      </c>
      <c r="B470" t="s">
        <v>339</v>
      </c>
      <c r="C470">
        <v>0</v>
      </c>
      <c r="D470" t="str">
        <f t="shared" si="14"/>
        <v>c</v>
      </c>
      <c r="E470" t="str">
        <f t="shared" si="15"/>
        <v>c) Un objeto de dominación</v>
      </c>
    </row>
    <row r="471" spans="1:5" x14ac:dyDescent="0.25">
      <c r="A471">
        <v>470</v>
      </c>
      <c r="B471" t="s">
        <v>340</v>
      </c>
      <c r="C471">
        <v>0</v>
      </c>
      <c r="D471" t="str">
        <f t="shared" si="14"/>
        <v>*</v>
      </c>
      <c r="E471" t="str">
        <f t="shared" si="15"/>
        <v>d) Una realidad biopolítica</v>
      </c>
    </row>
    <row r="472" spans="1:5" x14ac:dyDescent="0.25">
      <c r="A472">
        <v>471</v>
      </c>
      <c r="B472" t="s">
        <v>1691</v>
      </c>
      <c r="C472">
        <v>1</v>
      </c>
      <c r="D472" t="str">
        <f t="shared" si="14"/>
        <v>P</v>
      </c>
      <c r="E472" t="str">
        <f t="shared" si="15"/>
        <v xml:space="preserve">Para Torcigliani y Campana ¿Cómo se denomina el tipo de comunicación del proceso grupal que se inicia mediante un vínculo estructurado a partir de un emergente de apertura intencionada? </v>
      </c>
    </row>
    <row r="473" spans="1:5" x14ac:dyDescent="0.25">
      <c r="A473">
        <v>472</v>
      </c>
      <c r="B473" t="s">
        <v>341</v>
      </c>
      <c r="C473">
        <v>0</v>
      </c>
      <c r="D473" t="str">
        <f t="shared" si="14"/>
        <v>*</v>
      </c>
      <c r="E473" t="str">
        <f t="shared" si="15"/>
        <v>a) Dialógica reflexiva.</v>
      </c>
    </row>
    <row r="474" spans="1:5" x14ac:dyDescent="0.25">
      <c r="A474">
        <v>473</v>
      </c>
      <c r="B474" t="s">
        <v>342</v>
      </c>
      <c r="C474">
        <v>0</v>
      </c>
      <c r="D474" t="str">
        <f t="shared" si="14"/>
        <v>b</v>
      </c>
      <c r="E474" t="str">
        <f t="shared" si="15"/>
        <v>b) Focalizada programática.</v>
      </c>
    </row>
    <row r="475" spans="1:5" x14ac:dyDescent="0.25">
      <c r="A475">
        <v>474</v>
      </c>
      <c r="B475" t="s">
        <v>343</v>
      </c>
      <c r="C475">
        <v>0</v>
      </c>
      <c r="D475" t="str">
        <f t="shared" si="14"/>
        <v>c</v>
      </c>
      <c r="E475" t="str">
        <f t="shared" si="15"/>
        <v>c) Estructurada prepautada.</v>
      </c>
    </row>
    <row r="476" spans="1:5" x14ac:dyDescent="0.25">
      <c r="A476">
        <v>475</v>
      </c>
      <c r="B476" t="s">
        <v>344</v>
      </c>
      <c r="C476">
        <v>0</v>
      </c>
      <c r="D476" t="str">
        <f t="shared" si="14"/>
        <v>d</v>
      </c>
      <c r="E476" t="str">
        <f t="shared" si="15"/>
        <v>d) Directiva manifiesta.</v>
      </c>
    </row>
    <row r="477" spans="1:5" x14ac:dyDescent="0.25">
      <c r="A477">
        <v>476</v>
      </c>
      <c r="B477" t="s">
        <v>1692</v>
      </c>
      <c r="C477">
        <v>1</v>
      </c>
      <c r="D477" t="str">
        <f t="shared" si="14"/>
        <v>P</v>
      </c>
      <c r="E477" t="str">
        <f t="shared" si="15"/>
        <v xml:space="preserve">Para Torcigliani y Campana ¿cuáles son las constantes que caracterizan el trabajo con grupo? </v>
      </c>
    </row>
    <row r="478" spans="1:5" x14ac:dyDescent="0.25">
      <c r="A478">
        <v>477</v>
      </c>
      <c r="B478" t="s">
        <v>345</v>
      </c>
      <c r="C478">
        <v>0</v>
      </c>
      <c r="D478" t="str">
        <f t="shared" si="14"/>
        <v>a</v>
      </c>
      <c r="E478" t="str">
        <f t="shared" si="15"/>
        <v>a) Comunicación- estructura- cordinación</v>
      </c>
    </row>
    <row r="479" spans="1:5" x14ac:dyDescent="0.25">
      <c r="A479">
        <v>478</v>
      </c>
      <c r="B479" t="s">
        <v>346</v>
      </c>
      <c r="C479">
        <v>0</v>
      </c>
      <c r="D479" t="str">
        <f t="shared" si="14"/>
        <v>*</v>
      </c>
      <c r="E479" t="str">
        <f t="shared" si="15"/>
        <v>b) Personas- tiempo- espacio</v>
      </c>
    </row>
    <row r="480" spans="1:5" x14ac:dyDescent="0.25">
      <c r="A480">
        <v>479</v>
      </c>
      <c r="B480" t="s">
        <v>347</v>
      </c>
      <c r="C480">
        <v>0</v>
      </c>
      <c r="D480" t="str">
        <f t="shared" si="14"/>
        <v>c</v>
      </c>
      <c r="E480" t="str">
        <f t="shared" si="15"/>
        <v>c) Planificación- registro- evaluación</v>
      </c>
    </row>
    <row r="481" spans="1:5" x14ac:dyDescent="0.25">
      <c r="A481">
        <v>480</v>
      </c>
      <c r="B481" t="s">
        <v>348</v>
      </c>
      <c r="C481">
        <v>0</v>
      </c>
      <c r="D481" t="str">
        <f t="shared" si="14"/>
        <v>d</v>
      </c>
      <c r="E481" t="str">
        <f t="shared" si="15"/>
        <v>d) Tarea- tiempo- roles</v>
      </c>
    </row>
    <row r="482" spans="1:5" x14ac:dyDescent="0.25">
      <c r="A482">
        <v>481</v>
      </c>
      <c r="B482" t="s">
        <v>1693</v>
      </c>
      <c r="C482">
        <v>1</v>
      </c>
      <c r="D482" t="str">
        <f t="shared" si="14"/>
        <v>P</v>
      </c>
      <c r="E482" t="str">
        <f t="shared" si="15"/>
        <v>Para Torcigliani y Campana ¿En qué ámbito se constituyen las representaciones sociales?</v>
      </c>
    </row>
    <row r="483" spans="1:5" x14ac:dyDescent="0.25">
      <c r="A483">
        <v>482</v>
      </c>
      <c r="B483" t="s">
        <v>349</v>
      </c>
      <c r="C483">
        <v>0</v>
      </c>
      <c r="D483" t="str">
        <f t="shared" si="14"/>
        <v>a</v>
      </c>
      <c r="E483" t="str">
        <f t="shared" si="15"/>
        <v>a) Emocional.</v>
      </c>
    </row>
    <row r="484" spans="1:5" x14ac:dyDescent="0.25">
      <c r="A484">
        <v>483</v>
      </c>
      <c r="B484" t="s">
        <v>350</v>
      </c>
      <c r="C484">
        <v>0</v>
      </c>
      <c r="D484" t="str">
        <f t="shared" ref="D484:D547" si="16">+MID(B484,1,1)</f>
        <v>b</v>
      </c>
      <c r="E484" t="str">
        <f t="shared" si="15"/>
        <v>b) Institucional.</v>
      </c>
    </row>
    <row r="485" spans="1:5" x14ac:dyDescent="0.25">
      <c r="A485">
        <v>484</v>
      </c>
      <c r="B485" t="s">
        <v>351</v>
      </c>
      <c r="C485">
        <v>0</v>
      </c>
      <c r="D485" t="str">
        <f t="shared" si="16"/>
        <v>*</v>
      </c>
      <c r="E485" t="str">
        <f t="shared" si="15"/>
        <v>c) Relacional.</v>
      </c>
    </row>
    <row r="486" spans="1:5" x14ac:dyDescent="0.25">
      <c r="A486">
        <v>485</v>
      </c>
      <c r="B486" t="s">
        <v>352</v>
      </c>
      <c r="C486">
        <v>0</v>
      </c>
      <c r="D486" t="str">
        <f t="shared" si="16"/>
        <v>d</v>
      </c>
      <c r="E486" t="str">
        <f t="shared" si="15"/>
        <v>d) Subjetivo.</v>
      </c>
    </row>
    <row r="487" spans="1:5" x14ac:dyDescent="0.25">
      <c r="A487">
        <v>486</v>
      </c>
      <c r="B487" t="s">
        <v>1694</v>
      </c>
      <c r="C487">
        <v>1</v>
      </c>
      <c r="D487" t="str">
        <f t="shared" si="16"/>
        <v>J</v>
      </c>
      <c r="E487" t="str">
        <f t="shared" si="15"/>
        <v>Jelin hace referencia al proceso histórico de migración rural- urbana y las redes de parentesco en América Latina. Según la autora ¿qué tipo de contexto otorgan estas redes a la experiencia migratoria?</v>
      </c>
    </row>
    <row r="488" spans="1:5" x14ac:dyDescent="0.25">
      <c r="A488">
        <v>487</v>
      </c>
      <c r="B488" t="s">
        <v>353</v>
      </c>
      <c r="C488">
        <v>0</v>
      </c>
      <c r="D488" t="str">
        <f t="shared" si="16"/>
        <v>a</v>
      </c>
      <c r="E488" t="str">
        <f t="shared" si="15"/>
        <v>a) Familiar y material.</v>
      </c>
    </row>
    <row r="489" spans="1:5" x14ac:dyDescent="0.25">
      <c r="A489">
        <v>488</v>
      </c>
      <c r="B489" t="s">
        <v>354</v>
      </c>
      <c r="C489">
        <v>0</v>
      </c>
      <c r="D489" t="str">
        <f t="shared" si="16"/>
        <v>*</v>
      </c>
      <c r="E489" t="str">
        <f t="shared" si="15"/>
        <v>b) Humano y social.</v>
      </c>
    </row>
    <row r="490" spans="1:5" x14ac:dyDescent="0.25">
      <c r="A490">
        <v>489</v>
      </c>
      <c r="B490" t="s">
        <v>355</v>
      </c>
      <c r="C490">
        <v>0</v>
      </c>
      <c r="D490" t="str">
        <f t="shared" si="16"/>
        <v>c</v>
      </c>
      <c r="E490" t="str">
        <f t="shared" si="15"/>
        <v>c) Laboral y comunitario.</v>
      </c>
    </row>
    <row r="491" spans="1:5" x14ac:dyDescent="0.25">
      <c r="A491">
        <v>490</v>
      </c>
      <c r="B491" t="s">
        <v>356</v>
      </c>
      <c r="C491">
        <v>0</v>
      </c>
      <c r="D491" t="str">
        <f t="shared" si="16"/>
        <v>d</v>
      </c>
      <c r="E491" t="str">
        <f t="shared" si="15"/>
        <v>d) Relacional y afectivo.</v>
      </c>
    </row>
    <row r="492" spans="1:5" x14ac:dyDescent="0.25">
      <c r="A492">
        <v>491</v>
      </c>
      <c r="B492" t="s">
        <v>1695</v>
      </c>
      <c r="C492">
        <v>1</v>
      </c>
      <c r="D492" t="str">
        <f t="shared" si="16"/>
        <v>P</v>
      </c>
      <c r="E492" t="str">
        <f t="shared" si="15"/>
        <v>Para Graciela Tonon ¿Cómo se denomina a las relaciones interpesonales en las cuales se ofrecen o intercambian ayudas del tipo material, emocional o instrumental, produciendo sensación de bienestar al receptor?</v>
      </c>
    </row>
    <row r="493" spans="1:5" x14ac:dyDescent="0.25">
      <c r="A493">
        <v>492</v>
      </c>
      <c r="B493" t="s">
        <v>357</v>
      </c>
      <c r="C493">
        <v>0</v>
      </c>
      <c r="D493" t="str">
        <f t="shared" si="16"/>
        <v>a</v>
      </c>
      <c r="E493" t="str">
        <f t="shared" si="15"/>
        <v>a) Alianza</v>
      </c>
    </row>
    <row r="494" spans="1:5" x14ac:dyDescent="0.25">
      <c r="A494">
        <v>493</v>
      </c>
      <c r="B494" t="s">
        <v>358</v>
      </c>
      <c r="C494">
        <v>0</v>
      </c>
      <c r="D494" t="str">
        <f t="shared" si="16"/>
        <v>b</v>
      </c>
      <c r="E494" t="str">
        <f t="shared" si="15"/>
        <v>b) Apoyo solidario</v>
      </c>
    </row>
    <row r="495" spans="1:5" x14ac:dyDescent="0.25">
      <c r="A495">
        <v>494</v>
      </c>
      <c r="B495" t="s">
        <v>359</v>
      </c>
      <c r="C495">
        <v>0</v>
      </c>
      <c r="D495" t="str">
        <f t="shared" si="16"/>
        <v>*</v>
      </c>
      <c r="E495" t="str">
        <f t="shared" si="15"/>
        <v>c) Red social</v>
      </c>
    </row>
    <row r="496" spans="1:5" x14ac:dyDescent="0.25">
      <c r="A496">
        <v>495</v>
      </c>
      <c r="B496" t="s">
        <v>360</v>
      </c>
      <c r="C496">
        <v>0</v>
      </c>
      <c r="D496" t="str">
        <f t="shared" si="16"/>
        <v>d</v>
      </c>
      <c r="E496" t="str">
        <f t="shared" si="15"/>
        <v>d) Vínculo comunitario</v>
      </c>
    </row>
    <row r="497" spans="1:5" x14ac:dyDescent="0.25">
      <c r="A497">
        <v>496</v>
      </c>
      <c r="B497" t="s">
        <v>1696</v>
      </c>
      <c r="C497">
        <v>1</v>
      </c>
      <c r="D497" t="str">
        <f t="shared" si="16"/>
        <v>S</v>
      </c>
      <c r="E497" t="str">
        <f t="shared" si="15"/>
        <v>Según Jelin, ¿Cúales son los criterios básicos que determinan la diferenciación del trabajo cotidiano entre los miembros de la familia?</v>
      </c>
    </row>
    <row r="498" spans="1:5" x14ac:dyDescent="0.25">
      <c r="A498">
        <v>497</v>
      </c>
      <c r="B498" t="s">
        <v>361</v>
      </c>
      <c r="C498">
        <v>0</v>
      </c>
      <c r="D498" t="str">
        <f t="shared" si="16"/>
        <v>a</v>
      </c>
      <c r="E498" t="str">
        <f t="shared" si="15"/>
        <v>a) La instrucción y el grado de parentesco.</v>
      </c>
    </row>
    <row r="499" spans="1:5" x14ac:dyDescent="0.25">
      <c r="A499">
        <v>498</v>
      </c>
      <c r="B499" t="s">
        <v>362</v>
      </c>
      <c r="C499">
        <v>0</v>
      </c>
      <c r="D499" t="str">
        <f t="shared" si="16"/>
        <v>b</v>
      </c>
      <c r="E499" t="str">
        <f t="shared" si="15"/>
        <v>b) La motivación y la capacidad individual.</v>
      </c>
    </row>
    <row r="500" spans="1:5" x14ac:dyDescent="0.25">
      <c r="A500">
        <v>499</v>
      </c>
      <c r="B500" t="s">
        <v>363</v>
      </c>
      <c r="C500">
        <v>0</v>
      </c>
      <c r="D500" t="str">
        <f t="shared" si="16"/>
        <v>*</v>
      </c>
      <c r="E500" t="str">
        <f t="shared" si="15"/>
        <v>c) El sexo y la edad.</v>
      </c>
    </row>
    <row r="501" spans="1:5" x14ac:dyDescent="0.25">
      <c r="A501">
        <v>500</v>
      </c>
      <c r="B501" t="s">
        <v>364</v>
      </c>
      <c r="C501">
        <v>0</v>
      </c>
      <c r="D501" t="str">
        <f t="shared" si="16"/>
        <v>d</v>
      </c>
      <c r="E501" t="str">
        <f t="shared" si="15"/>
        <v>d) La voluntad y el compromiso.</v>
      </c>
    </row>
    <row r="502" spans="1:5" x14ac:dyDescent="0.25">
      <c r="A502">
        <v>501</v>
      </c>
      <c r="B502" t="s">
        <v>1597</v>
      </c>
      <c r="C502">
        <v>1</v>
      </c>
      <c r="D502" t="str">
        <f t="shared" si="16"/>
        <v>S</v>
      </c>
      <c r="E502" t="str">
        <f t="shared" si="15"/>
        <v>Según Basaglia, en las instituciones de Salud Mental. ¿Qué llega a hacer aceptar el perfeccionismo técnico especializado?</v>
      </c>
    </row>
    <row r="503" spans="1:5" x14ac:dyDescent="0.25">
      <c r="A503">
        <v>502</v>
      </c>
      <c r="B503" t="s">
        <v>0</v>
      </c>
      <c r="C503">
        <v>0</v>
      </c>
      <c r="D503" t="str">
        <f t="shared" si="16"/>
        <v>a</v>
      </c>
      <c r="E503" t="str">
        <f t="shared" si="15"/>
        <v>a) El encierro permanente.</v>
      </c>
    </row>
    <row r="504" spans="1:5" x14ac:dyDescent="0.25">
      <c r="A504">
        <v>503</v>
      </c>
      <c r="B504" t="s">
        <v>1</v>
      </c>
      <c r="C504">
        <v>0</v>
      </c>
      <c r="D504" t="str">
        <f t="shared" si="16"/>
        <v>*</v>
      </c>
      <c r="E504" t="str">
        <f t="shared" si="15"/>
        <v>b) La inferioridad social del excluído.</v>
      </c>
    </row>
    <row r="505" spans="1:5" x14ac:dyDescent="0.25">
      <c r="A505">
        <v>504</v>
      </c>
      <c r="B505" t="s">
        <v>2</v>
      </c>
      <c r="C505">
        <v>0</v>
      </c>
      <c r="D505" t="str">
        <f t="shared" si="16"/>
        <v>c</v>
      </c>
      <c r="E505" t="str">
        <f t="shared" si="15"/>
        <v>c) La necesidad de medicación permanente.</v>
      </c>
    </row>
    <row r="506" spans="1:5" x14ac:dyDescent="0.25">
      <c r="A506">
        <v>505</v>
      </c>
      <c r="B506" t="s">
        <v>3</v>
      </c>
      <c r="C506">
        <v>0</v>
      </c>
      <c r="D506" t="str">
        <f t="shared" si="16"/>
        <v>d</v>
      </c>
      <c r="E506" t="str">
        <f t="shared" si="15"/>
        <v>d) Las técnicas invasoras.</v>
      </c>
    </row>
    <row r="507" spans="1:5" x14ac:dyDescent="0.25">
      <c r="A507">
        <v>506</v>
      </c>
      <c r="B507" t="s">
        <v>1598</v>
      </c>
      <c r="C507">
        <v>1</v>
      </c>
      <c r="D507" t="str">
        <f t="shared" si="16"/>
        <v>S</v>
      </c>
      <c r="E507" t="str">
        <f t="shared" si="15"/>
        <v>Según Bourdieu y Wacquant ¿Cúales son las fuerzas que son activas en el campo y que, por lo mismo, el analista selecciona como pertinentes, porque producen las diferencias más importantes?</v>
      </c>
    </row>
    <row r="508" spans="1:5" x14ac:dyDescent="0.25">
      <c r="A508">
        <v>507</v>
      </c>
      <c r="B508" t="s">
        <v>4</v>
      </c>
      <c r="C508">
        <v>0</v>
      </c>
      <c r="D508" t="str">
        <f t="shared" si="16"/>
        <v>a</v>
      </c>
      <c r="E508" t="str">
        <f t="shared" si="15"/>
        <v>a) Las que concentran el poder simbólico.</v>
      </c>
    </row>
    <row r="509" spans="1:5" x14ac:dyDescent="0.25">
      <c r="A509">
        <v>508</v>
      </c>
      <c r="B509" t="s">
        <v>5</v>
      </c>
      <c r="C509">
        <v>0</v>
      </c>
      <c r="D509" t="str">
        <f t="shared" si="16"/>
        <v>*</v>
      </c>
      <c r="E509" t="str">
        <f t="shared" si="15"/>
        <v>b) Las que definen el capital específico.</v>
      </c>
    </row>
    <row r="510" spans="1:5" x14ac:dyDescent="0.25">
      <c r="A510">
        <v>509</v>
      </c>
      <c r="B510" t="s">
        <v>6</v>
      </c>
      <c r="C510">
        <v>0</v>
      </c>
      <c r="D510" t="str">
        <f t="shared" si="16"/>
        <v>c</v>
      </c>
      <c r="E510" t="str">
        <f t="shared" si="15"/>
        <v>c) Las que recurren bagaje cultural.</v>
      </c>
    </row>
    <row r="511" spans="1:5" x14ac:dyDescent="0.25">
      <c r="A511">
        <v>510</v>
      </c>
      <c r="B511" t="s">
        <v>7</v>
      </c>
      <c r="C511">
        <v>0</v>
      </c>
      <c r="D511" t="str">
        <f t="shared" si="16"/>
        <v>d</v>
      </c>
      <c r="E511" t="str">
        <f t="shared" si="15"/>
        <v>d) Las que tienen el apoyo de la comunidad.</v>
      </c>
    </row>
    <row r="512" spans="1:5" x14ac:dyDescent="0.25">
      <c r="A512">
        <v>511</v>
      </c>
      <c r="B512" s="1" t="s">
        <v>1599</v>
      </c>
      <c r="C512">
        <v>1</v>
      </c>
      <c r="D512" t="str">
        <f t="shared" si="16"/>
        <v>P</v>
      </c>
      <c r="E512" t="str">
        <f t="shared" si="15"/>
        <v>Para Gustavo Parra, los elementos en la génesis de la profesión, marcaron y acompañaron su desarrollo histórico, entre ellos un posicionamiento ideológico, una legitimación de la práctica profesional que provenía fundamentalmente de las clases dominantes. ¿Cúal es el otro elemento que menciona Parra?</v>
      </c>
    </row>
    <row r="513" spans="1:5" x14ac:dyDescent="0.25">
      <c r="A513">
        <v>512</v>
      </c>
      <c r="B513" t="s">
        <v>8</v>
      </c>
      <c r="C513">
        <v>0</v>
      </c>
      <c r="D513" t="str">
        <f t="shared" si="16"/>
        <v>a</v>
      </c>
      <c r="E513" t="str">
        <f t="shared" si="15"/>
        <v>a) La caridad que atendía prioritariamente a niños, mujeres y enfermos.</v>
      </c>
    </row>
    <row r="514" spans="1:5" x14ac:dyDescent="0.25">
      <c r="A514">
        <v>513</v>
      </c>
      <c r="B514" t="s">
        <v>9</v>
      </c>
      <c r="C514">
        <v>0</v>
      </c>
      <c r="D514" t="str">
        <f t="shared" si="16"/>
        <v>b</v>
      </c>
      <c r="E514" t="str">
        <f t="shared" si="15"/>
        <v>b) Un dogmatismo religioso que resaltaba la moral y las buenas costumbres.</v>
      </c>
    </row>
    <row r="515" spans="1:5" x14ac:dyDescent="0.25">
      <c r="A515">
        <v>514</v>
      </c>
      <c r="B515" t="s">
        <v>10</v>
      </c>
      <c r="C515">
        <v>0</v>
      </c>
      <c r="D515" t="str">
        <f t="shared" si="16"/>
        <v>*</v>
      </c>
      <c r="E515" t="str">
        <f t="shared" ref="E515:E578" si="17">+IF(D515="*",MID(B515,3,500),B515)</f>
        <v>c) Un humanismo que priorizaba al individuo y la familia.</v>
      </c>
    </row>
    <row r="516" spans="1:5" x14ac:dyDescent="0.25">
      <c r="A516">
        <v>515</v>
      </c>
      <c r="B516" t="s">
        <v>11</v>
      </c>
      <c r="C516">
        <v>0</v>
      </c>
      <c r="D516" t="str">
        <f t="shared" si="16"/>
        <v>d</v>
      </c>
      <c r="E516" t="str">
        <f t="shared" si="17"/>
        <v>d) Una racionalidad basada en el higienismo y la sanidad.</v>
      </c>
    </row>
    <row r="517" spans="1:5" x14ac:dyDescent="0.25">
      <c r="A517">
        <v>516</v>
      </c>
      <c r="B517" s="1" t="s">
        <v>1600</v>
      </c>
      <c r="C517">
        <v>1</v>
      </c>
      <c r="D517" t="str">
        <f t="shared" si="16"/>
        <v>S</v>
      </c>
      <c r="E517" t="str">
        <f t="shared" si="17"/>
        <v>Según Gustavo Parra, la Iglesia ante el proceso de secularización capitalista y su pérdida de hegemonía, intentó recuperar poder junto al Estado. A través de diversas Encíclicas se hizo un llamamiento a los católicos y se presentó una programática para atender a los problemas sociales. ¿Como qué era entendida en estos documentos la cuestión social?</v>
      </c>
    </row>
    <row r="518" spans="1:5" x14ac:dyDescent="0.25">
      <c r="A518">
        <v>517</v>
      </c>
      <c r="B518" t="s">
        <v>12</v>
      </c>
      <c r="C518">
        <v>0</v>
      </c>
      <c r="D518" t="str">
        <f t="shared" si="16"/>
        <v>a</v>
      </c>
      <c r="E518" t="str">
        <f t="shared" si="17"/>
        <v>a) Una divergencia entre diferentes cultos.</v>
      </c>
    </row>
    <row r="519" spans="1:5" x14ac:dyDescent="0.25">
      <c r="A519">
        <v>518</v>
      </c>
      <c r="B519" t="s">
        <v>13</v>
      </c>
      <c r="C519">
        <v>0</v>
      </c>
      <c r="D519" t="str">
        <f t="shared" si="16"/>
        <v>b</v>
      </c>
      <c r="E519" t="str">
        <f t="shared" si="17"/>
        <v>b) La demonización del movimiento obrero.</v>
      </c>
    </row>
    <row r="520" spans="1:5" x14ac:dyDescent="0.25">
      <c r="A520">
        <v>519</v>
      </c>
      <c r="B520" t="s">
        <v>14</v>
      </c>
      <c r="C520">
        <v>0</v>
      </c>
      <c r="D520" t="str">
        <f t="shared" si="16"/>
        <v>*</v>
      </c>
      <c r="E520" t="str">
        <f t="shared" si="17"/>
        <v>c) Un problema moral y religioso.</v>
      </c>
    </row>
    <row r="521" spans="1:5" x14ac:dyDescent="0.25">
      <c r="A521">
        <v>520</v>
      </c>
      <c r="B521" t="s">
        <v>15</v>
      </c>
      <c r="C521">
        <v>0</v>
      </c>
      <c r="D521" t="str">
        <f t="shared" si="16"/>
        <v>d</v>
      </c>
      <c r="E521" t="str">
        <f t="shared" si="17"/>
        <v>d) Un proceso ideológico y de ruptura espiritual.</v>
      </c>
    </row>
    <row r="522" spans="1:5" x14ac:dyDescent="0.25">
      <c r="A522">
        <v>521</v>
      </c>
      <c r="B522" t="s">
        <v>1601</v>
      </c>
      <c r="C522">
        <v>1</v>
      </c>
      <c r="D522" t="str">
        <f t="shared" si="16"/>
        <v>S</v>
      </c>
      <c r="E522" t="str">
        <f t="shared" si="17"/>
        <v>Según Edith Fuentes, en el ámbito hospitalario, ¿Para qué se utiliza el recurso de la internación en los niños en situación de vulnerabilidad?</v>
      </c>
    </row>
    <row r="523" spans="1:5" x14ac:dyDescent="0.25">
      <c r="A523">
        <v>522</v>
      </c>
      <c r="B523" t="s">
        <v>411</v>
      </c>
      <c r="C523">
        <v>0</v>
      </c>
      <c r="D523" t="str">
        <f t="shared" si="16"/>
        <v>a</v>
      </c>
      <c r="E523" t="str">
        <f t="shared" si="17"/>
        <v xml:space="preserve">a) Como estrategia judicial dilatoria. </v>
      </c>
    </row>
    <row r="524" spans="1:5" x14ac:dyDescent="0.25">
      <c r="A524">
        <v>523</v>
      </c>
      <c r="B524" t="s">
        <v>17</v>
      </c>
      <c r="C524">
        <v>0</v>
      </c>
      <c r="D524" t="str">
        <f t="shared" si="16"/>
        <v>b</v>
      </c>
      <c r="E524" t="str">
        <f t="shared" si="17"/>
        <v>b) Proporcionarle al equipo de salud tiempo para hacer las evaluaciones.</v>
      </c>
    </row>
    <row r="525" spans="1:5" x14ac:dyDescent="0.25">
      <c r="A525">
        <v>524</v>
      </c>
      <c r="B525" t="s">
        <v>18</v>
      </c>
      <c r="C525">
        <v>0</v>
      </c>
      <c r="D525" t="str">
        <f t="shared" si="16"/>
        <v>*</v>
      </c>
      <c r="E525" t="str">
        <f t="shared" si="17"/>
        <v>c) Garantizar la seguridad a la que tienen derecho.</v>
      </c>
    </row>
    <row r="526" spans="1:5" x14ac:dyDescent="0.25">
      <c r="A526">
        <v>525</v>
      </c>
      <c r="B526" t="s">
        <v>19</v>
      </c>
      <c r="C526">
        <v>0</v>
      </c>
      <c r="D526" t="str">
        <f t="shared" si="16"/>
        <v>d</v>
      </c>
      <c r="E526" t="str">
        <f t="shared" si="17"/>
        <v>d) Separarlos de su ámbito familiar iatrogénico.</v>
      </c>
    </row>
    <row r="527" spans="1:5" x14ac:dyDescent="0.25">
      <c r="A527">
        <v>526</v>
      </c>
      <c r="B527" t="s">
        <v>1697</v>
      </c>
      <c r="C527">
        <v>1</v>
      </c>
      <c r="D527" t="str">
        <f t="shared" si="16"/>
        <v>M</v>
      </c>
      <c r="E527" t="str">
        <f t="shared" si="17"/>
        <v>Maria Eugenia Royer, plantea la definición de los problemas de salud desde una perspectiva poblacional sustentada en los aportes de la epidemiología y demografía. ¿Cúales son las principales variables de la dinámica demográfica citadas por la autora?</v>
      </c>
    </row>
    <row r="528" spans="1:5" x14ac:dyDescent="0.25">
      <c r="A528">
        <v>527</v>
      </c>
      <c r="B528" t="s">
        <v>20</v>
      </c>
      <c r="C528">
        <v>0</v>
      </c>
      <c r="D528" t="str">
        <f t="shared" si="16"/>
        <v>a</v>
      </c>
      <c r="E528" t="str">
        <f t="shared" si="17"/>
        <v>a) Distribución etárea, niveles de ingreso y distribución geográfica.</v>
      </c>
    </row>
    <row r="529" spans="1:5" x14ac:dyDescent="0.25">
      <c r="A529">
        <v>528</v>
      </c>
      <c r="B529" t="s">
        <v>21</v>
      </c>
      <c r="C529">
        <v>0</v>
      </c>
      <c r="D529" t="str">
        <f t="shared" si="16"/>
        <v>b</v>
      </c>
      <c r="E529" t="str">
        <f t="shared" si="17"/>
        <v>b) Defunciones, fecundidad e inmigración.</v>
      </c>
    </row>
    <row r="530" spans="1:5" x14ac:dyDescent="0.25">
      <c r="A530">
        <v>529</v>
      </c>
      <c r="B530" t="s">
        <v>22</v>
      </c>
      <c r="C530">
        <v>0</v>
      </c>
      <c r="D530" t="str">
        <f t="shared" si="16"/>
        <v>*</v>
      </c>
      <c r="E530" t="str">
        <f t="shared" si="17"/>
        <v>c) Edad, sexo y nivel de instrucción.</v>
      </c>
    </row>
    <row r="531" spans="1:5" x14ac:dyDescent="0.25">
      <c r="A531">
        <v>530</v>
      </c>
      <c r="B531" t="s">
        <v>23</v>
      </c>
      <c r="C531">
        <v>0</v>
      </c>
      <c r="D531" t="str">
        <f t="shared" si="16"/>
        <v>d</v>
      </c>
      <c r="E531" t="str">
        <f t="shared" si="17"/>
        <v>d) Mortalidad, natalidad y migración.</v>
      </c>
    </row>
    <row r="532" spans="1:5" x14ac:dyDescent="0.25">
      <c r="A532">
        <v>531</v>
      </c>
      <c r="B532" s="1" t="s">
        <v>1603</v>
      </c>
      <c r="C532">
        <v>1</v>
      </c>
      <c r="D532" t="str">
        <f t="shared" si="16"/>
        <v>E</v>
      </c>
      <c r="E532" t="str">
        <f t="shared" si="17"/>
        <v>El equipo del Ministerio de Salud debe definir prioridades en la salud de la población para ejecutar su presupuesto. En las estadísticas de los últimos años observa que la denuncia de embarazo adolescente ha ido creciendo un 2% anual. ¿A qué tasa nos referimos cuando decimos que crece un 2% por año?</v>
      </c>
    </row>
    <row r="533" spans="1:5" x14ac:dyDescent="0.25">
      <c r="A533">
        <v>532</v>
      </c>
      <c r="B533" t="s">
        <v>24</v>
      </c>
      <c r="C533">
        <v>0</v>
      </c>
      <c r="D533" t="str">
        <f t="shared" si="16"/>
        <v>a</v>
      </c>
      <c r="E533" t="str">
        <f t="shared" si="17"/>
        <v>a) Bruta.</v>
      </c>
    </row>
    <row r="534" spans="1:5" x14ac:dyDescent="0.25">
      <c r="A534">
        <v>533</v>
      </c>
      <c r="B534" t="s">
        <v>25</v>
      </c>
      <c r="C534">
        <v>0</v>
      </c>
      <c r="D534" t="str">
        <f t="shared" si="16"/>
        <v>b</v>
      </c>
      <c r="E534" t="str">
        <f t="shared" si="17"/>
        <v>b) Específica.</v>
      </c>
    </row>
    <row r="535" spans="1:5" x14ac:dyDescent="0.25">
      <c r="A535">
        <v>534</v>
      </c>
      <c r="B535" t="s">
        <v>26</v>
      </c>
      <c r="C535">
        <v>0</v>
      </c>
      <c r="D535" t="str">
        <f t="shared" si="16"/>
        <v>*</v>
      </c>
      <c r="E535" t="str">
        <f t="shared" si="17"/>
        <v>c) Incidencia.</v>
      </c>
    </row>
    <row r="536" spans="1:5" x14ac:dyDescent="0.25">
      <c r="A536">
        <v>535</v>
      </c>
      <c r="B536" t="s">
        <v>27</v>
      </c>
      <c r="C536">
        <v>0</v>
      </c>
      <c r="D536" t="str">
        <f t="shared" si="16"/>
        <v>d</v>
      </c>
      <c r="E536" t="str">
        <f t="shared" si="17"/>
        <v>d) Prevalencia.</v>
      </c>
    </row>
    <row r="537" spans="1:5" x14ac:dyDescent="0.25">
      <c r="A537">
        <v>536</v>
      </c>
      <c r="B537" t="s">
        <v>1698</v>
      </c>
      <c r="C537">
        <v>1</v>
      </c>
      <c r="D537" t="str">
        <f t="shared" si="16"/>
        <v>P</v>
      </c>
      <c r="E537" t="str">
        <f t="shared" si="17"/>
        <v xml:space="preserve">Para Carballeda. ¿Qué permiten, durante la intervención, las entrevistas signadas por relatos de historias de vida, biografías o acontecimientos significativos? </v>
      </c>
    </row>
    <row r="538" spans="1:5" x14ac:dyDescent="0.25">
      <c r="A538">
        <v>537</v>
      </c>
      <c r="B538" t="s">
        <v>28</v>
      </c>
      <c r="C538">
        <v>0</v>
      </c>
      <c r="D538" t="str">
        <f t="shared" si="16"/>
        <v>a</v>
      </c>
      <c r="E538" t="str">
        <f t="shared" si="17"/>
        <v>a) Redimensionar los datos inespecíficos surgidos de la entrevista.</v>
      </c>
    </row>
    <row r="539" spans="1:5" x14ac:dyDescent="0.25">
      <c r="A539">
        <v>538</v>
      </c>
      <c r="B539" t="s">
        <v>29</v>
      </c>
      <c r="C539">
        <v>0</v>
      </c>
      <c r="D539" t="str">
        <f t="shared" si="16"/>
        <v>b</v>
      </c>
      <c r="E539" t="str">
        <f t="shared" si="17"/>
        <v>b) Reconstruir la historia laboral para su futura reinserción.</v>
      </c>
    </row>
    <row r="540" spans="1:5" x14ac:dyDescent="0.25">
      <c r="A540">
        <v>539</v>
      </c>
      <c r="B540" t="s">
        <v>30</v>
      </c>
      <c r="C540">
        <v>0</v>
      </c>
      <c r="D540" t="str">
        <f t="shared" si="16"/>
        <v>c</v>
      </c>
      <c r="E540" t="str">
        <f t="shared" si="17"/>
        <v>c) Reflexionar sobre los aspectos cualitativos del sujeto.</v>
      </c>
    </row>
    <row r="541" spans="1:5" x14ac:dyDescent="0.25">
      <c r="A541">
        <v>540</v>
      </c>
      <c r="B541" t="s">
        <v>31</v>
      </c>
      <c r="C541">
        <v>0</v>
      </c>
      <c r="D541" t="str">
        <f t="shared" si="16"/>
        <v>*</v>
      </c>
      <c r="E541" t="str">
        <f t="shared" si="17"/>
        <v>d) Relacionar acontecimientos del presente con una revisión del pasado.</v>
      </c>
    </row>
    <row r="542" spans="1:5" x14ac:dyDescent="0.25">
      <c r="A542">
        <v>541</v>
      </c>
      <c r="B542" t="s">
        <v>1699</v>
      </c>
      <c r="C542">
        <v>1</v>
      </c>
      <c r="D542" t="str">
        <f t="shared" si="16"/>
        <v>¿</v>
      </c>
      <c r="E542" t="str">
        <f t="shared" si="17"/>
        <v xml:space="preserve">¿Cúal es, según Estela Grassi la racionalidad dominante, como guía de la acción, la organización y la gestión que subyace a la modalidad gerencial? </v>
      </c>
    </row>
    <row r="543" spans="1:5" x14ac:dyDescent="0.25">
      <c r="A543">
        <v>542</v>
      </c>
      <c r="B543" t="s">
        <v>32</v>
      </c>
      <c r="C543">
        <v>0</v>
      </c>
      <c r="D543" t="str">
        <f t="shared" si="16"/>
        <v>a</v>
      </c>
      <c r="E543" t="str">
        <f t="shared" si="17"/>
        <v>a) La idea de un marco teórico apolítico-amoral</v>
      </c>
    </row>
    <row r="544" spans="1:5" x14ac:dyDescent="0.25">
      <c r="A544">
        <v>543</v>
      </c>
      <c r="B544" t="s">
        <v>33</v>
      </c>
      <c r="C544">
        <v>0</v>
      </c>
      <c r="D544" t="str">
        <f t="shared" si="16"/>
        <v>*</v>
      </c>
      <c r="E544" t="str">
        <f t="shared" si="17"/>
        <v>b) La pretención de una racionalidad técnico-burocrática.</v>
      </c>
    </row>
    <row r="545" spans="1:5" x14ac:dyDescent="0.25">
      <c r="A545">
        <v>544</v>
      </c>
      <c r="B545" t="s">
        <v>34</v>
      </c>
      <c r="C545">
        <v>0</v>
      </c>
      <c r="D545" t="str">
        <f t="shared" si="16"/>
        <v>c</v>
      </c>
      <c r="E545" t="str">
        <f t="shared" si="17"/>
        <v>c) El sentido de beneficiencia compensatorio-complementario.</v>
      </c>
    </row>
    <row r="546" spans="1:5" x14ac:dyDescent="0.25">
      <c r="A546">
        <v>545</v>
      </c>
      <c r="B546" t="s">
        <v>35</v>
      </c>
      <c r="C546">
        <v>0</v>
      </c>
      <c r="D546" t="str">
        <f t="shared" si="16"/>
        <v>d</v>
      </c>
      <c r="E546" t="str">
        <f t="shared" si="17"/>
        <v>d) El valor de la competitividad curricular-formativa</v>
      </c>
    </row>
    <row r="547" spans="1:5" x14ac:dyDescent="0.25">
      <c r="A547">
        <v>546</v>
      </c>
      <c r="B547" t="s">
        <v>1606</v>
      </c>
      <c r="C547">
        <v>1</v>
      </c>
      <c r="D547" t="str">
        <f t="shared" si="16"/>
        <v>C</v>
      </c>
      <c r="E547" t="str">
        <f t="shared" si="17"/>
        <v>Cuando Gattino y Flores, dicen que la familia cuenta con tres fuentes de provisión de recursos para la satifacción de sus necesidades, ¿A qué se refieren cuando hablan de "las transferencias informales"?</v>
      </c>
    </row>
    <row r="548" spans="1:5" x14ac:dyDescent="0.25">
      <c r="A548">
        <v>547</v>
      </c>
      <c r="B548" t="s">
        <v>365</v>
      </c>
      <c r="C548">
        <v>0</v>
      </c>
      <c r="D548" t="str">
        <f t="shared" ref="D548:D611" si="18">+MID(B548,1,1)</f>
        <v>*</v>
      </c>
      <c r="E548" t="str">
        <f t="shared" si="17"/>
        <v>a) Las basadas en las redes de parientes y vecinos donde se da el intercambio, la reciprocidad o ayuda mutua.</v>
      </c>
    </row>
    <row r="549" spans="1:5" x14ac:dyDescent="0.25">
      <c r="A549">
        <v>548</v>
      </c>
      <c r="B549" t="s">
        <v>366</v>
      </c>
      <c r="C549">
        <v>0</v>
      </c>
      <c r="D549" t="str">
        <f t="shared" si="18"/>
        <v>b</v>
      </c>
      <c r="E549" t="str">
        <f t="shared" si="17"/>
        <v>b) Las ayudas espirituales y de recursos que proporcionan la Iglesia y los grupos evangélicos.</v>
      </c>
    </row>
    <row r="550" spans="1:5" x14ac:dyDescent="0.25">
      <c r="A550">
        <v>549</v>
      </c>
      <c r="B550" t="s">
        <v>367</v>
      </c>
      <c r="C550">
        <v>0</v>
      </c>
      <c r="D550" t="str">
        <f t="shared" si="18"/>
        <v>c</v>
      </c>
      <c r="E550" t="str">
        <f t="shared" si="17"/>
        <v>c) La obtención de recursos fruto del trabajo no formal, la mendicidad o la recolección de cartones.</v>
      </c>
    </row>
    <row r="551" spans="1:5" x14ac:dyDescent="0.25">
      <c r="A551">
        <v>550</v>
      </c>
      <c r="B551" t="s">
        <v>368</v>
      </c>
      <c r="C551">
        <v>0</v>
      </c>
      <c r="D551" t="str">
        <f t="shared" si="18"/>
        <v>d</v>
      </c>
      <c r="E551" t="str">
        <f t="shared" si="17"/>
        <v>d) Los soportes afectivos y sociales que proporciona la red de instituciones barriales y grupos comunitarios.</v>
      </c>
    </row>
    <row r="552" spans="1:5" x14ac:dyDescent="0.25">
      <c r="A552">
        <v>551</v>
      </c>
      <c r="B552" s="1" t="s">
        <v>1607</v>
      </c>
      <c r="C552">
        <v>1</v>
      </c>
      <c r="D552" t="str">
        <f t="shared" si="18"/>
        <v>S</v>
      </c>
      <c r="E552" t="str">
        <f t="shared" si="17"/>
        <v>Sonia Fleury describe a los tres modelos de política social , según la tipología de Titmus. ¿Cómo se denomina el modelo de Política Social que se caracteriza por la solución de las necesidades sociales a partir de las posibilidades del mercado, en términos individuales o en pequeños grupos siendo la familia el grupo fundamental?</v>
      </c>
    </row>
    <row r="553" spans="1:5" x14ac:dyDescent="0.25">
      <c r="A553">
        <v>552</v>
      </c>
      <c r="B553" t="s">
        <v>36</v>
      </c>
      <c r="C553">
        <v>0</v>
      </c>
      <c r="D553" t="str">
        <f t="shared" si="18"/>
        <v>a</v>
      </c>
      <c r="E553" t="str">
        <f t="shared" si="17"/>
        <v>a) Endogenista.</v>
      </c>
    </row>
    <row r="554" spans="1:5" x14ac:dyDescent="0.25">
      <c r="A554">
        <v>553</v>
      </c>
      <c r="B554" t="s">
        <v>37</v>
      </c>
      <c r="C554">
        <v>0</v>
      </c>
      <c r="D554" t="str">
        <f t="shared" si="18"/>
        <v>b</v>
      </c>
      <c r="E554" t="str">
        <f t="shared" si="17"/>
        <v>b) Focalizada.</v>
      </c>
    </row>
    <row r="555" spans="1:5" x14ac:dyDescent="0.25">
      <c r="A555">
        <v>554</v>
      </c>
      <c r="B555" t="s">
        <v>38</v>
      </c>
      <c r="C555">
        <v>0</v>
      </c>
      <c r="D555" t="str">
        <f t="shared" si="18"/>
        <v>c</v>
      </c>
      <c r="E555" t="str">
        <f t="shared" si="17"/>
        <v>c) Fragmentaria.</v>
      </c>
    </row>
    <row r="556" spans="1:5" x14ac:dyDescent="0.25">
      <c r="A556">
        <v>555</v>
      </c>
      <c r="B556" t="s">
        <v>39</v>
      </c>
      <c r="C556">
        <v>0</v>
      </c>
      <c r="D556" t="str">
        <f t="shared" si="18"/>
        <v>*</v>
      </c>
      <c r="E556" t="str">
        <f t="shared" si="17"/>
        <v>d) Residual.</v>
      </c>
    </row>
    <row r="557" spans="1:5" x14ac:dyDescent="0.25">
      <c r="A557">
        <v>556</v>
      </c>
      <c r="B557" s="1" t="s">
        <v>1608</v>
      </c>
      <c r="C557">
        <v>1</v>
      </c>
      <c r="D557" t="str">
        <f t="shared" si="18"/>
        <v>E</v>
      </c>
      <c r="E557" t="str">
        <f t="shared" si="17"/>
        <v>En su artículo Sonia Fleury, hace mención a los desafíos actuales que enfrenta el Welfare: en la línea de los teóricos integracionistas serían: el envejecimiento de la población, los cambios sexuales en la división del trabajo y la necesidad de nuevos contratos inter generación y los sexos. ¿Cúal sería el tercero?</v>
      </c>
    </row>
    <row r="558" spans="1:5" x14ac:dyDescent="0.25">
      <c r="A558">
        <v>557</v>
      </c>
      <c r="B558" t="s">
        <v>40</v>
      </c>
      <c r="C558">
        <v>0</v>
      </c>
      <c r="D558" t="str">
        <f t="shared" si="18"/>
        <v>*</v>
      </c>
      <c r="E558" t="str">
        <f t="shared" si="17"/>
        <v>a) El cambio de valores y la necesidad de un nuevo contrato entre Estado y ciudadanos.</v>
      </c>
    </row>
    <row r="559" spans="1:5" x14ac:dyDescent="0.25">
      <c r="A559">
        <v>558</v>
      </c>
      <c r="B559" t="s">
        <v>41</v>
      </c>
      <c r="C559">
        <v>0</v>
      </c>
      <c r="D559" t="str">
        <f t="shared" si="18"/>
        <v>b</v>
      </c>
      <c r="E559" t="str">
        <f t="shared" si="17"/>
        <v>b) El enfrentamiento racial y la necesidad de acuerdos de integración interraciales.</v>
      </c>
    </row>
    <row r="560" spans="1:5" x14ac:dyDescent="0.25">
      <c r="A560">
        <v>559</v>
      </c>
      <c r="B560" t="s">
        <v>396</v>
      </c>
      <c r="C560">
        <v>0</v>
      </c>
      <c r="D560" t="str">
        <f t="shared" si="18"/>
        <v>c</v>
      </c>
      <c r="E560" t="str">
        <f t="shared" si="17"/>
        <v>c) Los movimientos migratorios mundiales y la importancia de contratos y acuerdos transnacionales.</v>
      </c>
    </row>
    <row r="561" spans="1:5" x14ac:dyDescent="0.25">
      <c r="A561">
        <v>560</v>
      </c>
      <c r="B561" t="s">
        <v>397</v>
      </c>
      <c r="C561">
        <v>0</v>
      </c>
      <c r="D561" t="str">
        <f t="shared" si="18"/>
        <v>d</v>
      </c>
      <c r="E561" t="str">
        <f t="shared" si="17"/>
        <v>d) Las problemáticas ecológicas que trajeron aparejadas el resurgimiento de epidemias erradicadas.</v>
      </c>
    </row>
    <row r="562" spans="1:5" x14ac:dyDescent="0.25">
      <c r="A562">
        <v>561</v>
      </c>
      <c r="B562" s="1" t="s">
        <v>1700</v>
      </c>
      <c r="C562">
        <v>1</v>
      </c>
      <c r="D562" t="str">
        <f t="shared" si="18"/>
        <v>E</v>
      </c>
      <c r="E562" t="str">
        <f t="shared" si="17"/>
        <v>En su artículo Mabel Grimberg, refiere que tanto en la problemática de prevención al VIH-Sida, como en programas preventivos y en gran parte de la bibliografía clínica, epidemiológica y de las ciencias sociales, existe todavía una concepción predominante sobre la juventud y los jóvenes como "problema social". ¿Cómo es esa concepción?</v>
      </c>
    </row>
    <row r="563" spans="1:5" x14ac:dyDescent="0.25">
      <c r="A563">
        <v>562</v>
      </c>
      <c r="B563" t="s">
        <v>42</v>
      </c>
      <c r="C563">
        <v>0</v>
      </c>
      <c r="D563" t="str">
        <f t="shared" si="18"/>
        <v>a</v>
      </c>
      <c r="E563" t="str">
        <f t="shared" si="17"/>
        <v>a) Dialéctica, crítica y progresista.</v>
      </c>
    </row>
    <row r="564" spans="1:5" x14ac:dyDescent="0.25">
      <c r="A564">
        <v>563</v>
      </c>
      <c r="B564" t="s">
        <v>43</v>
      </c>
      <c r="C564">
        <v>0</v>
      </c>
      <c r="D564" t="str">
        <f t="shared" si="18"/>
        <v>b</v>
      </c>
      <c r="E564" t="str">
        <f t="shared" si="17"/>
        <v>b) Singular, particular y universal.</v>
      </c>
    </row>
    <row r="565" spans="1:5" x14ac:dyDescent="0.25">
      <c r="A565">
        <v>564</v>
      </c>
      <c r="B565" t="s">
        <v>44</v>
      </c>
      <c r="C565">
        <v>0</v>
      </c>
      <c r="D565" t="str">
        <f t="shared" si="18"/>
        <v>c</v>
      </c>
      <c r="E565" t="str">
        <f t="shared" si="17"/>
        <v>c) Retrógrada , hegemómica y conservadora.</v>
      </c>
    </row>
    <row r="566" spans="1:5" x14ac:dyDescent="0.25">
      <c r="A566">
        <v>565</v>
      </c>
      <c r="B566" t="s">
        <v>45</v>
      </c>
      <c r="C566">
        <v>0</v>
      </c>
      <c r="D566" t="str">
        <f t="shared" si="18"/>
        <v>*</v>
      </c>
      <c r="E566" t="str">
        <f t="shared" si="17"/>
        <v>d) Universalista, ahistórica y naturalizadora.</v>
      </c>
    </row>
    <row r="567" spans="1:5" x14ac:dyDescent="0.25">
      <c r="A567">
        <v>566</v>
      </c>
      <c r="B567" t="s">
        <v>1610</v>
      </c>
      <c r="C567">
        <v>1</v>
      </c>
      <c r="D567" t="str">
        <f t="shared" si="18"/>
        <v>D</v>
      </c>
      <c r="E567" t="str">
        <f t="shared" si="17"/>
        <v>Desde el punto de vista metodológico. ¿Qué tipo de estudio realiza Mabel Grimberg para llegar a sus conclusiones?</v>
      </c>
    </row>
    <row r="568" spans="1:5" x14ac:dyDescent="0.25">
      <c r="A568">
        <v>567</v>
      </c>
      <c r="B568" t="s">
        <v>46</v>
      </c>
      <c r="C568">
        <v>0</v>
      </c>
      <c r="D568" t="str">
        <f t="shared" si="18"/>
        <v>*</v>
      </c>
      <c r="E568" t="str">
        <f t="shared" si="17"/>
        <v>a) Etnográfico.</v>
      </c>
    </row>
    <row r="569" spans="1:5" x14ac:dyDescent="0.25">
      <c r="A569">
        <v>568</v>
      </c>
      <c r="B569" t="s">
        <v>47</v>
      </c>
      <c r="C569">
        <v>0</v>
      </c>
      <c r="D569" t="str">
        <f t="shared" si="18"/>
        <v>b</v>
      </c>
      <c r="E569" t="str">
        <f t="shared" si="17"/>
        <v>b) Internalista.</v>
      </c>
    </row>
    <row r="570" spans="1:5" x14ac:dyDescent="0.25">
      <c r="A570">
        <v>569</v>
      </c>
      <c r="B570" t="s">
        <v>48</v>
      </c>
      <c r="C570">
        <v>0</v>
      </c>
      <c r="D570" t="str">
        <f t="shared" si="18"/>
        <v>c</v>
      </c>
      <c r="E570" t="str">
        <f t="shared" si="17"/>
        <v>c) De grupo control.</v>
      </c>
    </row>
    <row r="571" spans="1:5" x14ac:dyDescent="0.25">
      <c r="A571">
        <v>570</v>
      </c>
      <c r="B571" t="s">
        <v>49</v>
      </c>
      <c r="C571">
        <v>0</v>
      </c>
      <c r="D571" t="str">
        <f t="shared" si="18"/>
        <v>d</v>
      </c>
      <c r="E571" t="str">
        <f t="shared" si="17"/>
        <v>d) Topográfico.</v>
      </c>
    </row>
    <row r="572" spans="1:5" x14ac:dyDescent="0.25">
      <c r="A572">
        <v>571</v>
      </c>
      <c r="B572" t="s">
        <v>1611</v>
      </c>
      <c r="C572">
        <v>1</v>
      </c>
      <c r="D572" t="str">
        <f t="shared" si="18"/>
        <v>P</v>
      </c>
      <c r="E572" t="str">
        <f t="shared" si="17"/>
        <v>Para Claudia Danani ¿Cúal es la noción en la que confluyen los problemas de la política social y el de la economía social como alternativa socio económica?</v>
      </c>
    </row>
    <row r="573" spans="1:5" x14ac:dyDescent="0.25">
      <c r="A573">
        <v>572</v>
      </c>
      <c r="B573" t="s">
        <v>50</v>
      </c>
      <c r="C573">
        <v>0</v>
      </c>
      <c r="D573" t="str">
        <f t="shared" si="18"/>
        <v>a</v>
      </c>
      <c r="E573" t="str">
        <f t="shared" si="17"/>
        <v>a) Demandas desmedidas.</v>
      </c>
    </row>
    <row r="574" spans="1:5" x14ac:dyDescent="0.25">
      <c r="A574">
        <v>573</v>
      </c>
      <c r="B574" t="s">
        <v>51</v>
      </c>
      <c r="C574">
        <v>0</v>
      </c>
      <c r="D574" t="str">
        <f t="shared" si="18"/>
        <v>b</v>
      </c>
      <c r="E574" t="str">
        <f t="shared" si="17"/>
        <v>b) Exigencias básicas.</v>
      </c>
    </row>
    <row r="575" spans="1:5" x14ac:dyDescent="0.25">
      <c r="A575">
        <v>574</v>
      </c>
      <c r="B575" t="s">
        <v>52</v>
      </c>
      <c r="C575">
        <v>0</v>
      </c>
      <c r="D575" t="str">
        <f t="shared" si="18"/>
        <v>*</v>
      </c>
      <c r="E575" t="str">
        <f t="shared" si="17"/>
        <v>c) Necesidades legítimas.</v>
      </c>
    </row>
    <row r="576" spans="1:5" x14ac:dyDescent="0.25">
      <c r="A576">
        <v>575</v>
      </c>
      <c r="B576" t="s">
        <v>53</v>
      </c>
      <c r="C576">
        <v>0</v>
      </c>
      <c r="D576" t="str">
        <f t="shared" si="18"/>
        <v>d</v>
      </c>
      <c r="E576" t="str">
        <f t="shared" si="17"/>
        <v>d) Protección de la vulnerabilidad.</v>
      </c>
    </row>
    <row r="577" spans="1:5" x14ac:dyDescent="0.25">
      <c r="A577">
        <v>576</v>
      </c>
      <c r="B577" s="1" t="s">
        <v>1612</v>
      </c>
      <c r="C577">
        <v>1</v>
      </c>
      <c r="D577" t="str">
        <f t="shared" si="18"/>
        <v>S</v>
      </c>
      <c r="E577" t="str">
        <f t="shared" si="17"/>
        <v>Según Claudia Danani, ¿Cúal es el origen donde se desarrolla las idea de Economía Social como estrategia dirigida a los sectores populares (...) con vistas a disminuir el coste social de su reproducción para obtener un número deseable de trabajadores con un mínimo de gasto público?</v>
      </c>
    </row>
    <row r="578" spans="1:5" x14ac:dyDescent="0.25">
      <c r="A578">
        <v>577</v>
      </c>
      <c r="B578" t="s">
        <v>54</v>
      </c>
      <c r="C578">
        <v>0</v>
      </c>
      <c r="D578" t="str">
        <f t="shared" si="18"/>
        <v>a</v>
      </c>
      <c r="E578" t="str">
        <f t="shared" si="17"/>
        <v>a) La idea del marxismo hegeliano y el movimiento anarquista.</v>
      </c>
    </row>
    <row r="579" spans="1:5" x14ac:dyDescent="0.25">
      <c r="A579">
        <v>578</v>
      </c>
      <c r="B579" t="s">
        <v>55</v>
      </c>
      <c r="C579">
        <v>0</v>
      </c>
      <c r="D579" t="str">
        <f t="shared" si="18"/>
        <v>*</v>
      </c>
      <c r="E579" t="str">
        <f t="shared" ref="E579:E642" si="19">+IF(D579="*",MID(B579,3,500),B579)</f>
        <v>b) El movimiento higienista de las corrientes filantrópicas del siglo XIX.</v>
      </c>
    </row>
    <row r="580" spans="1:5" x14ac:dyDescent="0.25">
      <c r="A580">
        <v>579</v>
      </c>
      <c r="B580" t="s">
        <v>56</v>
      </c>
      <c r="C580">
        <v>0</v>
      </c>
      <c r="D580" t="str">
        <f t="shared" si="18"/>
        <v>c</v>
      </c>
      <c r="E580" t="str">
        <f t="shared" si="19"/>
        <v>c) El seno de la revolución burguesa del siglo XVII y la caída del régimen monárquico.</v>
      </c>
    </row>
    <row r="581" spans="1:5" x14ac:dyDescent="0.25">
      <c r="A581">
        <v>580</v>
      </c>
      <c r="B581" t="s">
        <v>57</v>
      </c>
      <c r="C581">
        <v>0</v>
      </c>
      <c r="D581" t="str">
        <f t="shared" si="18"/>
        <v>d</v>
      </c>
      <c r="E581" t="str">
        <f t="shared" si="19"/>
        <v>d) Las encíclicas de la Iglesia Católica progresista del principio del siglo XX</v>
      </c>
    </row>
    <row r="582" spans="1:5" x14ac:dyDescent="0.25">
      <c r="A582">
        <v>581</v>
      </c>
      <c r="B582" t="s">
        <v>1613</v>
      </c>
      <c r="C582">
        <v>1</v>
      </c>
      <c r="D582" t="str">
        <f t="shared" si="18"/>
        <v>C</v>
      </c>
      <c r="E582" t="str">
        <f t="shared" si="19"/>
        <v>Cuando Giddens habla de "relaciones de fiabilidad sostenidas por, o expresadas en, las conexiones establecidas dentro de las circunstancias de presencia mutua". ¿A qué esta haciendo referencia?</v>
      </c>
    </row>
    <row r="583" spans="1:5" x14ac:dyDescent="0.25">
      <c r="A583">
        <v>582</v>
      </c>
      <c r="B583" t="s">
        <v>58</v>
      </c>
      <c r="C583">
        <v>0</v>
      </c>
      <c r="D583" t="str">
        <f t="shared" si="18"/>
        <v>a</v>
      </c>
      <c r="E583" t="str">
        <f t="shared" si="19"/>
        <v>a) A anónimos poderes continentes.</v>
      </c>
    </row>
    <row r="584" spans="1:5" x14ac:dyDescent="0.25">
      <c r="A584">
        <v>583</v>
      </c>
      <c r="B584" t="s">
        <v>59</v>
      </c>
      <c r="C584">
        <v>0</v>
      </c>
      <c r="D584" t="str">
        <f t="shared" si="18"/>
        <v>*</v>
      </c>
      <c r="E584" t="str">
        <f t="shared" si="19"/>
        <v>b) A compromisos de presencia.</v>
      </c>
    </row>
    <row r="585" spans="1:5" x14ac:dyDescent="0.25">
      <c r="A585">
        <v>584</v>
      </c>
      <c r="B585" t="s">
        <v>60</v>
      </c>
      <c r="C585">
        <v>0</v>
      </c>
      <c r="D585" t="str">
        <f t="shared" si="18"/>
        <v>c</v>
      </c>
      <c r="E585" t="str">
        <f t="shared" si="19"/>
        <v>c) A la noción de desanclaje.</v>
      </c>
    </row>
    <row r="586" spans="1:5" x14ac:dyDescent="0.25">
      <c r="A586">
        <v>585</v>
      </c>
      <c r="B586" t="s">
        <v>61</v>
      </c>
      <c r="C586">
        <v>0</v>
      </c>
      <c r="D586" t="str">
        <f t="shared" si="18"/>
        <v>d</v>
      </c>
      <c r="E586" t="str">
        <f t="shared" si="19"/>
        <v>d) A sistemas localizados.</v>
      </c>
    </row>
    <row r="587" spans="1:5" x14ac:dyDescent="0.25">
      <c r="A587">
        <v>586</v>
      </c>
      <c r="B587" t="s">
        <v>1614</v>
      </c>
      <c r="C587">
        <v>1</v>
      </c>
      <c r="D587" t="str">
        <f t="shared" si="18"/>
        <v>C</v>
      </c>
      <c r="E587" t="str">
        <f t="shared" si="19"/>
        <v>Cuando Giddens aborda el tema de la fiabilidad, el "ser" o el "ser-en-el-mundo". ¿Con qué tiene que ver?</v>
      </c>
    </row>
    <row r="588" spans="1:5" x14ac:dyDescent="0.25">
      <c r="A588">
        <v>587</v>
      </c>
      <c r="B588" t="s">
        <v>62</v>
      </c>
      <c r="C588">
        <v>0</v>
      </c>
      <c r="D588" t="str">
        <f t="shared" si="18"/>
        <v>a</v>
      </c>
      <c r="E588" t="str">
        <f t="shared" si="19"/>
        <v>a) El ethos.</v>
      </c>
    </row>
    <row r="589" spans="1:5" x14ac:dyDescent="0.25">
      <c r="A589">
        <v>588</v>
      </c>
      <c r="B589" t="s">
        <v>63</v>
      </c>
      <c r="C589">
        <v>0</v>
      </c>
      <c r="D589" t="str">
        <f t="shared" si="18"/>
        <v>b</v>
      </c>
      <c r="E589" t="str">
        <f t="shared" si="19"/>
        <v>b) El existencialismo.</v>
      </c>
    </row>
    <row r="590" spans="1:5" x14ac:dyDescent="0.25">
      <c r="A590">
        <v>589</v>
      </c>
      <c r="B590" t="s">
        <v>64</v>
      </c>
      <c r="C590">
        <v>0</v>
      </c>
      <c r="D590" t="str">
        <f t="shared" si="18"/>
        <v>c</v>
      </c>
      <c r="E590" t="str">
        <f t="shared" si="19"/>
        <v>c) La noción de anclaje.</v>
      </c>
    </row>
    <row r="591" spans="1:5" x14ac:dyDescent="0.25">
      <c r="A591">
        <v>590</v>
      </c>
      <c r="B591" t="s">
        <v>65</v>
      </c>
      <c r="C591">
        <v>0</v>
      </c>
      <c r="D591" t="str">
        <f t="shared" si="18"/>
        <v>*</v>
      </c>
      <c r="E591" t="str">
        <f t="shared" si="19"/>
        <v>d) La seguridad ontológica.</v>
      </c>
    </row>
    <row r="592" spans="1:5" x14ac:dyDescent="0.25">
      <c r="A592">
        <v>591</v>
      </c>
      <c r="B592" t="s">
        <v>1615</v>
      </c>
      <c r="C592">
        <v>1</v>
      </c>
      <c r="D592" t="str">
        <f t="shared" si="18"/>
        <v>C</v>
      </c>
      <c r="E592" t="str">
        <f t="shared" si="19"/>
        <v>Cuando Aguilar Idañez enuncia los principios que deben orientar la evaluación del rendimiento. ¿A cúal de ellos cita al referirse a la necesidad de evaluar los aspectos más importantes y decisivos del rendimiento?</v>
      </c>
    </row>
    <row r="593" spans="1:5" x14ac:dyDescent="0.25">
      <c r="A593">
        <v>592</v>
      </c>
      <c r="B593" t="s">
        <v>66</v>
      </c>
      <c r="C593">
        <v>0</v>
      </c>
      <c r="D593" t="str">
        <f t="shared" si="18"/>
        <v>a</v>
      </c>
      <c r="E593" t="str">
        <f t="shared" si="19"/>
        <v>a) Aceptación institucional.</v>
      </c>
    </row>
    <row r="594" spans="1:5" x14ac:dyDescent="0.25">
      <c r="A594">
        <v>593</v>
      </c>
      <c r="B594" t="s">
        <v>67</v>
      </c>
      <c r="C594">
        <v>0</v>
      </c>
      <c r="D594" t="str">
        <f t="shared" si="18"/>
        <v>*</v>
      </c>
      <c r="E594" t="str">
        <f t="shared" si="19"/>
        <v>b) Medición múltiple.</v>
      </c>
    </row>
    <row r="595" spans="1:5" x14ac:dyDescent="0.25">
      <c r="A595">
        <v>594</v>
      </c>
      <c r="B595" t="s">
        <v>68</v>
      </c>
      <c r="C595">
        <v>0</v>
      </c>
      <c r="D595" t="str">
        <f t="shared" si="18"/>
        <v>c</v>
      </c>
      <c r="E595" t="str">
        <f t="shared" si="19"/>
        <v>c) Presupuesto equilibrado.</v>
      </c>
    </row>
    <row r="596" spans="1:5" x14ac:dyDescent="0.25">
      <c r="A596">
        <v>595</v>
      </c>
      <c r="B596" t="s">
        <v>69</v>
      </c>
      <c r="C596">
        <v>0</v>
      </c>
      <c r="D596" t="str">
        <f t="shared" si="18"/>
        <v>d</v>
      </c>
      <c r="E596" t="str">
        <f t="shared" si="19"/>
        <v>d) Validez de la eficiencia</v>
      </c>
    </row>
    <row r="597" spans="1:5" x14ac:dyDescent="0.25">
      <c r="A597">
        <v>596</v>
      </c>
      <c r="B597" t="s">
        <v>1701</v>
      </c>
      <c r="C597">
        <v>1</v>
      </c>
      <c r="D597" t="str">
        <f t="shared" si="18"/>
        <v>P</v>
      </c>
      <c r="E597" t="str">
        <f t="shared" si="19"/>
        <v xml:space="preserve">Para E. Garcia Fuster. ¿Cúales son los factores críticos que se deben considerar en el período de afrontamiento, para que la persona mayor viva una vida satisfactoria, manteniendo la dignidad y la autoestima después de cada pérdida? </v>
      </c>
    </row>
    <row r="598" spans="1:5" x14ac:dyDescent="0.25">
      <c r="A598">
        <v>597</v>
      </c>
      <c r="B598" t="s">
        <v>371</v>
      </c>
      <c r="C598">
        <v>0</v>
      </c>
      <c r="D598" t="str">
        <f t="shared" si="18"/>
        <v>*</v>
      </c>
      <c r="E598" t="str">
        <f t="shared" si="19"/>
        <v>a) La capacidad para afrontar las pérdidas continuas y la disponibilidad de fuentes importantes de apoyo.</v>
      </c>
    </row>
    <row r="599" spans="1:5" x14ac:dyDescent="0.25">
      <c r="A599">
        <v>598</v>
      </c>
      <c r="B599" t="s">
        <v>70</v>
      </c>
      <c r="C599">
        <v>0</v>
      </c>
      <c r="D599" t="str">
        <f t="shared" si="18"/>
        <v>b</v>
      </c>
      <c r="E599" t="str">
        <f t="shared" si="19"/>
        <v>b) La esperanza de tener protección social referente a la habitación y el alimento.</v>
      </c>
    </row>
    <row r="600" spans="1:5" x14ac:dyDescent="0.25">
      <c r="A600">
        <v>599</v>
      </c>
      <c r="B600" t="s">
        <v>71</v>
      </c>
      <c r="C600">
        <v>0</v>
      </c>
      <c r="D600" t="str">
        <f t="shared" si="18"/>
        <v>c</v>
      </c>
      <c r="E600" t="str">
        <f t="shared" si="19"/>
        <v>c) La percepción de mantener las redes sociales y la obra social.</v>
      </c>
    </row>
    <row r="601" spans="1:5" x14ac:dyDescent="0.25">
      <c r="A601">
        <v>600</v>
      </c>
      <c r="B601" t="s">
        <v>372</v>
      </c>
      <c r="C601">
        <v>0</v>
      </c>
      <c r="D601" t="str">
        <f t="shared" si="18"/>
        <v>d</v>
      </c>
      <c r="E601" t="str">
        <f t="shared" si="19"/>
        <v>d) La posibilidad de continuar realizando sus actividades laborales y sociales y mantener sus amistades.</v>
      </c>
    </row>
    <row r="602" spans="1:5" x14ac:dyDescent="0.25">
      <c r="A602">
        <v>601</v>
      </c>
      <c r="B602" t="s">
        <v>1617</v>
      </c>
      <c r="C602">
        <v>1</v>
      </c>
      <c r="D602" t="str">
        <f t="shared" si="18"/>
        <v>P</v>
      </c>
      <c r="E602" t="str">
        <f t="shared" si="19"/>
        <v>Para Garcia Fuster. ¿Cúal continúa siendo la fuente de apoyo más importante para la población anciana mas dependiente y necesitada?</v>
      </c>
    </row>
    <row r="603" spans="1:5" x14ac:dyDescent="0.25">
      <c r="A603">
        <v>602</v>
      </c>
      <c r="B603" t="s">
        <v>72</v>
      </c>
      <c r="C603">
        <v>0</v>
      </c>
      <c r="D603" t="str">
        <f t="shared" si="18"/>
        <v>a</v>
      </c>
      <c r="E603" t="str">
        <f t="shared" si="19"/>
        <v>a) La beneficencia.</v>
      </c>
    </row>
    <row r="604" spans="1:5" x14ac:dyDescent="0.25">
      <c r="A604">
        <v>603</v>
      </c>
      <c r="B604" t="s">
        <v>73</v>
      </c>
      <c r="C604">
        <v>0</v>
      </c>
      <c r="D604" t="str">
        <f t="shared" si="18"/>
        <v>b</v>
      </c>
      <c r="E604" t="str">
        <f t="shared" si="19"/>
        <v>b) El estado.</v>
      </c>
    </row>
    <row r="605" spans="1:5" x14ac:dyDescent="0.25">
      <c r="A605">
        <v>604</v>
      </c>
      <c r="B605" t="s">
        <v>74</v>
      </c>
      <c r="C605">
        <v>0</v>
      </c>
      <c r="D605" t="str">
        <f t="shared" si="18"/>
        <v>*</v>
      </c>
      <c r="E605" t="str">
        <f t="shared" si="19"/>
        <v>c) La familia.</v>
      </c>
    </row>
    <row r="606" spans="1:5" x14ac:dyDescent="0.25">
      <c r="A606">
        <v>605</v>
      </c>
      <c r="B606" t="s">
        <v>75</v>
      </c>
      <c r="C606">
        <v>0</v>
      </c>
      <c r="D606" t="str">
        <f t="shared" si="18"/>
        <v>d</v>
      </c>
      <c r="E606" t="str">
        <f t="shared" si="19"/>
        <v>d) La iglesia.</v>
      </c>
    </row>
    <row r="607" spans="1:5" x14ac:dyDescent="0.25">
      <c r="A607">
        <v>606</v>
      </c>
      <c r="B607" t="s">
        <v>1618</v>
      </c>
      <c r="C607">
        <v>1</v>
      </c>
      <c r="D607" t="str">
        <f t="shared" si="18"/>
        <v>P</v>
      </c>
      <c r="E607" t="str">
        <f t="shared" si="19"/>
        <v>Para Silverman, en Garcia Fuster, el proceso de adaptación que deben transitar las personas que enviudan, además de la capacidad de volver a configurar su propia vida. ¿Qué implica?</v>
      </c>
    </row>
    <row r="608" spans="1:5" x14ac:dyDescent="0.25">
      <c r="A608">
        <v>607</v>
      </c>
      <c r="B608" t="s">
        <v>76</v>
      </c>
      <c r="C608">
        <v>0</v>
      </c>
      <c r="D608" t="str">
        <f t="shared" si="18"/>
        <v>*</v>
      </c>
      <c r="E608" t="str">
        <f t="shared" si="19"/>
        <v>a) Aprender a vivir con la soledad.</v>
      </c>
    </row>
    <row r="609" spans="1:5" x14ac:dyDescent="0.25">
      <c r="A609">
        <v>608</v>
      </c>
      <c r="B609" t="s">
        <v>77</v>
      </c>
      <c r="C609">
        <v>0</v>
      </c>
      <c r="D609" t="str">
        <f t="shared" si="18"/>
        <v>b</v>
      </c>
      <c r="E609" t="str">
        <f t="shared" si="19"/>
        <v>b) Oportunidad de desarrollar los proyectos postergados.</v>
      </c>
    </row>
    <row r="610" spans="1:5" x14ac:dyDescent="0.25">
      <c r="A610">
        <v>609</v>
      </c>
      <c r="B610" t="s">
        <v>78</v>
      </c>
      <c r="C610">
        <v>0</v>
      </c>
      <c r="D610" t="str">
        <f t="shared" si="18"/>
        <v>c</v>
      </c>
      <c r="E610" t="str">
        <f t="shared" si="19"/>
        <v>c) Posibilidad de cambiar los grupos sociales de interacción.</v>
      </c>
    </row>
    <row r="611" spans="1:5" x14ac:dyDescent="0.25">
      <c r="A611">
        <v>610</v>
      </c>
      <c r="B611" t="s">
        <v>79</v>
      </c>
      <c r="C611">
        <v>0</v>
      </c>
      <c r="D611" t="str">
        <f t="shared" si="18"/>
        <v>d</v>
      </c>
      <c r="E611" t="str">
        <f t="shared" si="19"/>
        <v>d) Utilizar el mayor tiempo del que se dispone.</v>
      </c>
    </row>
    <row r="612" spans="1:5" x14ac:dyDescent="0.25">
      <c r="A612">
        <v>611</v>
      </c>
      <c r="B612" t="s">
        <v>1619</v>
      </c>
      <c r="C612">
        <v>1</v>
      </c>
      <c r="D612" t="str">
        <f t="shared" ref="D612:D675" si="20">+MID(B612,1,1)</f>
        <v>S</v>
      </c>
      <c r="E612" t="str">
        <f t="shared" si="19"/>
        <v>Según Carballeda, ¿Cómo debía ser el poder que Sarmiento pretende constituir mediante la educación, vinculado con la "ductilidad femenina", para lograr la efectividad requerida?</v>
      </c>
    </row>
    <row r="613" spans="1:5" x14ac:dyDescent="0.25">
      <c r="A613">
        <v>612</v>
      </c>
      <c r="B613" t="s">
        <v>80</v>
      </c>
      <c r="C613">
        <v>0</v>
      </c>
      <c r="D613" t="str">
        <f t="shared" si="20"/>
        <v>a</v>
      </c>
      <c r="E613" t="str">
        <f t="shared" si="19"/>
        <v>a) Contenedor.</v>
      </c>
    </row>
    <row r="614" spans="1:5" x14ac:dyDescent="0.25">
      <c r="A614">
        <v>613</v>
      </c>
      <c r="B614" t="s">
        <v>81</v>
      </c>
      <c r="C614">
        <v>0</v>
      </c>
      <c r="D614" t="str">
        <f t="shared" si="20"/>
        <v>*</v>
      </c>
      <c r="E614" t="str">
        <f t="shared" si="19"/>
        <v>b) Invisible.</v>
      </c>
    </row>
    <row r="615" spans="1:5" x14ac:dyDescent="0.25">
      <c r="A615">
        <v>614</v>
      </c>
      <c r="B615" t="s">
        <v>82</v>
      </c>
      <c r="C615">
        <v>0</v>
      </c>
      <c r="D615" t="str">
        <f t="shared" si="20"/>
        <v>c</v>
      </c>
      <c r="E615" t="str">
        <f t="shared" si="19"/>
        <v>c) Moderado.</v>
      </c>
    </row>
    <row r="616" spans="1:5" x14ac:dyDescent="0.25">
      <c r="A616">
        <v>615</v>
      </c>
      <c r="B616" t="s">
        <v>83</v>
      </c>
      <c r="C616">
        <v>0</v>
      </c>
      <c r="D616" t="str">
        <f t="shared" si="20"/>
        <v>d</v>
      </c>
      <c r="E616" t="str">
        <f t="shared" si="19"/>
        <v>d) Sensible.</v>
      </c>
    </row>
    <row r="617" spans="1:5" x14ac:dyDescent="0.25">
      <c r="A617">
        <v>616</v>
      </c>
      <c r="B617" s="1" t="s">
        <v>1620</v>
      </c>
      <c r="C617">
        <v>1</v>
      </c>
      <c r="D617" t="str">
        <f t="shared" si="20"/>
        <v>P</v>
      </c>
      <c r="E617" t="str">
        <f t="shared" si="19"/>
        <v>Para Dabas y Perrone, las mejores intervenciones en la estrategia de trabajo en red se realizan cuando se produce una opción sobre articulaciones y vínculos preexistentes. Desde esta perspectiva ¿Qué impacto tendrá sobre el funcionamiento nuestro accionar?</v>
      </c>
    </row>
    <row r="618" spans="1:5" x14ac:dyDescent="0.25">
      <c r="A618">
        <v>617</v>
      </c>
      <c r="B618" t="s">
        <v>84</v>
      </c>
      <c r="C618">
        <v>0</v>
      </c>
      <c r="D618" t="str">
        <f t="shared" si="20"/>
        <v>a</v>
      </c>
      <c r="E618" t="str">
        <f t="shared" si="19"/>
        <v>a) Delimitación de poder y determinación de roles.</v>
      </c>
    </row>
    <row r="619" spans="1:5" x14ac:dyDescent="0.25">
      <c r="A619">
        <v>618</v>
      </c>
      <c r="B619" t="s">
        <v>85</v>
      </c>
      <c r="C619">
        <v>0</v>
      </c>
      <c r="D619" t="str">
        <f t="shared" si="20"/>
        <v>b</v>
      </c>
      <c r="E619" t="str">
        <f t="shared" si="19"/>
        <v>b) Elección de representantes y clarificación de rangos.</v>
      </c>
    </row>
    <row r="620" spans="1:5" x14ac:dyDescent="0.25">
      <c r="A620">
        <v>619</v>
      </c>
      <c r="B620" t="s">
        <v>86</v>
      </c>
      <c r="C620">
        <v>0</v>
      </c>
      <c r="D620" t="str">
        <f t="shared" si="20"/>
        <v>c</v>
      </c>
      <c r="E620" t="str">
        <f t="shared" si="19"/>
        <v>c) Esclarecimiento y capacitación.</v>
      </c>
    </row>
    <row r="621" spans="1:5" x14ac:dyDescent="0.25">
      <c r="A621">
        <v>620</v>
      </c>
      <c r="B621" t="s">
        <v>87</v>
      </c>
      <c r="C621">
        <v>0</v>
      </c>
      <c r="D621" t="str">
        <f t="shared" si="20"/>
        <v>*</v>
      </c>
      <c r="E621" t="str">
        <f t="shared" si="19"/>
        <v>d) Promoción y potenciamiento.</v>
      </c>
    </row>
    <row r="622" spans="1:5" x14ac:dyDescent="0.25">
      <c r="A622">
        <v>621</v>
      </c>
      <c r="B622" s="1" t="s">
        <v>1621</v>
      </c>
      <c r="C622">
        <v>1</v>
      </c>
      <c r="D622" t="str">
        <f t="shared" si="20"/>
        <v>P</v>
      </c>
      <c r="E622" t="str">
        <f t="shared" si="19"/>
        <v>Para Dabas y Perrone , muchas respuestas gerenciales, son con frecuencia el resultado de presiones interactivas, ilógicas e irracionales de la vida organizacional o del contexto. En la actual realidad caótica y compleja. ¿Qué hay que aplicar en lo que se hace?</v>
      </c>
    </row>
    <row r="623" spans="1:5" x14ac:dyDescent="0.25">
      <c r="A623">
        <v>622</v>
      </c>
      <c r="B623" t="s">
        <v>88</v>
      </c>
      <c r="C623">
        <v>0</v>
      </c>
      <c r="D623" t="str">
        <f t="shared" si="20"/>
        <v>*</v>
      </c>
      <c r="E623" t="str">
        <f t="shared" si="19"/>
        <v>a) Intuición y emoción.</v>
      </c>
    </row>
    <row r="624" spans="1:5" x14ac:dyDescent="0.25">
      <c r="A624">
        <v>623</v>
      </c>
      <c r="B624" t="s">
        <v>89</v>
      </c>
      <c r="C624">
        <v>0</v>
      </c>
      <c r="D624" t="str">
        <f t="shared" si="20"/>
        <v>b</v>
      </c>
      <c r="E624" t="str">
        <f t="shared" si="19"/>
        <v>b) Normas y poder.</v>
      </c>
    </row>
    <row r="625" spans="1:5" x14ac:dyDescent="0.25">
      <c r="A625">
        <v>624</v>
      </c>
      <c r="B625" t="s">
        <v>90</v>
      </c>
      <c r="C625">
        <v>0</v>
      </c>
      <c r="D625" t="str">
        <f t="shared" si="20"/>
        <v>c</v>
      </c>
      <c r="E625" t="str">
        <f t="shared" si="19"/>
        <v>c) Razón y método.</v>
      </c>
    </row>
    <row r="626" spans="1:5" x14ac:dyDescent="0.25">
      <c r="A626">
        <v>625</v>
      </c>
      <c r="B626" t="s">
        <v>91</v>
      </c>
      <c r="C626">
        <v>0</v>
      </c>
      <c r="D626" t="str">
        <f t="shared" si="20"/>
        <v>d</v>
      </c>
      <c r="E626" t="str">
        <f t="shared" si="19"/>
        <v>d) Teoría y datos concretos.</v>
      </c>
    </row>
    <row r="627" spans="1:5" x14ac:dyDescent="0.25">
      <c r="A627">
        <v>626</v>
      </c>
      <c r="B627" s="1" t="s">
        <v>1622</v>
      </c>
      <c r="C627">
        <v>1</v>
      </c>
      <c r="D627" t="str">
        <f t="shared" si="20"/>
        <v>P</v>
      </c>
      <c r="E627" t="str">
        <f t="shared" si="19"/>
        <v>Para Silvia Faraone, avanzar en la construcción de los modelos alternativos implica la creación de redes vinculares con significaciones diferentes a las que existían antes de producirse la "enfermedad" y que son constitutivas de la misma. Por tal motivo ¿En qué estaría centrada la intervención?</v>
      </c>
    </row>
    <row r="628" spans="1:5" x14ac:dyDescent="0.25">
      <c r="A628">
        <v>627</v>
      </c>
      <c r="B628" t="s">
        <v>92</v>
      </c>
      <c r="C628">
        <v>0</v>
      </c>
      <c r="D628" t="str">
        <f t="shared" si="20"/>
        <v>*</v>
      </c>
      <c r="E628" t="str">
        <f t="shared" si="19"/>
        <v>a) En reinsertar.</v>
      </c>
    </row>
    <row r="629" spans="1:5" x14ac:dyDescent="0.25">
      <c r="A629">
        <v>628</v>
      </c>
      <c r="B629" t="s">
        <v>93</v>
      </c>
      <c r="C629">
        <v>0</v>
      </c>
      <c r="D629" t="str">
        <f t="shared" si="20"/>
        <v>b</v>
      </c>
      <c r="E629" t="str">
        <f t="shared" si="19"/>
        <v>b) En reconstruir.</v>
      </c>
    </row>
    <row r="630" spans="1:5" x14ac:dyDescent="0.25">
      <c r="A630">
        <v>629</v>
      </c>
      <c r="B630" t="s">
        <v>94</v>
      </c>
      <c r="C630">
        <v>0</v>
      </c>
      <c r="D630" t="str">
        <f t="shared" si="20"/>
        <v>c</v>
      </c>
      <c r="E630" t="str">
        <f t="shared" si="19"/>
        <v>c) En recrear.</v>
      </c>
    </row>
    <row r="631" spans="1:5" x14ac:dyDescent="0.25">
      <c r="A631">
        <v>630</v>
      </c>
      <c r="B631" t="s">
        <v>95</v>
      </c>
      <c r="C631">
        <v>0</v>
      </c>
      <c r="D631" t="str">
        <f t="shared" si="20"/>
        <v>d</v>
      </c>
      <c r="E631" t="str">
        <f t="shared" si="19"/>
        <v>d) En restituir.</v>
      </c>
    </row>
    <row r="632" spans="1:5" x14ac:dyDescent="0.25">
      <c r="A632">
        <v>631</v>
      </c>
      <c r="B632" t="s">
        <v>1623</v>
      </c>
      <c r="C632">
        <v>1</v>
      </c>
      <c r="D632" t="str">
        <f t="shared" si="20"/>
        <v>P</v>
      </c>
      <c r="E632" t="str">
        <f t="shared" si="19"/>
        <v>Para Graciela Touzé, la fuerza del paradigma abstencionista retrasó significativamente la aceptación y el desarrollo de otros modelos de trabajo. Especialmente, ¿A qué modelo se refiere la autora?</v>
      </c>
    </row>
    <row r="633" spans="1:5" x14ac:dyDescent="0.25">
      <c r="A633">
        <v>632</v>
      </c>
      <c r="B633" t="s">
        <v>96</v>
      </c>
      <c r="C633">
        <v>0</v>
      </c>
      <c r="D633" t="str">
        <f t="shared" si="20"/>
        <v>a</v>
      </c>
      <c r="E633" t="str">
        <f t="shared" si="19"/>
        <v>a) El de la contención familiar.</v>
      </c>
    </row>
    <row r="634" spans="1:5" x14ac:dyDescent="0.25">
      <c r="A634">
        <v>633</v>
      </c>
      <c r="B634" t="s">
        <v>97</v>
      </c>
      <c r="C634">
        <v>0</v>
      </c>
      <c r="D634" t="str">
        <f t="shared" si="20"/>
        <v>b</v>
      </c>
      <c r="E634" t="str">
        <f t="shared" si="19"/>
        <v>b) El de la internación domiciliaria.</v>
      </c>
    </row>
    <row r="635" spans="1:5" x14ac:dyDescent="0.25">
      <c r="A635">
        <v>634</v>
      </c>
      <c r="B635" t="s">
        <v>98</v>
      </c>
      <c r="C635">
        <v>0</v>
      </c>
      <c r="D635" t="str">
        <f t="shared" si="20"/>
        <v>*</v>
      </c>
      <c r="E635" t="str">
        <f t="shared" si="19"/>
        <v>c) El de la reducción de daño.</v>
      </c>
    </row>
    <row r="636" spans="1:5" x14ac:dyDescent="0.25">
      <c r="A636">
        <v>635</v>
      </c>
      <c r="B636" t="s">
        <v>99</v>
      </c>
      <c r="C636">
        <v>0</v>
      </c>
      <c r="D636" t="str">
        <f t="shared" si="20"/>
        <v>d</v>
      </c>
      <c r="E636" t="str">
        <f t="shared" si="19"/>
        <v>d) El de la sanción judicial.</v>
      </c>
    </row>
    <row r="637" spans="1:5" x14ac:dyDescent="0.25">
      <c r="A637">
        <v>636</v>
      </c>
      <c r="B637" t="s">
        <v>1702</v>
      </c>
      <c r="C637">
        <v>1</v>
      </c>
      <c r="D637" t="str">
        <f t="shared" si="20"/>
        <v>P</v>
      </c>
      <c r="E637" t="str">
        <f t="shared" si="19"/>
        <v>Para Graciela Touze ¿En qué situaciones se encuentran dos instancias especializadas como la Justicia y la Medicina, respecto al heterocontrol de  la toxicomanía?</v>
      </c>
    </row>
    <row r="638" spans="1:5" x14ac:dyDescent="0.25">
      <c r="A638">
        <v>637</v>
      </c>
      <c r="B638" t="s">
        <v>100</v>
      </c>
      <c r="C638">
        <v>0</v>
      </c>
      <c r="D638" t="str">
        <f t="shared" si="20"/>
        <v>a</v>
      </c>
      <c r="E638" t="str">
        <f t="shared" si="19"/>
        <v>a) Articulación- superposición.</v>
      </c>
    </row>
    <row r="639" spans="1:5" x14ac:dyDescent="0.25">
      <c r="A639">
        <v>638</v>
      </c>
      <c r="B639" t="s">
        <v>101</v>
      </c>
      <c r="C639">
        <v>0</v>
      </c>
      <c r="D639" t="str">
        <f t="shared" si="20"/>
        <v>b</v>
      </c>
      <c r="E639" t="str">
        <f t="shared" si="19"/>
        <v>b) Complementación-competencia.</v>
      </c>
    </row>
    <row r="640" spans="1:5" x14ac:dyDescent="0.25">
      <c r="A640">
        <v>639</v>
      </c>
      <c r="B640" t="s">
        <v>102</v>
      </c>
      <c r="C640">
        <v>0</v>
      </c>
      <c r="D640" t="str">
        <f t="shared" si="20"/>
        <v>*</v>
      </c>
      <c r="E640" t="str">
        <f t="shared" si="19"/>
        <v>c) Rivalidad- colaboración.</v>
      </c>
    </row>
    <row r="641" spans="1:5" x14ac:dyDescent="0.25">
      <c r="A641">
        <v>640</v>
      </c>
      <c r="B641" t="s">
        <v>103</v>
      </c>
      <c r="C641">
        <v>0</v>
      </c>
      <c r="D641" t="str">
        <f t="shared" si="20"/>
        <v>d</v>
      </c>
      <c r="E641" t="str">
        <f t="shared" si="19"/>
        <v>d) Subsidiariedad-prescindencia.</v>
      </c>
    </row>
    <row r="642" spans="1:5" x14ac:dyDescent="0.25">
      <c r="A642">
        <v>641</v>
      </c>
      <c r="B642" t="s">
        <v>1625</v>
      </c>
      <c r="C642">
        <v>1</v>
      </c>
      <c r="D642" t="str">
        <f t="shared" si="20"/>
        <v>P</v>
      </c>
      <c r="E642" t="str">
        <f t="shared" si="19"/>
        <v>Para Natalio Kisnerman, la práctica tiene contenidos que deben ser tenidos en cuenta en la supervisión. Cita el contenido objetivo, el convencional y, ¿Cúal es el otro mencionado por el autor?</v>
      </c>
    </row>
    <row r="643" spans="1:5" x14ac:dyDescent="0.25">
      <c r="A643">
        <v>642</v>
      </c>
      <c r="B643" t="s">
        <v>104</v>
      </c>
      <c r="C643">
        <v>0</v>
      </c>
      <c r="D643" t="str">
        <f t="shared" si="20"/>
        <v>a</v>
      </c>
      <c r="E643" t="str">
        <f t="shared" ref="E643:E706" si="21">+IF(D643="*",MID(B643,3,500),B643)</f>
        <v>a) El ecléptico.</v>
      </c>
    </row>
    <row r="644" spans="1:5" x14ac:dyDescent="0.25">
      <c r="A644">
        <v>643</v>
      </c>
      <c r="B644" t="s">
        <v>105</v>
      </c>
      <c r="C644">
        <v>0</v>
      </c>
      <c r="D644" t="str">
        <f t="shared" si="20"/>
        <v>b</v>
      </c>
      <c r="E644" t="str">
        <f t="shared" si="21"/>
        <v>b) El específico.</v>
      </c>
    </row>
    <row r="645" spans="1:5" x14ac:dyDescent="0.25">
      <c r="A645">
        <v>644</v>
      </c>
      <c r="B645" t="s">
        <v>106</v>
      </c>
      <c r="C645">
        <v>0</v>
      </c>
      <c r="D645" t="str">
        <f t="shared" si="20"/>
        <v>c</v>
      </c>
      <c r="E645" t="str">
        <f t="shared" si="21"/>
        <v>c) El constructivo.</v>
      </c>
    </row>
    <row r="646" spans="1:5" x14ac:dyDescent="0.25">
      <c r="A646">
        <v>645</v>
      </c>
      <c r="B646" t="s">
        <v>107</v>
      </c>
      <c r="C646">
        <v>0</v>
      </c>
      <c r="D646" t="str">
        <f t="shared" si="20"/>
        <v>*</v>
      </c>
      <c r="E646" t="str">
        <f t="shared" si="21"/>
        <v>d) El significativo.</v>
      </c>
    </row>
    <row r="647" spans="1:5" x14ac:dyDescent="0.25">
      <c r="A647">
        <v>646</v>
      </c>
      <c r="B647" t="s">
        <v>1626</v>
      </c>
      <c r="C647">
        <v>1</v>
      </c>
      <c r="D647" t="str">
        <f t="shared" si="20"/>
        <v>S</v>
      </c>
      <c r="E647" t="str">
        <f t="shared" si="21"/>
        <v>Según Natalio Kisnerman, ¿Cómo se denominan aquellos momentos, imágenes conflictivas de nuestra vida que reaparecen en situaciones grupales?</v>
      </c>
    </row>
    <row r="648" spans="1:5" x14ac:dyDescent="0.25">
      <c r="A648">
        <v>647</v>
      </c>
      <c r="B648" t="s">
        <v>108</v>
      </c>
      <c r="C648">
        <v>0</v>
      </c>
      <c r="D648" t="str">
        <f t="shared" si="20"/>
        <v>a</v>
      </c>
      <c r="E648" t="str">
        <f t="shared" si="21"/>
        <v>a) Actitudes regresivas.</v>
      </c>
    </row>
    <row r="649" spans="1:5" x14ac:dyDescent="0.25">
      <c r="A649">
        <v>648</v>
      </c>
      <c r="B649" t="s">
        <v>109</v>
      </c>
      <c r="C649">
        <v>0</v>
      </c>
      <c r="D649" t="str">
        <f t="shared" si="20"/>
        <v>b</v>
      </c>
      <c r="E649" t="str">
        <f t="shared" si="21"/>
        <v>b) Escenas temidas.</v>
      </c>
    </row>
    <row r="650" spans="1:5" x14ac:dyDescent="0.25">
      <c r="A650">
        <v>649</v>
      </c>
      <c r="B650" t="s">
        <v>110</v>
      </c>
      <c r="C650">
        <v>0</v>
      </c>
      <c r="D650" t="str">
        <f t="shared" si="20"/>
        <v>c</v>
      </c>
      <c r="E650" t="str">
        <f t="shared" si="21"/>
        <v>c) Medidas estructurales.</v>
      </c>
    </row>
    <row r="651" spans="1:5" x14ac:dyDescent="0.25">
      <c r="A651">
        <v>650</v>
      </c>
      <c r="B651" t="s">
        <v>111</v>
      </c>
      <c r="C651">
        <v>0</v>
      </c>
      <c r="D651" t="str">
        <f t="shared" si="20"/>
        <v>*</v>
      </c>
      <c r="E651" t="str">
        <f t="shared" si="21"/>
        <v>d) Situaciones transferenciales.</v>
      </c>
    </row>
    <row r="652" spans="1:5" x14ac:dyDescent="0.25">
      <c r="A652">
        <v>651</v>
      </c>
      <c r="B652" t="s">
        <v>1627</v>
      </c>
      <c r="C652">
        <v>1</v>
      </c>
      <c r="D652" t="str">
        <f t="shared" si="20"/>
        <v>P</v>
      </c>
      <c r="E652" t="str">
        <f t="shared" si="21"/>
        <v>Para Kisnerman el conocimiento no es el producto de un sujeto. Para el autor ¿De dónde surge el conocimiento?</v>
      </c>
    </row>
    <row r="653" spans="1:5" x14ac:dyDescent="0.25">
      <c r="A653">
        <v>652</v>
      </c>
      <c r="B653" t="s">
        <v>112</v>
      </c>
      <c r="C653">
        <v>0</v>
      </c>
      <c r="D653" t="str">
        <f t="shared" si="20"/>
        <v>a</v>
      </c>
      <c r="E653" t="str">
        <f t="shared" si="21"/>
        <v>a) De desarrollos científicos.</v>
      </c>
    </row>
    <row r="654" spans="1:5" x14ac:dyDescent="0.25">
      <c r="A654">
        <v>653</v>
      </c>
      <c r="B654" t="s">
        <v>113</v>
      </c>
      <c r="C654">
        <v>0</v>
      </c>
      <c r="D654" t="str">
        <f t="shared" si="20"/>
        <v>*</v>
      </c>
      <c r="E654" t="str">
        <f t="shared" si="21"/>
        <v>b) De intercambios relacionales.</v>
      </c>
    </row>
    <row r="655" spans="1:5" x14ac:dyDescent="0.25">
      <c r="A655">
        <v>654</v>
      </c>
      <c r="B655" t="s">
        <v>114</v>
      </c>
      <c r="C655">
        <v>0</v>
      </c>
      <c r="D655" t="str">
        <f t="shared" si="20"/>
        <v>c</v>
      </c>
      <c r="E655" t="str">
        <f t="shared" si="21"/>
        <v>c) De investigaciones continuas y sostenidas.</v>
      </c>
    </row>
    <row r="656" spans="1:5" x14ac:dyDescent="0.25">
      <c r="A656">
        <v>655</v>
      </c>
      <c r="B656" t="s">
        <v>115</v>
      </c>
      <c r="C656">
        <v>0</v>
      </c>
      <c r="D656" t="str">
        <f t="shared" si="20"/>
        <v>d</v>
      </c>
      <c r="E656" t="str">
        <f t="shared" si="21"/>
        <v>d) De la relación con fenómenos naturales.</v>
      </c>
    </row>
    <row r="657" spans="1:5" x14ac:dyDescent="0.25">
      <c r="A657">
        <v>656</v>
      </c>
      <c r="B657" t="s">
        <v>1628</v>
      </c>
      <c r="C657">
        <v>1</v>
      </c>
      <c r="D657" t="str">
        <f t="shared" si="20"/>
        <v>S</v>
      </c>
      <c r="E657" t="str">
        <f t="shared" si="21"/>
        <v>Según Natalio Kisnerman, desde un enfoque constructivista, ¿Qué capacidad alcanzada debe evaluarse en el supervisado para participar provechosamente en situaciones de interacción y aprendizaje?</v>
      </c>
    </row>
    <row r="658" spans="1:5" x14ac:dyDescent="0.25">
      <c r="A658">
        <v>657</v>
      </c>
      <c r="B658" t="s">
        <v>116</v>
      </c>
      <c r="C658">
        <v>0</v>
      </c>
      <c r="D658" t="str">
        <f t="shared" si="20"/>
        <v>a</v>
      </c>
      <c r="E658" t="str">
        <f t="shared" si="21"/>
        <v>a) La de atención flotante y operativización efectiva.</v>
      </c>
    </row>
    <row r="659" spans="1:5" x14ac:dyDescent="0.25">
      <c r="A659">
        <v>658</v>
      </c>
      <c r="B659" t="s">
        <v>117</v>
      </c>
      <c r="C659">
        <v>0</v>
      </c>
      <c r="D659" t="str">
        <f t="shared" si="20"/>
        <v>b</v>
      </c>
      <c r="E659" t="str">
        <f t="shared" si="21"/>
        <v>b) La de evaluar con indicadores cualitativos y realizar análisis apropiados.</v>
      </c>
    </row>
    <row r="660" spans="1:5" x14ac:dyDescent="0.25">
      <c r="A660">
        <v>659</v>
      </c>
      <c r="B660" t="s">
        <v>118</v>
      </c>
      <c r="C660">
        <v>0</v>
      </c>
      <c r="D660" t="str">
        <f t="shared" si="20"/>
        <v>*</v>
      </c>
      <c r="E660" t="str">
        <f t="shared" si="21"/>
        <v>c) La de funcionamiento intra subjetivo e inter subjetivo.</v>
      </c>
    </row>
    <row r="661" spans="1:5" x14ac:dyDescent="0.25">
      <c r="A661">
        <v>660</v>
      </c>
      <c r="B661" t="s">
        <v>119</v>
      </c>
      <c r="C661">
        <v>0</v>
      </c>
      <c r="D661" t="str">
        <f t="shared" si="20"/>
        <v>d</v>
      </c>
      <c r="E661" t="str">
        <f t="shared" si="21"/>
        <v>d) La de observación permanente y articulación con la vida cotidiana.</v>
      </c>
    </row>
    <row r="662" spans="1:5" x14ac:dyDescent="0.25">
      <c r="A662">
        <v>661</v>
      </c>
      <c r="B662" t="s">
        <v>1629</v>
      </c>
      <c r="C662">
        <v>1</v>
      </c>
      <c r="D662" t="str">
        <f t="shared" si="20"/>
        <v>S</v>
      </c>
      <c r="E662" t="str">
        <f t="shared" si="21"/>
        <v>Silvia Faraone, refiere que si bien la institución manicomial manifiesta trabajar para la cura del paciente.¿Al servicio de qué esta puesto su mayor esfuerzo?</v>
      </c>
    </row>
    <row r="663" spans="1:5" x14ac:dyDescent="0.25">
      <c r="A663">
        <v>662</v>
      </c>
      <c r="B663" t="s">
        <v>120</v>
      </c>
      <c r="C663">
        <v>0</v>
      </c>
      <c r="D663" t="str">
        <f t="shared" si="20"/>
        <v>a</v>
      </c>
      <c r="E663" t="str">
        <f t="shared" si="21"/>
        <v>a) El castigo.</v>
      </c>
    </row>
    <row r="664" spans="1:5" x14ac:dyDescent="0.25">
      <c r="A664">
        <v>663</v>
      </c>
      <c r="B664" t="s">
        <v>121</v>
      </c>
      <c r="C664">
        <v>0</v>
      </c>
      <c r="D664" t="str">
        <f t="shared" si="20"/>
        <v>*</v>
      </c>
      <c r="E664" t="str">
        <f t="shared" si="21"/>
        <v>b) La custodia.</v>
      </c>
    </row>
    <row r="665" spans="1:5" x14ac:dyDescent="0.25">
      <c r="A665">
        <v>664</v>
      </c>
      <c r="B665" t="s">
        <v>122</v>
      </c>
      <c r="C665">
        <v>0</v>
      </c>
      <c r="D665" t="str">
        <f t="shared" si="20"/>
        <v>c</v>
      </c>
      <c r="E665" t="str">
        <f t="shared" si="21"/>
        <v>c) La promoción de la salud.</v>
      </c>
    </row>
    <row r="666" spans="1:5" x14ac:dyDescent="0.25">
      <c r="A666">
        <v>665</v>
      </c>
      <c r="B666" t="s">
        <v>123</v>
      </c>
      <c r="C666">
        <v>0</v>
      </c>
      <c r="D666" t="str">
        <f t="shared" si="20"/>
        <v>d</v>
      </c>
      <c r="E666" t="str">
        <f t="shared" si="21"/>
        <v>d) La rehabilitación.</v>
      </c>
    </row>
    <row r="667" spans="1:5" x14ac:dyDescent="0.25">
      <c r="A667">
        <v>666</v>
      </c>
      <c r="B667" t="s">
        <v>1630</v>
      </c>
      <c r="C667">
        <v>1</v>
      </c>
      <c r="D667" t="str">
        <f t="shared" si="20"/>
        <v>P</v>
      </c>
      <c r="E667" t="str">
        <f t="shared" si="21"/>
        <v>Para Graciela Tonón, tomando la entrevista como relación social. ¿Cómo se denomina el despliegue de conductas, discursos, enunciados, verbalizaciones, simbolizaciones y representaciones sociales que desarrolla el entrevistado durante la misma?</v>
      </c>
    </row>
    <row r="668" spans="1:5" x14ac:dyDescent="0.25">
      <c r="A668">
        <v>667</v>
      </c>
      <c r="B668" t="s">
        <v>124</v>
      </c>
      <c r="C668">
        <v>0</v>
      </c>
      <c r="D668" t="str">
        <f t="shared" si="20"/>
        <v>*</v>
      </c>
      <c r="E668" t="str">
        <f t="shared" si="21"/>
        <v>a) Campo.</v>
      </c>
    </row>
    <row r="669" spans="1:5" x14ac:dyDescent="0.25">
      <c r="A669">
        <v>668</v>
      </c>
      <c r="B669" t="s">
        <v>125</v>
      </c>
      <c r="C669">
        <v>0</v>
      </c>
      <c r="D669" t="str">
        <f t="shared" si="20"/>
        <v>b</v>
      </c>
      <c r="E669" t="str">
        <f t="shared" si="21"/>
        <v>b) Encuadre.</v>
      </c>
    </row>
    <row r="670" spans="1:5" x14ac:dyDescent="0.25">
      <c r="A670">
        <v>669</v>
      </c>
      <c r="B670" t="s">
        <v>126</v>
      </c>
      <c r="C670">
        <v>0</v>
      </c>
      <c r="D670" t="str">
        <f t="shared" si="20"/>
        <v>c</v>
      </c>
      <c r="E670" t="str">
        <f t="shared" si="21"/>
        <v>c) Operacionalización.</v>
      </c>
    </row>
    <row r="671" spans="1:5" x14ac:dyDescent="0.25">
      <c r="A671">
        <v>670</v>
      </c>
      <c r="B671" t="s">
        <v>127</v>
      </c>
      <c r="C671">
        <v>0</v>
      </c>
      <c r="D671" t="str">
        <f t="shared" si="20"/>
        <v>d</v>
      </c>
      <c r="E671" t="str">
        <f t="shared" si="21"/>
        <v>d) Relato.</v>
      </c>
    </row>
    <row r="672" spans="1:5" x14ac:dyDescent="0.25">
      <c r="A672">
        <v>671</v>
      </c>
      <c r="B672" t="s">
        <v>1631</v>
      </c>
      <c r="C672">
        <v>1</v>
      </c>
      <c r="D672" t="str">
        <f t="shared" si="20"/>
        <v>P</v>
      </c>
      <c r="E672" t="str">
        <f t="shared" si="21"/>
        <v>Para Graciela Tonón, la conceptualización del encuadre y su operacionalización se consideran cuestiones nodales en el proceso de actuación profesional. ¿Para qué es esto indispensable en relación a determinados emergentes de las entrevistas?</v>
      </c>
    </row>
    <row r="673" spans="1:5" x14ac:dyDescent="0.25">
      <c r="A673">
        <v>672</v>
      </c>
      <c r="B673" t="s">
        <v>128</v>
      </c>
      <c r="C673">
        <v>0</v>
      </c>
      <c r="D673" t="str">
        <f t="shared" si="20"/>
        <v>a</v>
      </c>
      <c r="E673" t="str">
        <f t="shared" si="21"/>
        <v>a) Aplicar metodologías concretas.</v>
      </c>
    </row>
    <row r="674" spans="1:5" x14ac:dyDescent="0.25">
      <c r="A674">
        <v>673</v>
      </c>
      <c r="B674" t="s">
        <v>129</v>
      </c>
      <c r="C674">
        <v>0</v>
      </c>
      <c r="D674" t="str">
        <f t="shared" si="20"/>
        <v>b</v>
      </c>
      <c r="E674" t="str">
        <f t="shared" si="21"/>
        <v>b) Comprobar hipótesis de intervenciones.</v>
      </c>
    </row>
    <row r="675" spans="1:5" x14ac:dyDescent="0.25">
      <c r="A675">
        <v>674</v>
      </c>
      <c r="B675" t="s">
        <v>130</v>
      </c>
      <c r="C675">
        <v>0</v>
      </c>
      <c r="D675" t="str">
        <f t="shared" si="20"/>
        <v>c</v>
      </c>
      <c r="E675" t="str">
        <f t="shared" si="21"/>
        <v>c) Evaluar el proceso grupal.</v>
      </c>
    </row>
    <row r="676" spans="1:5" x14ac:dyDescent="0.25">
      <c r="A676">
        <v>675</v>
      </c>
      <c r="B676" t="s">
        <v>131</v>
      </c>
      <c r="C676">
        <v>0</v>
      </c>
      <c r="D676" t="str">
        <f t="shared" ref="D676:D739" si="22">+MID(B676,1,1)</f>
        <v>*</v>
      </c>
      <c r="E676" t="str">
        <f t="shared" si="21"/>
        <v>d) Realizar análisis exaustivos.</v>
      </c>
    </row>
    <row r="677" spans="1:5" x14ac:dyDescent="0.25">
      <c r="A677">
        <v>676</v>
      </c>
      <c r="B677" t="s">
        <v>1703</v>
      </c>
      <c r="C677">
        <v>1</v>
      </c>
      <c r="D677" t="str">
        <f t="shared" si="22"/>
        <v>S</v>
      </c>
      <c r="E677" t="str">
        <f t="shared" si="21"/>
        <v>Según Dabas y Perrone, ¿Qué paradigma modifica la multicentralidad de la red?</v>
      </c>
    </row>
    <row r="678" spans="1:5" x14ac:dyDescent="0.25">
      <c r="A678">
        <v>677</v>
      </c>
      <c r="B678" t="s">
        <v>132</v>
      </c>
      <c r="C678">
        <v>0</v>
      </c>
      <c r="D678" t="str">
        <f t="shared" si="22"/>
        <v>a</v>
      </c>
      <c r="E678" t="str">
        <f t="shared" si="21"/>
        <v>a) El de la convergencia.</v>
      </c>
    </row>
    <row r="679" spans="1:5" x14ac:dyDescent="0.25">
      <c r="A679">
        <v>678</v>
      </c>
      <c r="B679" t="s">
        <v>133</v>
      </c>
      <c r="C679">
        <v>0</v>
      </c>
      <c r="D679" t="str">
        <f t="shared" si="22"/>
        <v>b</v>
      </c>
      <c r="E679" t="str">
        <f t="shared" si="21"/>
        <v>b) El de las islas.</v>
      </c>
    </row>
    <row r="680" spans="1:5" x14ac:dyDescent="0.25">
      <c r="A680">
        <v>679</v>
      </c>
      <c r="B680" t="s">
        <v>134</v>
      </c>
      <c r="C680">
        <v>0</v>
      </c>
      <c r="D680" t="str">
        <f t="shared" si="22"/>
        <v>*</v>
      </c>
      <c r="E680" t="str">
        <f t="shared" si="21"/>
        <v>c) El de la pirámide.</v>
      </c>
    </row>
    <row r="681" spans="1:5" x14ac:dyDescent="0.25">
      <c r="A681">
        <v>680</v>
      </c>
      <c r="B681" t="s">
        <v>135</v>
      </c>
      <c r="C681">
        <v>0</v>
      </c>
      <c r="D681" t="str">
        <f t="shared" si="22"/>
        <v>d</v>
      </c>
      <c r="E681" t="str">
        <f t="shared" si="21"/>
        <v>d) El de la transferencia.</v>
      </c>
    </row>
    <row r="682" spans="1:5" x14ac:dyDescent="0.25">
      <c r="A682">
        <v>681</v>
      </c>
      <c r="B682" t="s">
        <v>1633</v>
      </c>
      <c r="C682">
        <v>1</v>
      </c>
      <c r="D682" t="str">
        <f t="shared" si="22"/>
        <v>P</v>
      </c>
      <c r="E682" t="str">
        <f t="shared" si="21"/>
        <v>Para Mario Rovere, ¿Con qué tipo de mecanismo aparece generalmente el nivel de fusión dentro de la construcción de redes?</v>
      </c>
    </row>
    <row r="683" spans="1:5" x14ac:dyDescent="0.25">
      <c r="A683">
        <v>682</v>
      </c>
      <c r="B683" t="s">
        <v>136</v>
      </c>
      <c r="C683">
        <v>0</v>
      </c>
      <c r="D683" t="str">
        <f t="shared" si="22"/>
        <v>a</v>
      </c>
      <c r="E683" t="str">
        <f t="shared" si="21"/>
        <v>a) Autogestivo.</v>
      </c>
    </row>
    <row r="684" spans="1:5" x14ac:dyDescent="0.25">
      <c r="A684">
        <v>683</v>
      </c>
      <c r="B684" t="s">
        <v>137</v>
      </c>
      <c r="C684">
        <v>0</v>
      </c>
      <c r="D684" t="str">
        <f t="shared" si="22"/>
        <v>b</v>
      </c>
      <c r="E684" t="str">
        <f t="shared" si="21"/>
        <v>b) Convencional.</v>
      </c>
    </row>
    <row r="685" spans="1:5" x14ac:dyDescent="0.25">
      <c r="A685">
        <v>684</v>
      </c>
      <c r="B685" t="s">
        <v>138</v>
      </c>
      <c r="C685">
        <v>0</v>
      </c>
      <c r="D685" t="str">
        <f t="shared" si="22"/>
        <v>c</v>
      </c>
      <c r="E685" t="str">
        <f t="shared" si="21"/>
        <v>c) Espontáneo.</v>
      </c>
    </row>
    <row r="686" spans="1:5" x14ac:dyDescent="0.25">
      <c r="A686">
        <v>685</v>
      </c>
      <c r="B686" t="s">
        <v>139</v>
      </c>
      <c r="C686">
        <v>0</v>
      </c>
      <c r="D686" t="str">
        <f t="shared" si="22"/>
        <v>*</v>
      </c>
      <c r="E686" t="str">
        <f t="shared" si="21"/>
        <v>d) Externo.</v>
      </c>
    </row>
    <row r="687" spans="1:5" x14ac:dyDescent="0.25">
      <c r="A687">
        <v>686</v>
      </c>
      <c r="B687" t="s">
        <v>1704</v>
      </c>
      <c r="C687">
        <v>1</v>
      </c>
      <c r="D687" t="str">
        <f t="shared" si="22"/>
        <v>S</v>
      </c>
      <c r="E687" t="str">
        <f t="shared" si="21"/>
        <v xml:space="preserve">Según Mario Róvere, ¿Cómo se reduce la demanda de organización piramidal? </v>
      </c>
    </row>
    <row r="688" spans="1:5" x14ac:dyDescent="0.25">
      <c r="A688">
        <v>687</v>
      </c>
      <c r="B688" t="s">
        <v>140</v>
      </c>
      <c r="C688">
        <v>0</v>
      </c>
      <c r="D688" t="str">
        <f t="shared" si="22"/>
        <v>a</v>
      </c>
      <c r="E688" t="str">
        <f t="shared" si="21"/>
        <v>a) Con la distribución del poder hegemónico.</v>
      </c>
    </row>
    <row r="689" spans="1:5" x14ac:dyDescent="0.25">
      <c r="A689">
        <v>688</v>
      </c>
      <c r="B689" t="s">
        <v>141</v>
      </c>
      <c r="C689">
        <v>0</v>
      </c>
      <c r="D689" t="str">
        <f t="shared" si="22"/>
        <v>b</v>
      </c>
      <c r="E689" t="str">
        <f t="shared" si="21"/>
        <v>b) Con educación sobre los derechos de la población.</v>
      </c>
    </row>
    <row r="690" spans="1:5" x14ac:dyDescent="0.25">
      <c r="A690">
        <v>689</v>
      </c>
      <c r="B690" t="s">
        <v>142</v>
      </c>
      <c r="C690">
        <v>0</v>
      </c>
      <c r="D690" t="str">
        <f t="shared" si="22"/>
        <v>c</v>
      </c>
      <c r="E690" t="str">
        <f t="shared" si="21"/>
        <v>c) Mediante elecciones democráticas.</v>
      </c>
    </row>
    <row r="691" spans="1:5" x14ac:dyDescent="0.25">
      <c r="A691">
        <v>690</v>
      </c>
      <c r="B691" t="s">
        <v>143</v>
      </c>
      <c r="C691">
        <v>0</v>
      </c>
      <c r="D691" t="str">
        <f t="shared" si="22"/>
        <v>*</v>
      </c>
      <c r="E691" t="str">
        <f t="shared" si="21"/>
        <v>d) A partir de heterogeneidades democráticas.</v>
      </c>
    </row>
    <row r="692" spans="1:5" x14ac:dyDescent="0.25">
      <c r="A692">
        <v>691</v>
      </c>
      <c r="B692" s="1" t="s">
        <v>1635</v>
      </c>
      <c r="C692">
        <v>1</v>
      </c>
      <c r="D692" t="str">
        <f t="shared" si="22"/>
        <v>P</v>
      </c>
      <c r="E692" t="str">
        <f t="shared" si="21"/>
        <v>Pichardo Muñiz al definir Planificación Estratégica pretende rescatar esa concepción de estrategia al plantearla como una lucha entre oponentes para el logro de determinados objetivos. Según la autora. ¿En qué debe apoyarse la formulación de la estrategia?</v>
      </c>
    </row>
    <row r="693" spans="1:5" x14ac:dyDescent="0.25">
      <c r="A693">
        <v>692</v>
      </c>
      <c r="B693" t="s">
        <v>144</v>
      </c>
      <c r="C693">
        <v>0</v>
      </c>
      <c r="D693" t="str">
        <f t="shared" si="22"/>
        <v>a</v>
      </c>
      <c r="E693" t="str">
        <f t="shared" si="21"/>
        <v>a) En el análisis de los recursos disponibles.</v>
      </c>
    </row>
    <row r="694" spans="1:5" x14ac:dyDescent="0.25">
      <c r="A694">
        <v>693</v>
      </c>
      <c r="B694" t="s">
        <v>145</v>
      </c>
      <c r="C694">
        <v>0</v>
      </c>
      <c r="D694" t="str">
        <f t="shared" si="22"/>
        <v>*</v>
      </c>
      <c r="E694" t="str">
        <f t="shared" si="21"/>
        <v>b) En el diagnóstico y la trayectoria.</v>
      </c>
    </row>
    <row r="695" spans="1:5" x14ac:dyDescent="0.25">
      <c r="A695">
        <v>694</v>
      </c>
      <c r="B695" t="s">
        <v>146</v>
      </c>
      <c r="C695">
        <v>0</v>
      </c>
      <c r="D695" t="str">
        <f t="shared" si="22"/>
        <v>c</v>
      </c>
      <c r="E695" t="str">
        <f t="shared" si="21"/>
        <v>c) En la imagen objetivo y el impacto.</v>
      </c>
    </row>
    <row r="696" spans="1:5" x14ac:dyDescent="0.25">
      <c r="A696">
        <v>695</v>
      </c>
      <c r="B696" t="s">
        <v>147</v>
      </c>
      <c r="C696">
        <v>0</v>
      </c>
      <c r="D696" t="str">
        <f t="shared" si="22"/>
        <v>d</v>
      </c>
      <c r="E696" t="str">
        <f t="shared" si="21"/>
        <v>d) En las necesidades de la población definida.</v>
      </c>
    </row>
    <row r="697" spans="1:5" x14ac:dyDescent="0.25">
      <c r="A697">
        <v>696</v>
      </c>
      <c r="B697" t="s">
        <v>1636</v>
      </c>
      <c r="C697">
        <v>1</v>
      </c>
      <c r="D697" t="str">
        <f t="shared" si="22"/>
        <v>S</v>
      </c>
      <c r="E697" t="str">
        <f t="shared" si="21"/>
        <v>Según Donzelot, el diagnóstico social es el procedimiento técnico que se encuadra en el punto de confluencia de la asistencia y la represión. ¿Qué se intenta eliminar de ambas mediante el diagnóstico?</v>
      </c>
    </row>
    <row r="698" spans="1:5" x14ac:dyDescent="0.25">
      <c r="A698">
        <v>697</v>
      </c>
      <c r="B698" t="s">
        <v>148</v>
      </c>
      <c r="C698">
        <v>0</v>
      </c>
      <c r="D698" t="str">
        <f t="shared" si="22"/>
        <v>a</v>
      </c>
      <c r="E698" t="str">
        <f t="shared" si="21"/>
        <v>a) La convergencia.</v>
      </c>
    </row>
    <row r="699" spans="1:5" x14ac:dyDescent="0.25">
      <c r="A699">
        <v>698</v>
      </c>
      <c r="B699" t="s">
        <v>149</v>
      </c>
      <c r="C699">
        <v>0</v>
      </c>
      <c r="D699" t="str">
        <f t="shared" si="22"/>
        <v>*</v>
      </c>
      <c r="E699" t="str">
        <f t="shared" si="21"/>
        <v>b) Las debilidades.</v>
      </c>
    </row>
    <row r="700" spans="1:5" x14ac:dyDescent="0.25">
      <c r="A700">
        <v>699</v>
      </c>
      <c r="B700" t="s">
        <v>150</v>
      </c>
      <c r="C700">
        <v>0</v>
      </c>
      <c r="D700" t="str">
        <f t="shared" si="22"/>
        <v>c</v>
      </c>
      <c r="E700" t="str">
        <f t="shared" si="21"/>
        <v>c) Los errores.</v>
      </c>
    </row>
    <row r="701" spans="1:5" x14ac:dyDescent="0.25">
      <c r="A701">
        <v>700</v>
      </c>
      <c r="B701" t="s">
        <v>151</v>
      </c>
      <c r="C701">
        <v>0</v>
      </c>
      <c r="D701" t="str">
        <f t="shared" si="22"/>
        <v>d</v>
      </c>
      <c r="E701" t="str">
        <f t="shared" si="21"/>
        <v>d) La estructuración.</v>
      </c>
    </row>
    <row r="702" spans="1:5" x14ac:dyDescent="0.25">
      <c r="A702">
        <v>701</v>
      </c>
      <c r="B702" t="s">
        <v>1637</v>
      </c>
      <c r="C702">
        <v>1</v>
      </c>
      <c r="D702" t="str">
        <f t="shared" si="22"/>
        <v>P</v>
      </c>
      <c r="E702" t="str">
        <f t="shared" si="21"/>
        <v>Para Bourdieu Wacquant, cuando se observa coherencia en el estado dado de un campo. ¿De qué es resultado esta coherencia?</v>
      </c>
    </row>
    <row r="703" spans="1:5" x14ac:dyDescent="0.25">
      <c r="A703">
        <v>702</v>
      </c>
      <c r="B703" t="s">
        <v>152</v>
      </c>
      <c r="C703">
        <v>0</v>
      </c>
      <c r="D703" t="str">
        <f t="shared" si="22"/>
        <v>a</v>
      </c>
      <c r="E703" t="str">
        <f t="shared" si="21"/>
        <v>a) Autodesarrollo inmanente de la estructura.</v>
      </c>
    </row>
    <row r="704" spans="1:5" x14ac:dyDescent="0.25">
      <c r="A704">
        <v>703</v>
      </c>
      <c r="B704" t="s">
        <v>153</v>
      </c>
      <c r="C704">
        <v>0</v>
      </c>
      <c r="D704" t="str">
        <f t="shared" si="22"/>
        <v>b</v>
      </c>
      <c r="E704" t="str">
        <f t="shared" si="21"/>
        <v>b) Causalidad de diversos fenómenos.</v>
      </c>
    </row>
    <row r="705" spans="1:5" x14ac:dyDescent="0.25">
      <c r="A705">
        <v>704</v>
      </c>
      <c r="B705" t="s">
        <v>154</v>
      </c>
      <c r="C705">
        <v>0</v>
      </c>
      <c r="D705" t="str">
        <f t="shared" si="22"/>
        <v>*</v>
      </c>
      <c r="E705" t="str">
        <f t="shared" si="21"/>
        <v>c) Conflicto y competencia.</v>
      </c>
    </row>
    <row r="706" spans="1:5" x14ac:dyDescent="0.25">
      <c r="A706">
        <v>705</v>
      </c>
      <c r="B706" t="s">
        <v>155</v>
      </c>
      <c r="C706">
        <v>0</v>
      </c>
      <c r="D706" t="str">
        <f t="shared" si="22"/>
        <v>d</v>
      </c>
      <c r="E706" t="str">
        <f t="shared" si="21"/>
        <v>d) Equilibrio y sustentabilidad.</v>
      </c>
    </row>
    <row r="707" spans="1:5" x14ac:dyDescent="0.25">
      <c r="A707">
        <v>706</v>
      </c>
      <c r="B707" t="s">
        <v>1705</v>
      </c>
      <c r="C707">
        <v>1</v>
      </c>
      <c r="D707" t="str">
        <f t="shared" si="22"/>
        <v>E</v>
      </c>
      <c r="E707" t="str">
        <f t="shared" ref="E707:E770" si="23">+IF(D707="*",MID(B707,3,500),B707)</f>
        <v>En su definición de "campo". ¿A qué noción se opone abiertamente Bourdieu?</v>
      </c>
    </row>
    <row r="708" spans="1:5" x14ac:dyDescent="0.25">
      <c r="A708">
        <v>707</v>
      </c>
      <c r="B708" t="s">
        <v>156</v>
      </c>
      <c r="C708">
        <v>0</v>
      </c>
      <c r="D708" t="str">
        <f t="shared" si="22"/>
        <v>*</v>
      </c>
      <c r="E708" t="str">
        <f t="shared" si="23"/>
        <v>a) A la de aparato.</v>
      </c>
    </row>
    <row r="709" spans="1:5" x14ac:dyDescent="0.25">
      <c r="A709">
        <v>708</v>
      </c>
      <c r="B709" t="s">
        <v>157</v>
      </c>
      <c r="C709">
        <v>0</v>
      </c>
      <c r="D709" t="str">
        <f t="shared" si="22"/>
        <v>b</v>
      </c>
      <c r="E709" t="str">
        <f t="shared" si="23"/>
        <v>b) A la de estructura.</v>
      </c>
    </row>
    <row r="710" spans="1:5" x14ac:dyDescent="0.25">
      <c r="A710">
        <v>709</v>
      </c>
      <c r="B710" t="s">
        <v>158</v>
      </c>
      <c r="C710">
        <v>0</v>
      </c>
      <c r="D710" t="str">
        <f t="shared" si="22"/>
        <v>c</v>
      </c>
      <c r="E710" t="str">
        <f t="shared" si="23"/>
        <v>c) A la de distribución.</v>
      </c>
    </row>
    <row r="711" spans="1:5" x14ac:dyDescent="0.25">
      <c r="A711">
        <v>710</v>
      </c>
      <c r="B711" t="s">
        <v>159</v>
      </c>
      <c r="C711">
        <v>0</v>
      </c>
      <c r="D711" t="str">
        <f t="shared" si="22"/>
        <v>d</v>
      </c>
      <c r="E711" t="str">
        <f t="shared" si="23"/>
        <v>d) A la de sistema.</v>
      </c>
    </row>
    <row r="712" spans="1:5" x14ac:dyDescent="0.25">
      <c r="A712">
        <v>711</v>
      </c>
      <c r="B712" t="s">
        <v>1639</v>
      </c>
      <c r="C712">
        <v>1</v>
      </c>
      <c r="D712" t="str">
        <f t="shared" si="22"/>
        <v>L</v>
      </c>
      <c r="E712" t="str">
        <f t="shared" si="23"/>
        <v>La teoría de los grupos operativos refiere que los grupos atraviesan diferentes etapas. Según Bauleo, Charur Zarzar cuando el grupo empieza a tomar sobre sí las funciones de organización, toma de decisiones y de control. ¿En qué etapa se encontraría?</v>
      </c>
    </row>
    <row r="713" spans="1:5" x14ac:dyDescent="0.25">
      <c r="A713">
        <v>712</v>
      </c>
      <c r="B713" t="s">
        <v>160</v>
      </c>
      <c r="C713">
        <v>0</v>
      </c>
      <c r="D713" t="str">
        <f t="shared" si="22"/>
        <v>a</v>
      </c>
      <c r="E713" t="str">
        <f t="shared" si="23"/>
        <v>a) Indiscriminación.</v>
      </c>
    </row>
    <row r="714" spans="1:5" x14ac:dyDescent="0.25">
      <c r="A714">
        <v>713</v>
      </c>
      <c r="B714" t="s">
        <v>161</v>
      </c>
      <c r="C714">
        <v>0</v>
      </c>
      <c r="D714" t="str">
        <f t="shared" si="22"/>
        <v>b</v>
      </c>
      <c r="E714" t="str">
        <f t="shared" si="23"/>
        <v>b) Pre-tarea.</v>
      </c>
    </row>
    <row r="715" spans="1:5" x14ac:dyDescent="0.25">
      <c r="A715">
        <v>714</v>
      </c>
      <c r="B715" t="s">
        <v>162</v>
      </c>
      <c r="C715">
        <v>0</v>
      </c>
      <c r="D715" t="str">
        <f t="shared" si="22"/>
        <v>c</v>
      </c>
      <c r="E715" t="str">
        <f t="shared" si="23"/>
        <v>c) Proyecto.</v>
      </c>
    </row>
    <row r="716" spans="1:5" x14ac:dyDescent="0.25">
      <c r="A716">
        <v>715</v>
      </c>
      <c r="B716" t="s">
        <v>163</v>
      </c>
      <c r="C716">
        <v>0</v>
      </c>
      <c r="D716" t="str">
        <f t="shared" si="22"/>
        <v>*</v>
      </c>
      <c r="E716" t="str">
        <f t="shared" si="23"/>
        <v>d) Tarea.</v>
      </c>
    </row>
    <row r="717" spans="1:5" x14ac:dyDescent="0.25">
      <c r="A717">
        <v>716</v>
      </c>
      <c r="B717" t="s">
        <v>1640</v>
      </c>
      <c r="C717">
        <v>1</v>
      </c>
      <c r="D717" t="str">
        <f t="shared" si="22"/>
        <v>S</v>
      </c>
      <c r="E717" t="str">
        <f t="shared" si="23"/>
        <v>Según Charur Zarzar. ¿Cómo se denominan los roles que están determinados por la posición que ocupa un sujeto en una determinada organización o institución?</v>
      </c>
    </row>
    <row r="718" spans="1:5" x14ac:dyDescent="0.25">
      <c r="A718">
        <v>717</v>
      </c>
      <c r="B718" t="s">
        <v>164</v>
      </c>
      <c r="C718">
        <v>0</v>
      </c>
      <c r="D718" t="str">
        <f t="shared" si="22"/>
        <v>a</v>
      </c>
      <c r="E718" t="str">
        <f t="shared" si="23"/>
        <v>a) Estructurales.</v>
      </c>
    </row>
    <row r="719" spans="1:5" x14ac:dyDescent="0.25">
      <c r="A719">
        <v>718</v>
      </c>
      <c r="B719" t="s">
        <v>165</v>
      </c>
      <c r="C719">
        <v>0</v>
      </c>
      <c r="D719" t="str">
        <f t="shared" si="22"/>
        <v>*</v>
      </c>
      <c r="E719" t="str">
        <f t="shared" si="23"/>
        <v>b) Formales.</v>
      </c>
    </row>
    <row r="720" spans="1:5" x14ac:dyDescent="0.25">
      <c r="A720">
        <v>719</v>
      </c>
      <c r="B720" t="s">
        <v>166</v>
      </c>
      <c r="C720">
        <v>0</v>
      </c>
      <c r="D720" t="str">
        <f t="shared" si="22"/>
        <v>c</v>
      </c>
      <c r="E720" t="str">
        <f t="shared" si="23"/>
        <v>c) Funcionales.</v>
      </c>
    </row>
    <row r="721" spans="1:5" x14ac:dyDescent="0.25">
      <c r="A721">
        <v>720</v>
      </c>
      <c r="B721" t="s">
        <v>167</v>
      </c>
      <c r="C721">
        <v>0</v>
      </c>
      <c r="D721" t="str">
        <f t="shared" si="22"/>
        <v>d</v>
      </c>
      <c r="E721" t="str">
        <f t="shared" si="23"/>
        <v>d) Sociales.</v>
      </c>
    </row>
    <row r="722" spans="1:5" x14ac:dyDescent="0.25">
      <c r="A722">
        <v>721</v>
      </c>
      <c r="B722" t="s">
        <v>1641</v>
      </c>
      <c r="C722">
        <v>1</v>
      </c>
      <c r="D722" t="str">
        <f t="shared" si="22"/>
        <v>A</v>
      </c>
      <c r="E722" t="str">
        <f t="shared" si="23"/>
        <v>Ante la presunción de un caso de maltrato infantil, Graciela Tonon, refiere la necesidad de validarlo, es decir saber si efectivamente se ha producido, para ello hay que efectuar la valoración del caso. ¿Qué tipo de valoración describe la autora?</v>
      </c>
    </row>
    <row r="723" spans="1:5" x14ac:dyDescent="0.25">
      <c r="A723">
        <v>722</v>
      </c>
      <c r="B723" t="s">
        <v>168</v>
      </c>
      <c r="C723">
        <v>0</v>
      </c>
      <c r="D723" t="str">
        <f t="shared" si="22"/>
        <v>a</v>
      </c>
      <c r="E723" t="str">
        <f t="shared" si="23"/>
        <v>a) Agresividad latente y situación económica.</v>
      </c>
    </row>
    <row r="724" spans="1:5" x14ac:dyDescent="0.25">
      <c r="A724">
        <v>723</v>
      </c>
      <c r="B724" t="s">
        <v>169</v>
      </c>
      <c r="C724">
        <v>0</v>
      </c>
      <c r="D724" t="str">
        <f t="shared" si="22"/>
        <v>b</v>
      </c>
      <c r="E724" t="str">
        <f t="shared" si="23"/>
        <v>b) Composición familiar y situación contextual.</v>
      </c>
    </row>
    <row r="725" spans="1:5" x14ac:dyDescent="0.25">
      <c r="A725">
        <v>724</v>
      </c>
      <c r="B725" t="s">
        <v>170</v>
      </c>
      <c r="C725">
        <v>0</v>
      </c>
      <c r="D725" t="str">
        <f t="shared" si="22"/>
        <v>*</v>
      </c>
      <c r="E725" t="str">
        <f t="shared" si="23"/>
        <v>c) Gravedad del daño y nivel de riesgo.</v>
      </c>
    </row>
    <row r="726" spans="1:5" x14ac:dyDescent="0.25">
      <c r="A726">
        <v>725</v>
      </c>
      <c r="B726" t="s">
        <v>171</v>
      </c>
      <c r="C726">
        <v>0</v>
      </c>
      <c r="D726" t="str">
        <f t="shared" si="22"/>
        <v>d</v>
      </c>
      <c r="E726" t="str">
        <f t="shared" si="23"/>
        <v>d) Vínculos afectivos y peligrosidad.</v>
      </c>
    </row>
    <row r="727" spans="1:5" x14ac:dyDescent="0.25">
      <c r="A727">
        <v>726</v>
      </c>
      <c r="B727" t="s">
        <v>1642</v>
      </c>
      <c r="C727">
        <v>1</v>
      </c>
      <c r="D727" t="str">
        <f t="shared" si="22"/>
        <v>¿</v>
      </c>
      <c r="E727" t="str">
        <f t="shared" si="23"/>
        <v>¿A qué hace referencia Graciela Tonón cuando, siguiendo a Morin , dice..."delimita un campo de competencia y construye un objeto de estudio"?</v>
      </c>
    </row>
    <row r="728" spans="1:5" x14ac:dyDescent="0.25">
      <c r="A728">
        <v>727</v>
      </c>
      <c r="B728" t="s">
        <v>172</v>
      </c>
      <c r="C728">
        <v>0</v>
      </c>
      <c r="D728" t="str">
        <f t="shared" si="22"/>
        <v>a</v>
      </c>
      <c r="E728" t="str">
        <f t="shared" si="23"/>
        <v>a) A la ciencia.</v>
      </c>
    </row>
    <row r="729" spans="1:5" x14ac:dyDescent="0.25">
      <c r="A729">
        <v>728</v>
      </c>
      <c r="B729" t="s">
        <v>173</v>
      </c>
      <c r="C729">
        <v>0</v>
      </c>
      <c r="D729" t="str">
        <f t="shared" si="22"/>
        <v>*</v>
      </c>
      <c r="E729" t="str">
        <f t="shared" si="23"/>
        <v>b) A la disciplina.</v>
      </c>
    </row>
    <row r="730" spans="1:5" x14ac:dyDescent="0.25">
      <c r="A730">
        <v>729</v>
      </c>
      <c r="B730" t="s">
        <v>174</v>
      </c>
      <c r="C730">
        <v>0</v>
      </c>
      <c r="D730" t="str">
        <f t="shared" si="22"/>
        <v>c</v>
      </c>
      <c r="E730" t="str">
        <f t="shared" si="23"/>
        <v>c) A la interdisciplina.</v>
      </c>
    </row>
    <row r="731" spans="1:5" x14ac:dyDescent="0.25">
      <c r="A731">
        <v>730</v>
      </c>
      <c r="B731" t="s">
        <v>175</v>
      </c>
      <c r="C731">
        <v>0</v>
      </c>
      <c r="D731" t="str">
        <f t="shared" si="22"/>
        <v>d</v>
      </c>
      <c r="E731" t="str">
        <f t="shared" si="23"/>
        <v>d) A la teoría.</v>
      </c>
    </row>
    <row r="732" spans="1:5" x14ac:dyDescent="0.25">
      <c r="A732">
        <v>731</v>
      </c>
      <c r="B732" t="s">
        <v>1643</v>
      </c>
      <c r="C732">
        <v>1</v>
      </c>
      <c r="D732" t="str">
        <f t="shared" si="22"/>
        <v>S</v>
      </c>
      <c r="E732" t="str">
        <f t="shared" si="23"/>
        <v>Según Rodriguez Gómez y otros, de forma general el estudio de caso se basa en el razonamiento inductivo. ¿Cúal es otra de sus características?</v>
      </c>
    </row>
    <row r="733" spans="1:5" x14ac:dyDescent="0.25">
      <c r="A733">
        <v>732</v>
      </c>
      <c r="B733" t="s">
        <v>176</v>
      </c>
      <c r="C733">
        <v>0</v>
      </c>
      <c r="D733" t="str">
        <f t="shared" si="22"/>
        <v>a</v>
      </c>
      <c r="E733" t="str">
        <f t="shared" si="23"/>
        <v>a) El conocimiento de la ideología del investigador.</v>
      </c>
    </row>
    <row r="734" spans="1:5" x14ac:dyDescent="0.25">
      <c r="A734">
        <v>733</v>
      </c>
      <c r="B734" t="s">
        <v>177</v>
      </c>
      <c r="C734">
        <v>0</v>
      </c>
      <c r="D734" t="str">
        <f t="shared" si="22"/>
        <v>*</v>
      </c>
      <c r="E734" t="str">
        <f t="shared" si="23"/>
        <v>b) El descubrimiento de nuevas relaciones y conceptos.</v>
      </c>
    </row>
    <row r="735" spans="1:5" x14ac:dyDescent="0.25">
      <c r="A735">
        <v>734</v>
      </c>
      <c r="B735" t="s">
        <v>178</v>
      </c>
      <c r="C735">
        <v>0</v>
      </c>
      <c r="D735" t="str">
        <f t="shared" si="22"/>
        <v>c</v>
      </c>
      <c r="E735" t="str">
        <f t="shared" si="23"/>
        <v>c) La refutación de hipótesis previamente establecidas.</v>
      </c>
    </row>
    <row r="736" spans="1:5" x14ac:dyDescent="0.25">
      <c r="A736">
        <v>735</v>
      </c>
      <c r="B736" t="s">
        <v>179</v>
      </c>
      <c r="C736">
        <v>0</v>
      </c>
      <c r="D736" t="str">
        <f t="shared" si="22"/>
        <v>d</v>
      </c>
      <c r="E736" t="str">
        <f t="shared" si="23"/>
        <v>d) La reconstrucción de los procesos de conocimiento</v>
      </c>
    </row>
    <row r="737" spans="1:5" x14ac:dyDescent="0.25">
      <c r="A737">
        <v>736</v>
      </c>
      <c r="B737" t="s">
        <v>1644</v>
      </c>
      <c r="C737">
        <v>1</v>
      </c>
      <c r="D737" t="str">
        <f t="shared" si="22"/>
        <v>E</v>
      </c>
      <c r="E737" t="str">
        <f t="shared" si="23"/>
        <v>En la hipótesis, "Luego de la última crisis económica, entre las mujeres se encontró mayor nivel de adecuación a los nuevos perfiles laborales que entre los varones". ¿Qué tipo de variable es el sexo?.</v>
      </c>
    </row>
    <row r="738" spans="1:5" x14ac:dyDescent="0.25">
      <c r="A738">
        <v>737</v>
      </c>
      <c r="B738" t="s">
        <v>180</v>
      </c>
      <c r="C738">
        <v>0</v>
      </c>
      <c r="D738" t="str">
        <f t="shared" si="22"/>
        <v>a</v>
      </c>
      <c r="E738" t="str">
        <f t="shared" si="23"/>
        <v>a) Interviniente.</v>
      </c>
    </row>
    <row r="739" spans="1:5" x14ac:dyDescent="0.25">
      <c r="A739">
        <v>738</v>
      </c>
      <c r="B739" t="s">
        <v>181</v>
      </c>
      <c r="C739">
        <v>0</v>
      </c>
      <c r="D739" t="str">
        <f t="shared" si="22"/>
        <v>b</v>
      </c>
      <c r="E739" t="str">
        <f t="shared" si="23"/>
        <v>b) Dependiente.</v>
      </c>
    </row>
    <row r="740" spans="1:5" x14ac:dyDescent="0.25">
      <c r="A740">
        <v>739</v>
      </c>
      <c r="B740" t="s">
        <v>182</v>
      </c>
      <c r="C740">
        <v>0</v>
      </c>
      <c r="D740" t="str">
        <f t="shared" ref="D740:D803" si="24">+MID(B740,1,1)</f>
        <v>*</v>
      </c>
      <c r="E740" t="str">
        <f t="shared" si="23"/>
        <v>c) Independiente.</v>
      </c>
    </row>
    <row r="741" spans="1:5" x14ac:dyDescent="0.25">
      <c r="A741">
        <v>740</v>
      </c>
      <c r="B741" t="s">
        <v>183</v>
      </c>
      <c r="C741">
        <v>0</v>
      </c>
      <c r="D741" t="str">
        <f t="shared" si="24"/>
        <v>d</v>
      </c>
      <c r="E741" t="str">
        <f t="shared" si="23"/>
        <v>d) Ponderada.</v>
      </c>
    </row>
    <row r="742" spans="1:5" x14ac:dyDescent="0.25">
      <c r="A742">
        <v>741</v>
      </c>
      <c r="B742" t="s">
        <v>1645</v>
      </c>
      <c r="C742">
        <v>1</v>
      </c>
      <c r="D742" t="str">
        <f t="shared" si="24"/>
        <v>E</v>
      </c>
      <c r="E742" t="str">
        <f t="shared" si="23"/>
        <v>En la hipótesis, "El estudio en grupo contribuye a la obtención de mejores calificaciones", la variable "la obtención de mejores calificaciones". ¿Qué tipo de variable es?</v>
      </c>
    </row>
    <row r="743" spans="1:5" x14ac:dyDescent="0.25">
      <c r="A743">
        <v>742</v>
      </c>
      <c r="B743" t="s">
        <v>184</v>
      </c>
      <c r="C743">
        <v>0</v>
      </c>
      <c r="D743" t="str">
        <f t="shared" si="24"/>
        <v>a</v>
      </c>
      <c r="E743" t="str">
        <f t="shared" si="23"/>
        <v>a) Independiente.</v>
      </c>
    </row>
    <row r="744" spans="1:5" x14ac:dyDescent="0.25">
      <c r="A744">
        <v>743</v>
      </c>
      <c r="B744" t="s">
        <v>185</v>
      </c>
      <c r="C744">
        <v>0</v>
      </c>
      <c r="D744" t="str">
        <f t="shared" si="24"/>
        <v>b</v>
      </c>
      <c r="E744" t="str">
        <f t="shared" si="23"/>
        <v>b) Relacional.</v>
      </c>
    </row>
    <row r="745" spans="1:5" x14ac:dyDescent="0.25">
      <c r="A745">
        <v>744</v>
      </c>
      <c r="B745" t="s">
        <v>186</v>
      </c>
      <c r="C745">
        <v>0</v>
      </c>
      <c r="D745" t="str">
        <f t="shared" si="24"/>
        <v>c</v>
      </c>
      <c r="E745" t="str">
        <f t="shared" si="23"/>
        <v>c) Interviniente.</v>
      </c>
    </row>
    <row r="746" spans="1:5" x14ac:dyDescent="0.25">
      <c r="A746">
        <v>745</v>
      </c>
      <c r="B746" t="s">
        <v>187</v>
      </c>
      <c r="C746">
        <v>0</v>
      </c>
      <c r="D746" t="str">
        <f t="shared" si="24"/>
        <v>*</v>
      </c>
      <c r="E746" t="str">
        <f t="shared" si="23"/>
        <v>d) Dependiente.</v>
      </c>
    </row>
    <row r="747" spans="1:5" x14ac:dyDescent="0.25">
      <c r="A747">
        <v>746</v>
      </c>
      <c r="B747" t="s">
        <v>1646</v>
      </c>
      <c r="C747">
        <v>1</v>
      </c>
      <c r="D747" t="str">
        <f t="shared" si="24"/>
        <v>E</v>
      </c>
      <c r="E747" t="str">
        <f t="shared" si="23"/>
        <v>En la hipótesis. "El aumento de la violencia en el fútbol, disminuyó la asistencia de público a los estadios" ¿Cómo se denomina la variable "asistencia de público a los estadios"?</v>
      </c>
    </row>
    <row r="748" spans="1:5" x14ac:dyDescent="0.25">
      <c r="A748">
        <v>747</v>
      </c>
      <c r="B748" t="s">
        <v>188</v>
      </c>
      <c r="C748">
        <v>0</v>
      </c>
      <c r="D748" t="str">
        <f t="shared" si="24"/>
        <v>*</v>
      </c>
      <c r="E748" t="str">
        <f t="shared" si="23"/>
        <v>a) Dependiente.</v>
      </c>
    </row>
    <row r="749" spans="1:5" x14ac:dyDescent="0.25">
      <c r="A749">
        <v>748</v>
      </c>
      <c r="B749" t="s">
        <v>189</v>
      </c>
      <c r="C749">
        <v>0</v>
      </c>
      <c r="D749" t="str">
        <f t="shared" si="24"/>
        <v>b</v>
      </c>
      <c r="E749" t="str">
        <f t="shared" si="23"/>
        <v>b) Independiente.</v>
      </c>
    </row>
    <row r="750" spans="1:5" x14ac:dyDescent="0.25">
      <c r="A750">
        <v>749</v>
      </c>
      <c r="B750" t="s">
        <v>190</v>
      </c>
      <c r="C750">
        <v>0</v>
      </c>
      <c r="D750" t="str">
        <f t="shared" si="24"/>
        <v>c</v>
      </c>
      <c r="E750" t="str">
        <f t="shared" si="23"/>
        <v>c) Ponderada.</v>
      </c>
    </row>
    <row r="751" spans="1:5" x14ac:dyDescent="0.25">
      <c r="A751">
        <v>750</v>
      </c>
      <c r="B751" t="s">
        <v>191</v>
      </c>
      <c r="C751">
        <v>0</v>
      </c>
      <c r="D751" t="str">
        <f t="shared" si="24"/>
        <v>d</v>
      </c>
      <c r="E751" t="str">
        <f t="shared" si="23"/>
        <v>d) Relacional.</v>
      </c>
    </row>
    <row r="752" spans="1:5" x14ac:dyDescent="0.25">
      <c r="A752">
        <v>751</v>
      </c>
      <c r="B752" t="s">
        <v>1647</v>
      </c>
      <c r="C752">
        <v>1</v>
      </c>
      <c r="D752" t="str">
        <f t="shared" si="24"/>
        <v>E</v>
      </c>
      <c r="E752" t="str">
        <f t="shared" si="23"/>
        <v>En la hipótesis "El manejar acompañado por una persona adulta en la ruta, disminuye las posibilidades de sufrir accidentes al conducir" ¿Qué tipo de varible es "edad del acompañante" ?</v>
      </c>
    </row>
    <row r="753" spans="1:5" x14ac:dyDescent="0.25">
      <c r="A753">
        <v>752</v>
      </c>
      <c r="B753" t="s">
        <v>192</v>
      </c>
      <c r="C753">
        <v>0</v>
      </c>
      <c r="D753" t="str">
        <f t="shared" si="24"/>
        <v>a</v>
      </c>
      <c r="E753" t="str">
        <f t="shared" si="23"/>
        <v>a) Dependiente.</v>
      </c>
    </row>
    <row r="754" spans="1:5" x14ac:dyDescent="0.25">
      <c r="A754">
        <v>753</v>
      </c>
      <c r="B754" t="s">
        <v>189</v>
      </c>
      <c r="C754">
        <v>0</v>
      </c>
      <c r="D754" t="str">
        <f t="shared" si="24"/>
        <v>b</v>
      </c>
      <c r="E754" t="str">
        <f t="shared" si="23"/>
        <v>b) Independiente.</v>
      </c>
    </row>
    <row r="755" spans="1:5" x14ac:dyDescent="0.25">
      <c r="A755">
        <v>754</v>
      </c>
      <c r="B755" t="s">
        <v>193</v>
      </c>
      <c r="C755">
        <v>0</v>
      </c>
      <c r="D755" t="str">
        <f t="shared" si="24"/>
        <v>*</v>
      </c>
      <c r="E755" t="str">
        <f t="shared" si="23"/>
        <v>c) Interviniente.</v>
      </c>
    </row>
    <row r="756" spans="1:5" x14ac:dyDescent="0.25">
      <c r="A756">
        <v>755</v>
      </c>
      <c r="B756" t="s">
        <v>191</v>
      </c>
      <c r="C756">
        <v>0</v>
      </c>
      <c r="D756" t="str">
        <f t="shared" si="24"/>
        <v>d</v>
      </c>
      <c r="E756" t="str">
        <f t="shared" si="23"/>
        <v>d) Relacional.</v>
      </c>
    </row>
    <row r="757" spans="1:5" x14ac:dyDescent="0.25">
      <c r="A757">
        <v>756</v>
      </c>
      <c r="B757" s="1" t="s">
        <v>1648</v>
      </c>
      <c r="C757">
        <v>1</v>
      </c>
      <c r="D757" t="str">
        <f t="shared" si="24"/>
        <v>U</v>
      </c>
      <c r="E757" t="str">
        <f t="shared" si="23"/>
        <v>Una pareja de extranjeros que esta en el país de manera temporaria, consulta al Servicio Social de un Hospital Materno Infantil del G.C.B.A por la posibilidad de adopción de un niño que se encuentra internado en dicho efector. ¿Cúal es la orientación que la trabajadora social debe dar según la reserva realizada por la Argentina de la Convención Internacional de los derechos de niños niñas y adolescentes, en relación a la adopción internacional?</v>
      </c>
    </row>
    <row r="758" spans="1:5" x14ac:dyDescent="0.25">
      <c r="A758">
        <v>757</v>
      </c>
      <c r="B758" t="s">
        <v>194</v>
      </c>
      <c r="C758">
        <v>0</v>
      </c>
      <c r="D758" t="str">
        <f t="shared" si="24"/>
        <v>*</v>
      </c>
      <c r="E758" t="str">
        <f t="shared" si="23"/>
        <v>a) No esta permitida en ningún caso.</v>
      </c>
    </row>
    <row r="759" spans="1:5" x14ac:dyDescent="0.25">
      <c r="A759">
        <v>758</v>
      </c>
      <c r="B759" t="s">
        <v>195</v>
      </c>
      <c r="C759">
        <v>0</v>
      </c>
      <c r="D759" t="str">
        <f t="shared" si="24"/>
        <v>b</v>
      </c>
      <c r="E759" t="str">
        <f t="shared" si="23"/>
        <v>b) Esta permitida entre países limítrofes.</v>
      </c>
    </row>
    <row r="760" spans="1:5" x14ac:dyDescent="0.25">
      <c r="A760">
        <v>759</v>
      </c>
      <c r="B760" t="s">
        <v>196</v>
      </c>
      <c r="C760">
        <v>0</v>
      </c>
      <c r="D760" t="str">
        <f t="shared" si="24"/>
        <v>c</v>
      </c>
      <c r="E760" t="str">
        <f t="shared" si="23"/>
        <v>c) Esta permitida para niños mayores de 6 años.</v>
      </c>
    </row>
    <row r="761" spans="1:5" x14ac:dyDescent="0.25">
      <c r="A761">
        <v>760</v>
      </c>
      <c r="B761" t="s">
        <v>197</v>
      </c>
      <c r="C761">
        <v>0</v>
      </c>
      <c r="D761" t="str">
        <f t="shared" si="24"/>
        <v>d</v>
      </c>
      <c r="E761" t="str">
        <f t="shared" si="23"/>
        <v>d) Esta permitida en todos los casos.</v>
      </c>
    </row>
    <row r="762" spans="1:5" x14ac:dyDescent="0.25">
      <c r="A762">
        <v>761</v>
      </c>
      <c r="B762" s="1" t="s">
        <v>1649</v>
      </c>
      <c r="C762">
        <v>1</v>
      </c>
      <c r="D762" t="str">
        <f t="shared" si="24"/>
        <v>U</v>
      </c>
      <c r="E762" t="str">
        <f t="shared" si="23"/>
        <v>Un residente de pediatría de un hospital del G.C.B.A acude al Servicio Social del mismo a fin de consultar acerca de un niño de 5 años internado hace 15 días. Refiere que sus padres concurren esporádicamente por dificultades laborales y vinculares. Según el artículo 18 de la Convención Internacional de los derechos de niños niñas y adolescentes. ¿A quién compete la crianza y el desarollo del niño?</v>
      </c>
    </row>
    <row r="763" spans="1:5" x14ac:dyDescent="0.25">
      <c r="A763">
        <v>762</v>
      </c>
      <c r="B763" t="s">
        <v>198</v>
      </c>
      <c r="C763">
        <v>0</v>
      </c>
      <c r="D763" t="str">
        <f t="shared" si="24"/>
        <v>a</v>
      </c>
      <c r="E763" t="str">
        <f t="shared" si="23"/>
        <v>a) A la madre.</v>
      </c>
    </row>
    <row r="764" spans="1:5" x14ac:dyDescent="0.25">
      <c r="A764">
        <v>763</v>
      </c>
      <c r="B764" t="s">
        <v>199</v>
      </c>
      <c r="C764">
        <v>0</v>
      </c>
      <c r="D764" t="str">
        <f t="shared" si="24"/>
        <v>b</v>
      </c>
      <c r="E764" t="str">
        <f t="shared" si="23"/>
        <v>b) Al padre.</v>
      </c>
    </row>
    <row r="765" spans="1:5" x14ac:dyDescent="0.25">
      <c r="A765">
        <v>764</v>
      </c>
      <c r="B765" t="s">
        <v>200</v>
      </c>
      <c r="C765">
        <v>0</v>
      </c>
      <c r="D765" t="str">
        <f t="shared" si="24"/>
        <v>*</v>
      </c>
      <c r="E765" t="str">
        <f t="shared" si="23"/>
        <v>c) A ambos padres.</v>
      </c>
    </row>
    <row r="766" spans="1:5" x14ac:dyDescent="0.25">
      <c r="A766">
        <v>765</v>
      </c>
      <c r="B766" t="s">
        <v>201</v>
      </c>
      <c r="C766">
        <v>0</v>
      </c>
      <c r="D766" t="str">
        <f t="shared" si="24"/>
        <v>d</v>
      </c>
      <c r="E766" t="str">
        <f t="shared" si="23"/>
        <v>d) Al Estado.</v>
      </c>
    </row>
    <row r="767" spans="1:5" x14ac:dyDescent="0.25">
      <c r="A767">
        <v>766</v>
      </c>
      <c r="B767" s="1" t="s">
        <v>1650</v>
      </c>
      <c r="C767">
        <v>1</v>
      </c>
      <c r="D767" t="str">
        <f t="shared" si="24"/>
        <v>L</v>
      </c>
      <c r="E767" t="str">
        <f t="shared" si="23"/>
        <v>La mamá de Juan, un joven de 25 años, consulta al Servicio Social del CESAC de su domicilio para asesorarse sobre la posibilidad de internarlo en un Hospital Psiquiátrico por reiterados brotes psicóticos, poniendo en riesgo su vida y la de terceros. La trabajadora social la asesora según la Ley 448 de Salud Mental sobre las diferentes formas de acceder al régimen de internación. ¿Cuáles son estas formas?</v>
      </c>
    </row>
    <row r="768" spans="1:5" x14ac:dyDescent="0.25">
      <c r="A768">
        <v>767</v>
      </c>
      <c r="B768" t="s">
        <v>202</v>
      </c>
      <c r="C768">
        <v>0</v>
      </c>
      <c r="D768" t="str">
        <f t="shared" si="24"/>
        <v>a</v>
      </c>
      <c r="E768" t="str">
        <f t="shared" si="23"/>
        <v>a) Solicitud de familiares, vecinos y allegados.</v>
      </c>
    </row>
    <row r="769" spans="1:5" x14ac:dyDescent="0.25">
      <c r="A769">
        <v>768</v>
      </c>
      <c r="B769" t="s">
        <v>203</v>
      </c>
      <c r="C769">
        <v>0</v>
      </c>
      <c r="D769" t="str">
        <f t="shared" si="24"/>
        <v>b</v>
      </c>
      <c r="E769" t="str">
        <f t="shared" si="23"/>
        <v>b) Pedido del empleador de Juan.</v>
      </c>
    </row>
    <row r="770" spans="1:5" x14ac:dyDescent="0.25">
      <c r="A770">
        <v>769</v>
      </c>
      <c r="B770" t="s">
        <v>204</v>
      </c>
      <c r="C770">
        <v>0</v>
      </c>
      <c r="D770" t="str">
        <f t="shared" si="24"/>
        <v>c</v>
      </c>
      <c r="E770" t="str">
        <f t="shared" si="23"/>
        <v>c) Persuasión, violencia o castigo</v>
      </c>
    </row>
    <row r="771" spans="1:5" x14ac:dyDescent="0.25">
      <c r="A771">
        <v>770</v>
      </c>
      <c r="B771" t="s">
        <v>412</v>
      </c>
      <c r="C771">
        <v>0</v>
      </c>
      <c r="D771" t="str">
        <f t="shared" si="24"/>
        <v>*</v>
      </c>
      <c r="E771" t="str">
        <f t="shared" ref="E771:E834" si="25">+IF(D771="*",MID(B771,3,500),B771)</f>
        <v xml:space="preserve">d) Voluntario, involuntario, o por orden judicial </v>
      </c>
    </row>
    <row r="772" spans="1:5" x14ac:dyDescent="0.25">
      <c r="A772">
        <v>771</v>
      </c>
      <c r="B772" s="1" t="s">
        <v>1651</v>
      </c>
      <c r="C772">
        <v>1</v>
      </c>
      <c r="D772" t="str">
        <f t="shared" si="24"/>
        <v>M</v>
      </c>
      <c r="E772" t="str">
        <f t="shared" si="25"/>
        <v xml:space="preserve">Manuel, un paciente de 40 años, se encuentra en condiciones de egresar de un Hospital Psiquiátrico del G.C.B.A. El equipo interdisciplinario interviniente evalúa ante la falta de red social y familiar continente, otras posibilidades de egreso. Según consta en el Artículo 15 de la Ley de Salud Mental 448. ¿Cúal es la estrategia de intervención a implementar en estos casos? </v>
      </c>
    </row>
    <row r="773" spans="1:5" x14ac:dyDescent="0.25">
      <c r="A773">
        <v>772</v>
      </c>
      <c r="B773" t="s">
        <v>206</v>
      </c>
      <c r="C773">
        <v>0</v>
      </c>
      <c r="D773" t="str">
        <f t="shared" si="24"/>
        <v>*</v>
      </c>
      <c r="E773" t="str">
        <f t="shared" si="25"/>
        <v>a) Albergarlo en establecimientos de Promoción Social.</v>
      </c>
    </row>
    <row r="774" spans="1:5" x14ac:dyDescent="0.25">
      <c r="A774">
        <v>773</v>
      </c>
      <c r="B774" t="s">
        <v>207</v>
      </c>
      <c r="C774">
        <v>0</v>
      </c>
      <c r="D774" t="str">
        <f t="shared" si="24"/>
        <v>b</v>
      </c>
      <c r="E774" t="str">
        <f t="shared" si="25"/>
        <v>b) Derivarlo a un Hospital General de Agudos.</v>
      </c>
    </row>
    <row r="775" spans="1:5" x14ac:dyDescent="0.25">
      <c r="A775">
        <v>774</v>
      </c>
      <c r="B775" t="s">
        <v>208</v>
      </c>
      <c r="C775">
        <v>0</v>
      </c>
      <c r="D775" t="str">
        <f t="shared" si="24"/>
        <v>c</v>
      </c>
      <c r="E775" t="str">
        <f t="shared" si="25"/>
        <v>c) Otorgar el alta con seguimientos períodicos.</v>
      </c>
    </row>
    <row r="776" spans="1:5" x14ac:dyDescent="0.25">
      <c r="A776">
        <v>775</v>
      </c>
      <c r="B776" t="s">
        <v>209</v>
      </c>
      <c r="C776">
        <v>0</v>
      </c>
      <c r="D776" t="str">
        <f t="shared" si="24"/>
        <v>d</v>
      </c>
      <c r="E776" t="str">
        <f t="shared" si="25"/>
        <v>d) Prolongar la internación en la institución.</v>
      </c>
    </row>
    <row r="777" spans="1:5" x14ac:dyDescent="0.25">
      <c r="A777">
        <v>776</v>
      </c>
      <c r="B777" s="1" t="s">
        <v>1652</v>
      </c>
      <c r="C777">
        <v>1</v>
      </c>
      <c r="D777" t="str">
        <f t="shared" si="24"/>
        <v>R</v>
      </c>
      <c r="E777" t="str">
        <f t="shared" si="25"/>
        <v>Raquel, la mamá de Pedro, quien padece una discapacidad motora consulta al Servicio Social del centro de salud de referencia, dado que por diversas circunstancias no puede usufructuar el traslado gratuito de transporte colectivo entre su domicilio y el establecimiento educacional del niño. En base a la Ley 24.901 y considerando que Pedro tiene obra social. ¿Qué orientación le debe dar la trabajadora social acerca del beneficio correspondiente?</v>
      </c>
    </row>
    <row r="778" spans="1:5" x14ac:dyDescent="0.25">
      <c r="A778">
        <v>777</v>
      </c>
      <c r="B778" t="s">
        <v>210</v>
      </c>
      <c r="C778">
        <v>0</v>
      </c>
      <c r="D778" t="str">
        <f t="shared" si="24"/>
        <v>a</v>
      </c>
      <c r="E778" t="str">
        <f t="shared" si="25"/>
        <v>a) Requerir una maestra domiciliaria.</v>
      </c>
    </row>
    <row r="779" spans="1:5" x14ac:dyDescent="0.25">
      <c r="A779">
        <v>778</v>
      </c>
      <c r="B779" t="s">
        <v>211</v>
      </c>
      <c r="C779">
        <v>0</v>
      </c>
      <c r="D779" t="str">
        <f t="shared" si="24"/>
        <v>*</v>
      </c>
      <c r="E779" t="str">
        <f t="shared" si="25"/>
        <v>b) Requerir a su cobertura social un transporte especial.</v>
      </c>
    </row>
    <row r="780" spans="1:5" x14ac:dyDescent="0.25">
      <c r="A780">
        <v>779</v>
      </c>
      <c r="B780" t="s">
        <v>212</v>
      </c>
      <c r="C780">
        <v>0</v>
      </c>
      <c r="D780" t="str">
        <f t="shared" si="24"/>
        <v>c</v>
      </c>
      <c r="E780" t="str">
        <f t="shared" si="25"/>
        <v>c) Requerir que la escuela provea el transporte.</v>
      </c>
    </row>
    <row r="781" spans="1:5" x14ac:dyDescent="0.25">
      <c r="A781">
        <v>780</v>
      </c>
      <c r="B781" t="s">
        <v>213</v>
      </c>
      <c r="C781">
        <v>0</v>
      </c>
      <c r="D781" t="str">
        <f t="shared" si="24"/>
        <v>d</v>
      </c>
      <c r="E781" t="str">
        <f t="shared" si="25"/>
        <v>d) Tramitar el pase a una institución educativa mas cercana.</v>
      </c>
    </row>
    <row r="782" spans="1:5" x14ac:dyDescent="0.25">
      <c r="A782">
        <v>781</v>
      </c>
      <c r="B782" s="1" t="s">
        <v>1653</v>
      </c>
      <c r="C782">
        <v>1</v>
      </c>
      <c r="D782" t="str">
        <f t="shared" si="24"/>
        <v>E</v>
      </c>
      <c r="E782" t="str">
        <f t="shared" si="25"/>
        <v>El señor Lopez tiene dos hijos, uno de 12 años que cursa la escuela primaria y el otro de 23 declarado discapacitado, este concurre a un establecimiento oficial en el cual se le brindan servicios de rehabilitación. Según el artículo 14 Bis de la Ley 22.431. ¿Qué tiene derecho a percibir el señor Lopez junto con su salario, por su hijo discapacitado?</v>
      </c>
    </row>
    <row r="783" spans="1:5" x14ac:dyDescent="0.25">
      <c r="A783">
        <v>782</v>
      </c>
      <c r="B783" t="s">
        <v>214</v>
      </c>
      <c r="C783">
        <v>0</v>
      </c>
      <c r="D783" t="str">
        <f t="shared" si="24"/>
        <v>a</v>
      </c>
      <c r="E783" t="str">
        <f t="shared" si="25"/>
        <v>a) Una asignación por escolaridad equivalente a la que percibe por su hijo de 12 años.</v>
      </c>
    </row>
    <row r="784" spans="1:5" x14ac:dyDescent="0.25">
      <c r="A784">
        <v>783</v>
      </c>
      <c r="B784" t="s">
        <v>215</v>
      </c>
      <c r="C784">
        <v>0</v>
      </c>
      <c r="D784" t="str">
        <f t="shared" si="24"/>
        <v>b</v>
      </c>
      <c r="E784" t="str">
        <f t="shared" si="25"/>
        <v>b) Ninguna asignación porque su hijo discapacitado tiene mas de 21 años.</v>
      </c>
    </row>
    <row r="785" spans="1:5" x14ac:dyDescent="0.25">
      <c r="A785">
        <v>784</v>
      </c>
      <c r="B785" t="s">
        <v>398</v>
      </c>
      <c r="C785">
        <v>0</v>
      </c>
      <c r="D785" t="str">
        <f t="shared" si="24"/>
        <v>*</v>
      </c>
      <c r="E785" t="str">
        <f t="shared" si="25"/>
        <v>c) Una asignación por escolaridad que duplique el monto de la asignación percibida por su otro hijo.</v>
      </c>
    </row>
    <row r="786" spans="1:5" x14ac:dyDescent="0.25">
      <c r="A786">
        <v>785</v>
      </c>
      <c r="B786" t="s">
        <v>373</v>
      </c>
      <c r="C786">
        <v>0</v>
      </c>
      <c r="D786" t="str">
        <f t="shared" si="24"/>
        <v>d</v>
      </c>
      <c r="E786" t="str">
        <f t="shared" si="25"/>
        <v>d) Ninguna asignación porque su hijo discapacitado no asiste a un establecimiento de enseñanza primaria.</v>
      </c>
    </row>
    <row r="787" spans="1:5" x14ac:dyDescent="0.25">
      <c r="A787">
        <v>786</v>
      </c>
      <c r="B787" t="s">
        <v>1654</v>
      </c>
      <c r="C787">
        <v>1</v>
      </c>
      <c r="D787" t="str">
        <f t="shared" si="24"/>
        <v>J</v>
      </c>
      <c r="E787" t="str">
        <f t="shared" si="25"/>
        <v>Julieta tiene una discapacidad motora, es empleada en relación de dependencia en una empresa gastronómica. De acuerdo al Artículo 10 de la Ley 22.431. ¿Por su discapacidad, qué beneficios tiene Julieta?</v>
      </c>
    </row>
    <row r="788" spans="1:5" x14ac:dyDescent="0.25">
      <c r="A788">
        <v>787</v>
      </c>
      <c r="B788" t="s">
        <v>399</v>
      </c>
      <c r="C788">
        <v>0</v>
      </c>
      <c r="D788" t="str">
        <f t="shared" si="24"/>
        <v>a</v>
      </c>
      <c r="E788" t="str">
        <f t="shared" si="25"/>
        <v>a) Los mismos derechos y obligaciones que sus compañeros no discapacitados, más el 4 por ciento adicional sobre el total del sueldo anual complementario.</v>
      </c>
    </row>
    <row r="789" spans="1:5" x14ac:dyDescent="0.25">
      <c r="A789">
        <v>788</v>
      </c>
      <c r="B789" t="s">
        <v>413</v>
      </c>
      <c r="C789">
        <v>0</v>
      </c>
      <c r="D789" t="str">
        <f t="shared" si="24"/>
        <v>b</v>
      </c>
      <c r="E789" t="str">
        <f t="shared" si="25"/>
        <v xml:space="preserve">b) Jornada laboral con horario reducido para complementar su rehabilitación. </v>
      </c>
    </row>
    <row r="790" spans="1:5" x14ac:dyDescent="0.25">
      <c r="A790">
        <v>789</v>
      </c>
      <c r="B790" t="s">
        <v>217</v>
      </c>
      <c r="C790">
        <v>0</v>
      </c>
      <c r="D790" t="str">
        <f t="shared" si="24"/>
        <v>*</v>
      </c>
      <c r="E790" t="str">
        <f t="shared" si="25"/>
        <v>c) Los mismos derechos y obligaciones que sus compañeros no discapacitados.</v>
      </c>
    </row>
    <row r="791" spans="1:5" x14ac:dyDescent="0.25">
      <c r="A791">
        <v>790</v>
      </c>
      <c r="B791" t="s">
        <v>374</v>
      </c>
      <c r="C791">
        <v>0</v>
      </c>
      <c r="D791" t="str">
        <f t="shared" si="24"/>
        <v>d</v>
      </c>
      <c r="E791" t="str">
        <f t="shared" si="25"/>
        <v>d) La misma cantidad de días de licencia ordinaria que el resto de sus compañeros, mas 5 días hábiles extra anuales.</v>
      </c>
    </row>
    <row r="792" spans="1:5" x14ac:dyDescent="0.25">
      <c r="A792">
        <v>791</v>
      </c>
      <c r="B792" s="1" t="s">
        <v>1655</v>
      </c>
      <c r="C792">
        <v>1</v>
      </c>
      <c r="D792" t="str">
        <f t="shared" si="24"/>
        <v>U</v>
      </c>
      <c r="E792" t="str">
        <f t="shared" si="25"/>
        <v>Una adolescente de 15 años de edad cuya familia de origen reside en la provincia de Tucumán, tuvo a su hijo en un hospital público de la Ciudad de Buenos Aires. Tanto ella como su hijo se encuentran en condiciones de alta. Según la resolución 1342/05 de la Secretaría de Salud ¿Cómo debe proceder el equipo de salud del hospital?</v>
      </c>
    </row>
    <row r="793" spans="1:5" x14ac:dyDescent="0.25">
      <c r="A793">
        <v>792</v>
      </c>
      <c r="B793" t="s">
        <v>375</v>
      </c>
      <c r="C793">
        <v>0</v>
      </c>
      <c r="D793" t="str">
        <f t="shared" si="24"/>
        <v>a</v>
      </c>
      <c r="E793" t="str">
        <f t="shared" si="25"/>
        <v>a) Dando intervención al Consejo de derechos de niñas niños y adolescentes de la Ciudad de Buenos Aires, por tratarse de una menor.</v>
      </c>
    </row>
    <row r="794" spans="1:5" x14ac:dyDescent="0.25">
      <c r="A794">
        <v>793</v>
      </c>
      <c r="B794" t="s">
        <v>376</v>
      </c>
      <c r="C794">
        <v>0</v>
      </c>
      <c r="D794" t="str">
        <f t="shared" si="24"/>
        <v>b</v>
      </c>
      <c r="E794" t="str">
        <f t="shared" si="25"/>
        <v>b) Exige a la madre la iniciación del trámite del DNI del recién nacido como condición para otorgar el alta.</v>
      </c>
    </row>
    <row r="795" spans="1:5" x14ac:dyDescent="0.25">
      <c r="A795">
        <v>794</v>
      </c>
      <c r="B795" t="s">
        <v>377</v>
      </c>
      <c r="C795">
        <v>0</v>
      </c>
      <c r="D795" t="str">
        <f t="shared" si="24"/>
        <v>*</v>
      </c>
      <c r="E795" t="str">
        <f t="shared" si="25"/>
        <v>c) Le otorga el alta a la madre y al niño, pudiendo retirarse por sus propios medios sin un acompañante adulto.</v>
      </c>
    </row>
    <row r="796" spans="1:5" x14ac:dyDescent="0.25">
      <c r="A796">
        <v>795</v>
      </c>
      <c r="B796" t="s">
        <v>378</v>
      </c>
      <c r="C796">
        <v>0</v>
      </c>
      <c r="D796" t="str">
        <f t="shared" si="24"/>
        <v>d</v>
      </c>
      <c r="E796" t="str">
        <f t="shared" si="25"/>
        <v>d) Prolonga su internación hasta tanto se presente algún integrante adulto de la familia de origen de la Madre.</v>
      </c>
    </row>
    <row r="797" spans="1:5" x14ac:dyDescent="0.25">
      <c r="A797">
        <v>796</v>
      </c>
      <c r="B797" s="1" t="s">
        <v>1656</v>
      </c>
      <c r="C797">
        <v>1</v>
      </c>
      <c r="D797" t="str">
        <f t="shared" si="24"/>
        <v>U</v>
      </c>
      <c r="E797" t="str">
        <f t="shared" si="25"/>
        <v>Una joven de 18 años, con DNI en mal estado acude al Servicio de Salud Sexual y Reproductiva de un Centro de Salud dependiente del G.C.B.A. Solicita asesoramiento y la provisión de un método anticonceptivo. Según la resolución 1253/05, Artículo 1 de la Secretaría de Salud ¿Cómo debe proceder el profesional interviniente?</v>
      </c>
    </row>
    <row r="798" spans="1:5" x14ac:dyDescent="0.25">
      <c r="A798">
        <v>797</v>
      </c>
      <c r="B798" t="s">
        <v>379</v>
      </c>
      <c r="C798">
        <v>0</v>
      </c>
      <c r="D798" t="str">
        <f t="shared" si="24"/>
        <v>a</v>
      </c>
      <c r="E798" t="str">
        <f t="shared" si="25"/>
        <v>a) Le brinda asesoramiento pero no le entrega el método anticonceptivo, hasta tanto no tramite su nuevo DNI.</v>
      </c>
    </row>
    <row r="799" spans="1:5" x14ac:dyDescent="0.25">
      <c r="A799">
        <v>798</v>
      </c>
      <c r="B799" t="s">
        <v>218</v>
      </c>
      <c r="C799">
        <v>0</v>
      </c>
      <c r="D799" t="str">
        <f t="shared" si="24"/>
        <v>*</v>
      </c>
      <c r="E799" t="str">
        <f t="shared" si="25"/>
        <v>b) Le brinda asesoramiento y provee el método.</v>
      </c>
    </row>
    <row r="800" spans="1:5" x14ac:dyDescent="0.25">
      <c r="A800">
        <v>799</v>
      </c>
      <c r="B800" t="s">
        <v>380</v>
      </c>
      <c r="C800">
        <v>0</v>
      </c>
      <c r="D800" t="str">
        <f t="shared" si="24"/>
        <v>c</v>
      </c>
      <c r="E800" t="str">
        <f t="shared" si="25"/>
        <v>c) Le solicita que concurra acompañada de un adulto responsable para brindarle el asesoramiento y la provisión del método.</v>
      </c>
    </row>
    <row r="801" spans="1:5" x14ac:dyDescent="0.25">
      <c r="A801">
        <v>800</v>
      </c>
      <c r="B801" t="s">
        <v>219</v>
      </c>
      <c r="C801">
        <v>0</v>
      </c>
      <c r="D801" t="str">
        <f t="shared" si="24"/>
        <v>d</v>
      </c>
      <c r="E801" t="str">
        <f t="shared" si="25"/>
        <v>d) Le niega el asesoramiento y la provisión del método por el mal estado de su DNI.</v>
      </c>
    </row>
    <row r="802" spans="1:5" x14ac:dyDescent="0.25">
      <c r="A802">
        <v>801</v>
      </c>
      <c r="B802" s="1" t="s">
        <v>1657</v>
      </c>
      <c r="C802">
        <v>1</v>
      </c>
      <c r="D802" t="str">
        <f t="shared" si="24"/>
        <v>D</v>
      </c>
      <c r="E802" t="str">
        <f t="shared" si="25"/>
        <v>Desde el Centro de Salud y Acción Comunitaria Nº 12, se plantea realizar talleres de promoción de la Ley 418 de Salud Sexual y Reproductiva, en diferentes espacios comunitarios. En concordancia con la población destinataria de dicha ley. ¿ A quiénes estarían dirigidas las acciones?</v>
      </c>
    </row>
    <row r="803" spans="1:5" x14ac:dyDescent="0.25">
      <c r="A803">
        <v>802</v>
      </c>
      <c r="B803" t="s">
        <v>220</v>
      </c>
      <c r="C803">
        <v>0</v>
      </c>
      <c r="D803" t="str">
        <f t="shared" si="24"/>
        <v>a</v>
      </c>
      <c r="E803" t="str">
        <f t="shared" si="25"/>
        <v>a) Adolescentes.</v>
      </c>
    </row>
    <row r="804" spans="1:5" x14ac:dyDescent="0.25">
      <c r="A804">
        <v>803</v>
      </c>
      <c r="B804" t="s">
        <v>221</v>
      </c>
      <c r="C804">
        <v>0</v>
      </c>
      <c r="D804" t="str">
        <f t="shared" ref="D804:D867" si="26">+MID(B804,1,1)</f>
        <v>b</v>
      </c>
      <c r="E804" t="str">
        <f t="shared" si="25"/>
        <v>b) Mujeres mayores de 21 años.</v>
      </c>
    </row>
    <row r="805" spans="1:5" x14ac:dyDescent="0.25">
      <c r="A805">
        <v>804</v>
      </c>
      <c r="B805" t="s">
        <v>222</v>
      </c>
      <c r="C805">
        <v>0</v>
      </c>
      <c r="D805" t="str">
        <f t="shared" si="26"/>
        <v>c</v>
      </c>
      <c r="E805" t="str">
        <f t="shared" si="25"/>
        <v>c) Población con domicilio en el área de responsabilidad del Centro de Salud.</v>
      </c>
    </row>
    <row r="806" spans="1:5" x14ac:dyDescent="0.25">
      <c r="A806">
        <v>805</v>
      </c>
      <c r="B806" t="s">
        <v>223</v>
      </c>
      <c r="C806">
        <v>0</v>
      </c>
      <c r="D806" t="str">
        <f t="shared" si="26"/>
        <v>*</v>
      </c>
      <c r="E806" t="str">
        <f t="shared" si="25"/>
        <v>d) Población en general, especialmente las personas en edad fértil.</v>
      </c>
    </row>
    <row r="807" spans="1:5" x14ac:dyDescent="0.25">
      <c r="A807">
        <v>806</v>
      </c>
      <c r="B807" s="1" t="s">
        <v>1658</v>
      </c>
      <c r="C807">
        <v>1</v>
      </c>
      <c r="D807" t="str">
        <f t="shared" si="26"/>
        <v>V</v>
      </c>
      <c r="E807" t="str">
        <f t="shared" si="25"/>
        <v>Vanina tiene 23 años, vive en Barrio Mitre junto a su pareja y sus dos hermanos de 8 y 12 años. Desde hace 3 años asumió la crianza de los hermanos luego del fallecimiento de sus padres. No tiene un trabajo estable y las changas que realiza son el único ingreso del hogar. En ocasión de un control de salud de los niños Vanina consulta en el Servicio Social sobre la posibilidad de adoptar a sus hermanos. ¿Cuál es el motivo por el cual la trabajadora social le informa que esto no será posible?</v>
      </c>
    </row>
    <row r="808" spans="1:5" x14ac:dyDescent="0.25">
      <c r="A808">
        <v>807</v>
      </c>
      <c r="B808" t="s">
        <v>224</v>
      </c>
      <c r="C808">
        <v>0</v>
      </c>
      <c r="D808" t="str">
        <f t="shared" si="26"/>
        <v>a</v>
      </c>
      <c r="E808" t="str">
        <f t="shared" si="25"/>
        <v>a) No esta casada legalmente.</v>
      </c>
    </row>
    <row r="809" spans="1:5" x14ac:dyDescent="0.25">
      <c r="A809">
        <v>808</v>
      </c>
      <c r="B809" t="s">
        <v>225</v>
      </c>
      <c r="C809">
        <v>0</v>
      </c>
      <c r="D809" t="str">
        <f t="shared" si="26"/>
        <v>b</v>
      </c>
      <c r="E809" t="str">
        <f t="shared" si="25"/>
        <v>b) Carece de la edad necesaria.</v>
      </c>
    </row>
    <row r="810" spans="1:5" x14ac:dyDescent="0.25">
      <c r="A810">
        <v>809</v>
      </c>
      <c r="B810" t="s">
        <v>226</v>
      </c>
      <c r="C810">
        <v>0</v>
      </c>
      <c r="D810" t="str">
        <f t="shared" si="26"/>
        <v>*</v>
      </c>
      <c r="E810" t="str">
        <f t="shared" si="25"/>
        <v>c) No puede adoptar a sus hermanos o medio hermanos.</v>
      </c>
    </row>
    <row r="811" spans="1:5" x14ac:dyDescent="0.25">
      <c r="A811">
        <v>810</v>
      </c>
      <c r="B811" t="s">
        <v>227</v>
      </c>
      <c r="C811">
        <v>0</v>
      </c>
      <c r="D811" t="str">
        <f t="shared" si="26"/>
        <v>d</v>
      </c>
      <c r="E811" t="str">
        <f t="shared" si="25"/>
        <v>d) Sus ingresos económicos no son estables.</v>
      </c>
    </row>
    <row r="812" spans="1:5" x14ac:dyDescent="0.25">
      <c r="A812">
        <v>811</v>
      </c>
      <c r="B812" t="s">
        <v>1706</v>
      </c>
      <c r="C812">
        <v>1</v>
      </c>
      <c r="D812" t="str">
        <f t="shared" si="26"/>
        <v>J</v>
      </c>
      <c r="E812" t="str">
        <f t="shared" si="25"/>
        <v>Juan y Ana tienen 27 y 25 años respectivamente, se casaron recientemente y desean adoptar un bebé. ¿Qué podrán hacer de acuerdo a lo estipulado por la Ley 24779?</v>
      </c>
    </row>
    <row r="813" spans="1:5" x14ac:dyDescent="0.25">
      <c r="A813">
        <v>812</v>
      </c>
      <c r="B813" t="s">
        <v>228</v>
      </c>
      <c r="C813">
        <v>0</v>
      </c>
      <c r="D813" t="str">
        <f t="shared" si="26"/>
        <v>*</v>
      </c>
      <c r="E813" t="str">
        <f t="shared" si="25"/>
        <v>a) Sólo podrán concretar la adopción si estan casados legalmente desde hace 3 años.</v>
      </c>
    </row>
    <row r="814" spans="1:5" x14ac:dyDescent="0.25">
      <c r="A814">
        <v>813</v>
      </c>
      <c r="B814" t="s">
        <v>229</v>
      </c>
      <c r="C814">
        <v>0</v>
      </c>
      <c r="D814" t="str">
        <f t="shared" si="26"/>
        <v>b</v>
      </c>
      <c r="E814" t="str">
        <f t="shared" si="25"/>
        <v>b) Deberán comprobar la infertilidad de ambos.</v>
      </c>
    </row>
    <row r="815" spans="1:5" x14ac:dyDescent="0.25">
      <c r="A815">
        <v>814</v>
      </c>
      <c r="B815" t="s">
        <v>230</v>
      </c>
      <c r="C815">
        <v>0</v>
      </c>
      <c r="D815" t="str">
        <f t="shared" si="26"/>
        <v>c</v>
      </c>
      <c r="E815" t="str">
        <f t="shared" si="25"/>
        <v>c) Podrán adoptar un bebé porque son personas mayores de 21 años.</v>
      </c>
    </row>
    <row r="816" spans="1:5" x14ac:dyDescent="0.25">
      <c r="A816">
        <v>815</v>
      </c>
      <c r="B816" t="s">
        <v>381</v>
      </c>
      <c r="C816">
        <v>0</v>
      </c>
      <c r="D816" t="str">
        <f t="shared" si="26"/>
        <v>d</v>
      </c>
      <c r="E816" t="str">
        <f t="shared" si="25"/>
        <v>d) Solamente podrán adoptar un bebé si la trabajadora social confirma que cuentan con la solvencia económica para asumir la crianza.</v>
      </c>
    </row>
    <row r="817" spans="1:5" x14ac:dyDescent="0.25">
      <c r="A817">
        <v>816</v>
      </c>
      <c r="B817" s="1" t="s">
        <v>1660</v>
      </c>
      <c r="C817">
        <v>1</v>
      </c>
      <c r="D817" t="str">
        <f t="shared" si="26"/>
        <v>S</v>
      </c>
      <c r="E817" t="str">
        <f t="shared" si="25"/>
        <v>Se presenta una joven de 18 años en el Servicio Social de un hospital solicitando asesoramiento respecto a la posibilidad de contraer matrimonio con su novio de la misma edad. Si se considera lo dispuesto por la Ley 23.515 ¿Con el consentimiento de quiénes podrán hacerlo?</v>
      </c>
    </row>
    <row r="818" spans="1:5" x14ac:dyDescent="0.25">
      <c r="A818">
        <v>817</v>
      </c>
      <c r="B818" t="s">
        <v>231</v>
      </c>
      <c r="C818">
        <v>0</v>
      </c>
      <c r="D818" t="str">
        <f t="shared" si="26"/>
        <v>a</v>
      </c>
      <c r="E818" t="str">
        <f t="shared" si="25"/>
        <v>a) Ellos mismos si se encuentran emancipados.</v>
      </c>
    </row>
    <row r="819" spans="1:5" x14ac:dyDescent="0.25">
      <c r="A819">
        <v>818</v>
      </c>
      <c r="B819" t="s">
        <v>232</v>
      </c>
      <c r="C819">
        <v>0</v>
      </c>
      <c r="D819" t="str">
        <f t="shared" si="26"/>
        <v>b</v>
      </c>
      <c r="E819" t="str">
        <f t="shared" si="25"/>
        <v>b) Ellos mismos aún cuando no se encontraran emancipados.</v>
      </c>
    </row>
    <row r="820" spans="1:5" x14ac:dyDescent="0.25">
      <c r="A820">
        <v>819</v>
      </c>
      <c r="B820" t="s">
        <v>233</v>
      </c>
      <c r="C820">
        <v>0</v>
      </c>
      <c r="D820" t="str">
        <f t="shared" si="26"/>
        <v>*</v>
      </c>
      <c r="E820" t="str">
        <f t="shared" si="25"/>
        <v>c) Sus padres o tutores.</v>
      </c>
    </row>
    <row r="821" spans="1:5" x14ac:dyDescent="0.25">
      <c r="A821">
        <v>820</v>
      </c>
      <c r="B821" t="s">
        <v>234</v>
      </c>
      <c r="C821">
        <v>0</v>
      </c>
      <c r="D821" t="str">
        <f t="shared" si="26"/>
        <v>d</v>
      </c>
      <c r="E821" t="str">
        <f t="shared" si="25"/>
        <v>d) El ministerio público.</v>
      </c>
    </row>
    <row r="822" spans="1:5" x14ac:dyDescent="0.25">
      <c r="A822">
        <v>821</v>
      </c>
      <c r="B822" s="1" t="s">
        <v>1661</v>
      </c>
      <c r="C822">
        <v>1</v>
      </c>
      <c r="D822" t="str">
        <f t="shared" si="26"/>
        <v>L</v>
      </c>
      <c r="E822" t="str">
        <f t="shared" si="25"/>
        <v>Laura vive sola con su hijo de 1 año y ambos se atienden en un centro de salud de la zona. Allí mantiene una entrevista con una trabajadora social en la que relata que desde pequeña padece una enfermedad muscular que le impide trabajar pero que esto se torna un problema luego de su divorcio, ya que antes resolvía su subsistencia a partir de los ingresos de su marido. ¿Sobre qué debería ser asesorada si se tiene en cuenta la Ley 23.515?</v>
      </c>
    </row>
    <row r="823" spans="1:5" x14ac:dyDescent="0.25">
      <c r="A823">
        <v>822</v>
      </c>
      <c r="B823" t="s">
        <v>235</v>
      </c>
      <c r="C823">
        <v>0</v>
      </c>
      <c r="D823" t="str">
        <f t="shared" si="26"/>
        <v>a</v>
      </c>
      <c r="E823" t="str">
        <f t="shared" si="25"/>
        <v>a) La conveniencia de pedir un aumento en la cuota de alimentos para su hijo.</v>
      </c>
    </row>
    <row r="824" spans="1:5" x14ac:dyDescent="0.25">
      <c r="A824">
        <v>823</v>
      </c>
      <c r="B824" t="s">
        <v>236</v>
      </c>
      <c r="C824">
        <v>0</v>
      </c>
      <c r="D824" t="str">
        <f t="shared" si="26"/>
        <v>*</v>
      </c>
      <c r="E824" t="str">
        <f t="shared" si="25"/>
        <v>b) Su derecho a ser asistida por su ex marido.</v>
      </c>
    </row>
    <row r="825" spans="1:5" x14ac:dyDescent="0.25">
      <c r="A825">
        <v>824</v>
      </c>
      <c r="B825" t="s">
        <v>237</v>
      </c>
      <c r="C825">
        <v>0</v>
      </c>
      <c r="D825" t="str">
        <f t="shared" si="26"/>
        <v>c</v>
      </c>
      <c r="E825" t="str">
        <f t="shared" si="25"/>
        <v>c) Su derecho a recibir una ayuda económica estatal.</v>
      </c>
    </row>
    <row r="826" spans="1:5" x14ac:dyDescent="0.25">
      <c r="A826">
        <v>825</v>
      </c>
      <c r="B826" t="s">
        <v>238</v>
      </c>
      <c r="C826">
        <v>0</v>
      </c>
      <c r="D826" t="str">
        <f t="shared" si="26"/>
        <v>d</v>
      </c>
      <c r="E826" t="str">
        <f t="shared" si="25"/>
        <v>d) La posibilidad de ortorgar al padre la tenencia de su hijo para aliviar sus gastos.</v>
      </c>
    </row>
    <row r="827" spans="1:5" x14ac:dyDescent="0.25">
      <c r="A827">
        <v>826</v>
      </c>
      <c r="B827" s="1" t="s">
        <v>1662</v>
      </c>
      <c r="C827">
        <v>1</v>
      </c>
      <c r="D827" t="str">
        <f t="shared" si="26"/>
        <v>U</v>
      </c>
      <c r="E827" t="str">
        <f t="shared" si="25"/>
        <v>Una trabajadora social de un hospital ha sido sancionada por negligencia frecuente en el cumplimiento de sus deberes profesionales. Según el artículo 32 de la Ley de Ejercicio Profesional.¿Cúal de estas medidas disciplinarias no le compete apoptar al Consejo Profesional?</v>
      </c>
    </row>
    <row r="828" spans="1:5" x14ac:dyDescent="0.25">
      <c r="A828">
        <v>827</v>
      </c>
      <c r="B828" t="s">
        <v>239</v>
      </c>
      <c r="C828">
        <v>0</v>
      </c>
      <c r="D828" t="str">
        <f t="shared" si="26"/>
        <v>a</v>
      </c>
      <c r="E828" t="str">
        <f t="shared" si="25"/>
        <v>a) LLamado de atención o advertencia en presencia de la Comisión Directiva.</v>
      </c>
    </row>
    <row r="829" spans="1:5" x14ac:dyDescent="0.25">
      <c r="A829">
        <v>828</v>
      </c>
      <c r="B829" t="s">
        <v>240</v>
      </c>
      <c r="C829">
        <v>0</v>
      </c>
      <c r="D829" t="str">
        <f t="shared" si="26"/>
        <v>*</v>
      </c>
      <c r="E829" t="str">
        <f t="shared" si="25"/>
        <v>b) Cambio del area de desempeñp profesional.</v>
      </c>
    </row>
    <row r="830" spans="1:5" x14ac:dyDescent="0.25">
      <c r="A830">
        <v>829</v>
      </c>
      <c r="B830" t="s">
        <v>241</v>
      </c>
      <c r="C830">
        <v>0</v>
      </c>
      <c r="D830" t="str">
        <f t="shared" si="26"/>
        <v>c</v>
      </c>
      <c r="E830" t="str">
        <f t="shared" si="25"/>
        <v>c) Multa.</v>
      </c>
    </row>
    <row r="831" spans="1:5" x14ac:dyDescent="0.25">
      <c r="A831">
        <v>830</v>
      </c>
      <c r="B831" t="s">
        <v>242</v>
      </c>
      <c r="C831">
        <v>0</v>
      </c>
      <c r="D831" t="str">
        <f t="shared" si="26"/>
        <v>d</v>
      </c>
      <c r="E831" t="str">
        <f t="shared" si="25"/>
        <v>d) Suspensión.</v>
      </c>
    </row>
    <row r="832" spans="1:5" x14ac:dyDescent="0.25">
      <c r="A832">
        <v>831</v>
      </c>
      <c r="B832" s="1" t="s">
        <v>1663</v>
      </c>
      <c r="C832">
        <v>1</v>
      </c>
      <c r="D832" t="str">
        <f t="shared" si="26"/>
        <v>U</v>
      </c>
      <c r="E832" t="str">
        <f t="shared" si="25"/>
        <v>Una mujer adulta concurre con su pareja a retirar el resultado de un testeo de VIH en el Hospital Santojanni, obteniendo un resultado positivo. Ante este hecho. ¿Cúales son las acciones que no está obligado a realizar el personal de ese efector según la Ley 23.798?</v>
      </c>
    </row>
    <row r="833" spans="1:5" x14ac:dyDescent="0.25">
      <c r="A833">
        <v>832</v>
      </c>
      <c r="B833" t="s">
        <v>243</v>
      </c>
      <c r="C833">
        <v>0</v>
      </c>
      <c r="D833" t="str">
        <f t="shared" si="26"/>
        <v>a</v>
      </c>
      <c r="E833" t="str">
        <f t="shared" si="25"/>
        <v>a) Asesorarla sobre su derecho a recibir asistencia adecuada.</v>
      </c>
    </row>
    <row r="834" spans="1:5" x14ac:dyDescent="0.25">
      <c r="A834">
        <v>833</v>
      </c>
      <c r="B834" t="s">
        <v>244</v>
      </c>
      <c r="C834">
        <v>0</v>
      </c>
      <c r="D834" t="str">
        <f t="shared" si="26"/>
        <v>b</v>
      </c>
      <c r="E834" t="str">
        <f t="shared" si="25"/>
        <v>b) Informar a la mujer sobre el carácter infecto contagioso del virus.</v>
      </c>
    </row>
    <row r="835" spans="1:5" x14ac:dyDescent="0.25">
      <c r="A835">
        <v>834</v>
      </c>
      <c r="B835" t="s">
        <v>245</v>
      </c>
      <c r="C835">
        <v>0</v>
      </c>
      <c r="D835" t="str">
        <f t="shared" si="26"/>
        <v>c</v>
      </c>
      <c r="E835" t="str">
        <f t="shared" ref="E835:E898" si="27">+IF(D835="*",MID(B835,3,500),B835)</f>
        <v>c) Notificar dentro de 48 horas a la autoridad sanitaria correspondiente.</v>
      </c>
    </row>
    <row r="836" spans="1:5" x14ac:dyDescent="0.25">
      <c r="A836">
        <v>835</v>
      </c>
      <c r="B836" t="s">
        <v>246</v>
      </c>
      <c r="C836">
        <v>0</v>
      </c>
      <c r="D836" t="str">
        <f t="shared" si="26"/>
        <v>*</v>
      </c>
      <c r="E836" t="str">
        <f t="shared" si="27"/>
        <v>d) Prescribir las pruebas diagnósticas a la pareja.</v>
      </c>
    </row>
    <row r="837" spans="1:5" x14ac:dyDescent="0.25">
      <c r="A837">
        <v>836</v>
      </c>
      <c r="B837" s="1" t="s">
        <v>1664</v>
      </c>
      <c r="C837">
        <v>1</v>
      </c>
      <c r="D837" t="str">
        <f t="shared" si="26"/>
        <v>E</v>
      </c>
      <c r="E837" t="str">
        <f t="shared" si="27"/>
        <v>En el marco de actividades de un Cepad (Centro de Prevención, Asesoramiento y Diagnóstico), un profesional está manteniendo una entrevista con un adolescente que ha decidido realizar un test de VIH. Según la Ley 23.798. ¿Qué acciones deberá realizar este profesional?</v>
      </c>
    </row>
    <row r="838" spans="1:5" x14ac:dyDescent="0.25">
      <c r="A838">
        <v>837</v>
      </c>
      <c r="B838" t="s">
        <v>247</v>
      </c>
      <c r="C838">
        <v>0</v>
      </c>
      <c r="D838" t="str">
        <f t="shared" si="26"/>
        <v>a</v>
      </c>
      <c r="E838" t="str">
        <f t="shared" si="27"/>
        <v>a) Informar sobre los factores de riesgo de adquirir el virus.</v>
      </c>
    </row>
    <row r="839" spans="1:5" x14ac:dyDescent="0.25">
      <c r="A839">
        <v>838</v>
      </c>
      <c r="B839" t="s">
        <v>248</v>
      </c>
      <c r="C839">
        <v>0</v>
      </c>
      <c r="D839" t="str">
        <f t="shared" si="26"/>
        <v>b</v>
      </c>
      <c r="E839" t="str">
        <f t="shared" si="27"/>
        <v>b) Explicar en qué consiste el tratamiento de la enfermedad.</v>
      </c>
    </row>
    <row r="840" spans="1:5" x14ac:dyDescent="0.25">
      <c r="A840">
        <v>839</v>
      </c>
      <c r="B840" t="s">
        <v>249</v>
      </c>
      <c r="C840">
        <v>0</v>
      </c>
      <c r="D840" t="str">
        <f t="shared" si="26"/>
        <v>c</v>
      </c>
      <c r="E840" t="str">
        <f t="shared" si="27"/>
        <v>c) Pedir la autorización personal o escrita de los padres o responsables.</v>
      </c>
    </row>
    <row r="841" spans="1:5" x14ac:dyDescent="0.25">
      <c r="A841">
        <v>840</v>
      </c>
      <c r="B841" t="s">
        <v>250</v>
      </c>
      <c r="C841">
        <v>0</v>
      </c>
      <c r="D841" t="str">
        <f t="shared" si="26"/>
        <v>*</v>
      </c>
      <c r="E841" t="str">
        <f t="shared" si="27"/>
        <v>d) Solicitar consentimiento y asegurar confidencialidad.</v>
      </c>
    </row>
    <row r="842" spans="1:5" x14ac:dyDescent="0.25">
      <c r="A842">
        <v>841</v>
      </c>
      <c r="B842" s="1" t="s">
        <v>1665</v>
      </c>
      <c r="C842">
        <v>1</v>
      </c>
      <c r="D842" t="str">
        <f t="shared" si="26"/>
        <v>E</v>
      </c>
      <c r="E842" t="str">
        <f t="shared" si="27"/>
        <v>Esteban de 14 años se encuentra internado en el Servicio de Pediatría del Hospital Durand, ingresa por guardia al sufrir una intoxicación por consumo de pasta base. De la entrevista social surge que el niño se encuentra en situación de calle, sin acompañamiento de un referente adulto y sin un medio familiar continente. Según la Ley Nacional 26.061. ¿A quién deberá comunicar el equipo de salud, esta circunstancia que constituye una situación de vulneración de derechos?</v>
      </c>
    </row>
    <row r="843" spans="1:5" x14ac:dyDescent="0.25">
      <c r="A843">
        <v>842</v>
      </c>
      <c r="B843" t="s">
        <v>251</v>
      </c>
      <c r="C843">
        <v>0</v>
      </c>
      <c r="D843" t="str">
        <f t="shared" si="26"/>
        <v>a</v>
      </c>
      <c r="E843" t="str">
        <f t="shared" si="27"/>
        <v>a) A la Asesoría Tutelar de Menores e Incapaces del Gobierno de la Ciudad.</v>
      </c>
    </row>
    <row r="844" spans="1:5" x14ac:dyDescent="0.25">
      <c r="A844">
        <v>843</v>
      </c>
      <c r="B844" t="s">
        <v>382</v>
      </c>
      <c r="C844">
        <v>0</v>
      </c>
      <c r="D844" t="str">
        <f t="shared" si="26"/>
        <v>*</v>
      </c>
      <c r="E844" t="str">
        <f t="shared" si="27"/>
        <v>b) Al Consejo de los Derechos de niñas, niños y adolescentes del Gobierno de la Ciudad de Buenos Aires.</v>
      </c>
    </row>
    <row r="845" spans="1:5" x14ac:dyDescent="0.25">
      <c r="A845">
        <v>844</v>
      </c>
      <c r="B845" t="s">
        <v>252</v>
      </c>
      <c r="C845">
        <v>0</v>
      </c>
      <c r="D845" t="str">
        <f t="shared" si="26"/>
        <v>c</v>
      </c>
      <c r="E845" t="str">
        <f t="shared" si="27"/>
        <v>c) Al Consejo Nacional del Niño, el Adolescente y la Familia.</v>
      </c>
    </row>
    <row r="846" spans="1:5" x14ac:dyDescent="0.25">
      <c r="A846">
        <v>845</v>
      </c>
      <c r="B846" t="s">
        <v>253</v>
      </c>
      <c r="C846">
        <v>0</v>
      </c>
      <c r="D846" t="str">
        <f t="shared" si="26"/>
        <v>d</v>
      </c>
      <c r="E846" t="str">
        <f t="shared" si="27"/>
        <v>d) A la seccional policial que corresponde a la jurisdicción del hospital.</v>
      </c>
    </row>
    <row r="847" spans="1:5" x14ac:dyDescent="0.25">
      <c r="A847">
        <v>846</v>
      </c>
      <c r="B847" s="1" t="s">
        <v>1666</v>
      </c>
      <c r="C847">
        <v>1</v>
      </c>
      <c r="D847" t="str">
        <f t="shared" si="26"/>
        <v>J</v>
      </c>
      <c r="E847" t="str">
        <f t="shared" si="27"/>
        <v>Juana de 32 años se acerca al Servicio Social del Centro de Salud de su barrio; se encuentra con sus tres hijos pequeños de 9, 6 y 3 años y en un estado de gran angustia. En la entrevista social la joven mujer comenta estar desocupada hace varios meses, al igual que su marido y no disponer de recursos para atender a las necesidades mas básicas de sus niños, como ser la alimentación. Asimismo, expresa encontrarse ante un inminente desalojo de la precaria vivienda en donde habitan. Según la Ley 26.061 ¿Qué medidas de protección deben adoptarse ante esta situación?</v>
      </c>
    </row>
    <row r="848" spans="1:5" x14ac:dyDescent="0.25">
      <c r="A848">
        <v>847</v>
      </c>
      <c r="B848" t="s">
        <v>414</v>
      </c>
      <c r="C848">
        <v>0</v>
      </c>
      <c r="D848" t="str">
        <f t="shared" si="26"/>
        <v>*</v>
      </c>
      <c r="E848" t="str">
        <f t="shared" si="27"/>
        <v xml:space="preserve">a) La inclusión de los niños y la familia en programas destinados al fortalecimiento y apoyo familiar. </v>
      </c>
    </row>
    <row r="849" spans="1:5" x14ac:dyDescent="0.25">
      <c r="A849">
        <v>848</v>
      </c>
      <c r="B849" t="s">
        <v>384</v>
      </c>
      <c r="C849">
        <v>0</v>
      </c>
      <c r="D849" t="str">
        <f t="shared" si="26"/>
        <v>b</v>
      </c>
      <c r="E849" t="str">
        <f t="shared" si="27"/>
        <v>b) La inclusión únicamente de los niños en algún comedor de su zona para atender la necesidad de alimentación.</v>
      </c>
    </row>
    <row r="850" spans="1:5" x14ac:dyDescent="0.25">
      <c r="A850">
        <v>849</v>
      </c>
      <c r="B850" t="s">
        <v>254</v>
      </c>
      <c r="C850">
        <v>0</v>
      </c>
      <c r="D850" t="str">
        <f t="shared" si="26"/>
        <v>c</v>
      </c>
      <c r="E850" t="str">
        <f t="shared" si="27"/>
        <v>c) La separación permanente de los niños de su familia nuclear y su institucionalización.</v>
      </c>
    </row>
    <row r="851" spans="1:5" x14ac:dyDescent="0.25">
      <c r="A851">
        <v>850</v>
      </c>
      <c r="B851" t="s">
        <v>385</v>
      </c>
      <c r="C851">
        <v>0</v>
      </c>
      <c r="D851" t="str">
        <f t="shared" si="26"/>
        <v>d</v>
      </c>
      <c r="E851" t="str">
        <f t="shared" si="27"/>
        <v>d) La separación transitoria de los niños de su medio familiar hasta que se solucione la problemática social.</v>
      </c>
    </row>
    <row r="852" spans="1:5" x14ac:dyDescent="0.25">
      <c r="A852">
        <v>851</v>
      </c>
      <c r="B852" s="1" t="s">
        <v>1667</v>
      </c>
      <c r="C852">
        <v>1</v>
      </c>
      <c r="D852" t="str">
        <f t="shared" si="26"/>
        <v>S</v>
      </c>
      <c r="E852" t="str">
        <f t="shared" si="27"/>
        <v>Sandra de 29 años de edad, concurre a un Centro de Salud del Gobierno de la Ciudad, en la entrevista con la trabajadora social, Sandra expresa ser víctima, desde hace aproximadamente un año, de violencia física y verbal por parte de su pareja conviviente. Explica que las agresiones se han agudizado en los últimos meses, encontrándose, actualmente preocupada y con temor por su seguridad física. Sandra desea saber las acciones que se podrían llevar a cabo para detener rapidamente la violencia, de su pareja. Según la Ley 24.417, una vez realizada la denuncia correspondiente. ¿Qué medida cautelar deberá adoptar el Juez para resguardar la integridad física del damnificado?</v>
      </c>
    </row>
    <row r="853" spans="1:5" x14ac:dyDescent="0.25">
      <c r="A853">
        <v>852</v>
      </c>
      <c r="B853" t="s">
        <v>255</v>
      </c>
      <c r="C853">
        <v>0</v>
      </c>
      <c r="D853" t="str">
        <f t="shared" si="26"/>
        <v>a</v>
      </c>
      <c r="E853" t="str">
        <f t="shared" si="27"/>
        <v>a) Brindar al agresor asistencia médica psicológica gratuita.</v>
      </c>
    </row>
    <row r="854" spans="1:5" x14ac:dyDescent="0.25">
      <c r="A854">
        <v>853</v>
      </c>
      <c r="B854" t="s">
        <v>256</v>
      </c>
      <c r="C854">
        <v>0</v>
      </c>
      <c r="D854" t="str">
        <f t="shared" si="26"/>
        <v>b</v>
      </c>
      <c r="E854" t="str">
        <f t="shared" si="27"/>
        <v>b) Convocar a las partes a una audiencia de mediación.</v>
      </c>
    </row>
    <row r="855" spans="1:5" x14ac:dyDescent="0.25">
      <c r="A855">
        <v>854</v>
      </c>
      <c r="B855" t="s">
        <v>257</v>
      </c>
      <c r="C855">
        <v>0</v>
      </c>
      <c r="D855" t="str">
        <f t="shared" si="26"/>
        <v>c</v>
      </c>
      <c r="E855" t="str">
        <f t="shared" si="27"/>
        <v>c) Instar a las partes a asistir a programas educativos o terapéuticas.</v>
      </c>
    </row>
    <row r="856" spans="1:5" x14ac:dyDescent="0.25">
      <c r="A856">
        <v>855</v>
      </c>
      <c r="B856" t="s">
        <v>258</v>
      </c>
      <c r="C856">
        <v>0</v>
      </c>
      <c r="D856" t="str">
        <f t="shared" si="26"/>
        <v>*</v>
      </c>
      <c r="E856" t="str">
        <f t="shared" si="27"/>
        <v>d) Ordenar la exclusión del agresor de la vivienda donde habita la víctima.</v>
      </c>
    </row>
    <row r="857" spans="1:5" x14ac:dyDescent="0.25">
      <c r="A857">
        <v>856</v>
      </c>
      <c r="B857" s="1" t="s">
        <v>1707</v>
      </c>
      <c r="C857">
        <v>1</v>
      </c>
      <c r="D857" t="str">
        <f t="shared" si="26"/>
        <v>F</v>
      </c>
      <c r="E857" t="str">
        <f t="shared" si="27"/>
        <v>Fátima de 11 años de edad ingresa a la guardia pediátrica del Hospital Fernández, trasladada por el SAME y acompañada por su maestra de grado quien manifiesta que la niña da muestras claras de haber sufrido abuso sexual. Luego de la revisación médica el profesional de la salud constata la presencia de signos y síntomas de abuso. Según la Ley 24.417. ¿Qué procedimiento deberán efectuar tanto los profesionales de la salud como los representantes de las instituciones educativas ante esta situación?</v>
      </c>
    </row>
    <row r="858" spans="1:5" x14ac:dyDescent="0.25">
      <c r="A858">
        <v>857</v>
      </c>
      <c r="B858" t="s">
        <v>259</v>
      </c>
      <c r="C858">
        <v>0</v>
      </c>
      <c r="D858" t="str">
        <f t="shared" si="26"/>
        <v>*</v>
      </c>
      <c r="E858" t="str">
        <f t="shared" si="27"/>
        <v>a) Efectuar la denuncia pública correspondiente.</v>
      </c>
    </row>
    <row r="859" spans="1:5" x14ac:dyDescent="0.25">
      <c r="A859">
        <v>858</v>
      </c>
      <c r="B859" t="s">
        <v>260</v>
      </c>
      <c r="C859">
        <v>0</v>
      </c>
      <c r="D859" t="str">
        <f t="shared" si="26"/>
        <v>b</v>
      </c>
      <c r="E859" t="str">
        <f t="shared" si="27"/>
        <v>b) Contactarse con algun familiar o referente adulto de la niña.</v>
      </c>
    </row>
    <row r="860" spans="1:5" x14ac:dyDescent="0.25">
      <c r="A860">
        <v>859</v>
      </c>
      <c r="B860" t="s">
        <v>261</v>
      </c>
      <c r="C860">
        <v>0</v>
      </c>
      <c r="D860" t="str">
        <f t="shared" si="26"/>
        <v>c</v>
      </c>
      <c r="E860" t="str">
        <f t="shared" si="27"/>
        <v>c) Elevar nota al Distrito Escolar zonal comunicando la situación.</v>
      </c>
    </row>
    <row r="861" spans="1:5" x14ac:dyDescent="0.25">
      <c r="A861">
        <v>860</v>
      </c>
      <c r="B861" t="s">
        <v>386</v>
      </c>
      <c r="C861">
        <v>0</v>
      </c>
      <c r="D861" t="str">
        <f t="shared" si="26"/>
        <v>d</v>
      </c>
      <c r="E861" t="str">
        <f t="shared" si="27"/>
        <v>d) Solicitar la intervención de la seccional policial correspondiente a la jurisdicción del hospital.</v>
      </c>
    </row>
    <row r="862" spans="1:5" x14ac:dyDescent="0.25">
      <c r="A862">
        <v>861</v>
      </c>
      <c r="B862" t="s">
        <v>1708</v>
      </c>
      <c r="C862">
        <v>1</v>
      </c>
      <c r="D862" t="str">
        <f t="shared" si="26"/>
        <v>S</v>
      </c>
      <c r="E862" t="str">
        <f t="shared" si="27"/>
        <v xml:space="preserve">Según la Ordenanza N 40.997/85 (MCBA) del Sistema Municipal de Residencias del Equipo de Salud, ¿Cúal es la función primordial del Jefe de Residentes? </v>
      </c>
    </row>
    <row r="863" spans="1:5" x14ac:dyDescent="0.25">
      <c r="A863">
        <v>862</v>
      </c>
      <c r="B863" t="s">
        <v>387</v>
      </c>
      <c r="C863">
        <v>0</v>
      </c>
      <c r="D863" t="str">
        <f t="shared" si="26"/>
        <v>a</v>
      </c>
      <c r="E863" t="str">
        <f t="shared" si="27"/>
        <v>a) Contabilizar la cantidad de prestaciones realizadas por los residentes en el ámbito de sus respectivas rotaciones.</v>
      </c>
    </row>
    <row r="864" spans="1:5" x14ac:dyDescent="0.25">
      <c r="A864">
        <v>863</v>
      </c>
      <c r="B864" t="s">
        <v>262</v>
      </c>
      <c r="C864">
        <v>0</v>
      </c>
      <c r="D864" t="str">
        <f t="shared" si="26"/>
        <v>b</v>
      </c>
      <c r="E864" t="str">
        <f t="shared" si="27"/>
        <v>b) Controlar el horario de llegada de los residentes de su especialidad.</v>
      </c>
    </row>
    <row r="865" spans="1:5" x14ac:dyDescent="0.25">
      <c r="A865">
        <v>864</v>
      </c>
      <c r="B865" t="s">
        <v>388</v>
      </c>
      <c r="C865">
        <v>0</v>
      </c>
      <c r="D865" t="str">
        <f t="shared" si="26"/>
        <v>*</v>
      </c>
      <c r="E865" t="str">
        <f t="shared" si="27"/>
        <v>c) Organizar la actividad asistencial y docente de los residentes, según el programa y supervisar sus tareas.</v>
      </c>
    </row>
    <row r="866" spans="1:5" x14ac:dyDescent="0.25">
      <c r="A866">
        <v>865</v>
      </c>
      <c r="B866" t="s">
        <v>263</v>
      </c>
      <c r="C866">
        <v>0</v>
      </c>
      <c r="D866" t="str">
        <f t="shared" si="26"/>
        <v>d</v>
      </c>
      <c r="E866" t="str">
        <f t="shared" si="27"/>
        <v>d) Realizar tareas asistenciales en las areas de inserción que dispoga el jefe del Servicio.</v>
      </c>
    </row>
    <row r="867" spans="1:5" x14ac:dyDescent="0.25">
      <c r="A867">
        <v>866</v>
      </c>
      <c r="B867" t="s">
        <v>1670</v>
      </c>
      <c r="C867">
        <v>1</v>
      </c>
      <c r="D867" t="str">
        <f t="shared" si="26"/>
        <v>D</v>
      </c>
      <c r="E867" t="str">
        <f t="shared" si="27"/>
        <v>De acuerdo a la Ordenanza N 40.997/85 (MCBA) del sistema Municipal de Residencias del Equipo de Salud, ¿Cúantos días de licencia anual ordinaria por período de contrato corresponde a los residentes?</v>
      </c>
    </row>
    <row r="868" spans="1:5" x14ac:dyDescent="0.25">
      <c r="A868">
        <v>867</v>
      </c>
      <c r="B868" t="s">
        <v>264</v>
      </c>
      <c r="C868">
        <v>0</v>
      </c>
      <c r="D868" t="str">
        <f t="shared" ref="D868:D931" si="28">+MID(B868,1,1)</f>
        <v>a</v>
      </c>
      <c r="E868" t="str">
        <f t="shared" si="27"/>
        <v>a) 10 días hábiles.</v>
      </c>
    </row>
    <row r="869" spans="1:5" x14ac:dyDescent="0.25">
      <c r="A869">
        <v>868</v>
      </c>
      <c r="B869" t="s">
        <v>265</v>
      </c>
      <c r="C869">
        <v>0</v>
      </c>
      <c r="D869" t="str">
        <f t="shared" si="28"/>
        <v>b</v>
      </c>
      <c r="E869" t="str">
        <f t="shared" si="27"/>
        <v>b) 20 días corridos.</v>
      </c>
    </row>
    <row r="870" spans="1:5" x14ac:dyDescent="0.25">
      <c r="A870">
        <v>869</v>
      </c>
      <c r="B870" t="s">
        <v>266</v>
      </c>
      <c r="C870">
        <v>0</v>
      </c>
      <c r="D870" t="str">
        <f t="shared" si="28"/>
        <v>*</v>
      </c>
      <c r="E870" t="str">
        <f t="shared" si="27"/>
        <v>c) 15 días hábiles.</v>
      </c>
    </row>
    <row r="871" spans="1:5" x14ac:dyDescent="0.25">
      <c r="A871">
        <v>870</v>
      </c>
      <c r="B871" t="s">
        <v>267</v>
      </c>
      <c r="C871">
        <v>0</v>
      </c>
      <c r="D871" t="str">
        <f t="shared" si="28"/>
        <v>d</v>
      </c>
      <c r="E871" t="str">
        <f t="shared" si="27"/>
        <v>d) Los que se acuerden con el jefe de residentes.</v>
      </c>
    </row>
    <row r="872" spans="1:5" x14ac:dyDescent="0.25">
      <c r="A872">
        <v>871</v>
      </c>
      <c r="B872" s="1" t="s">
        <v>1709</v>
      </c>
      <c r="C872">
        <v>1</v>
      </c>
      <c r="D872" t="str">
        <f t="shared" si="28"/>
        <v>G</v>
      </c>
      <c r="E872" t="str">
        <f t="shared" si="27"/>
        <v xml:space="preserve">Guillermo de 29 años, ha sido procesado por tenencia de estupefacientes para consumo personal. Según el artículo 21 de la Ley 23737, ¿En qué casos el Juez de la causa podrá, por única vez, sustituir la pena por una medida de seguridad educativa en la forma y modo que judicialmente se determine? </v>
      </c>
    </row>
    <row r="873" spans="1:5" x14ac:dyDescent="0.25">
      <c r="A873">
        <v>872</v>
      </c>
      <c r="B873" t="s">
        <v>268</v>
      </c>
      <c r="C873">
        <v>0</v>
      </c>
      <c r="D873" t="str">
        <f t="shared" si="28"/>
        <v>a</v>
      </c>
      <c r="E873" t="str">
        <f t="shared" si="27"/>
        <v>a) Si la familia del procesado se hace cargo y se compromete con un tratamiento familiar.</v>
      </c>
    </row>
    <row r="874" spans="1:5" x14ac:dyDescent="0.25">
      <c r="A874">
        <v>873</v>
      </c>
      <c r="B874" t="s">
        <v>269</v>
      </c>
      <c r="C874">
        <v>0</v>
      </c>
      <c r="D874" t="str">
        <f t="shared" si="28"/>
        <v>b</v>
      </c>
      <c r="E874" t="str">
        <f t="shared" si="27"/>
        <v>b) Si el procesado no tuviera antecedentes penales.</v>
      </c>
    </row>
    <row r="875" spans="1:5" x14ac:dyDescent="0.25">
      <c r="A875">
        <v>874</v>
      </c>
      <c r="B875" t="s">
        <v>389</v>
      </c>
      <c r="C875">
        <v>0</v>
      </c>
      <c r="D875" t="str">
        <f t="shared" si="28"/>
        <v>*</v>
      </c>
      <c r="E875" t="str">
        <f t="shared" si="27"/>
        <v>c) Si el procesado no dependiera física o psíquicamente de estupefacientes por tratarse de un principiante o experimentador.</v>
      </c>
    </row>
    <row r="876" spans="1:5" x14ac:dyDescent="0.25">
      <c r="A876">
        <v>875</v>
      </c>
      <c r="B876" t="s">
        <v>390</v>
      </c>
      <c r="C876">
        <v>0</v>
      </c>
      <c r="D876" t="str">
        <f t="shared" si="28"/>
        <v>d</v>
      </c>
      <c r="E876" t="str">
        <f t="shared" si="27"/>
        <v>d) Si el procesado no dependiera física o psíquicamente de estupefacientes aún siendo reincidente.</v>
      </c>
    </row>
    <row r="877" spans="1:5" x14ac:dyDescent="0.25">
      <c r="A877">
        <v>876</v>
      </c>
      <c r="B877" s="1" t="s">
        <v>1672</v>
      </c>
      <c r="C877">
        <v>1</v>
      </c>
      <c r="D877" t="str">
        <f t="shared" si="28"/>
        <v>L</v>
      </c>
      <c r="E877" t="str">
        <f t="shared" si="27"/>
        <v>Luisa, de 59 años, ha sido procesada por tenencia de estupefacientes según lo indicado por la Ley N° 23.737. Durante el juicio se acredita que la tenencia es para uso personal, se declara su culpabilidad y su dependencia física y psíquica a los estupefacientes. Según el artículo 17 de esta Ley, ¿Con qué alternativa cuenta el Juez en caso que decida dejar en suspenso la aplicación de la pena?</v>
      </c>
    </row>
    <row r="878" spans="1:5" x14ac:dyDescent="0.25">
      <c r="A878">
        <v>877</v>
      </c>
      <c r="B878" t="s">
        <v>391</v>
      </c>
      <c r="C878">
        <v>0</v>
      </c>
      <c r="D878" t="str">
        <f t="shared" si="28"/>
        <v>a</v>
      </c>
      <c r="E878" t="str">
        <f t="shared" si="27"/>
        <v>a) Ordenar la inclusión del grupo familiar en un tratamiento integral comunicado sistemáticamente al Juzgado.</v>
      </c>
    </row>
    <row r="879" spans="1:5" x14ac:dyDescent="0.25">
      <c r="A879">
        <v>878</v>
      </c>
      <c r="B879" t="s">
        <v>392</v>
      </c>
      <c r="C879">
        <v>0</v>
      </c>
      <c r="D879" t="str">
        <f t="shared" si="28"/>
        <v>*</v>
      </c>
      <c r="E879" t="str">
        <f t="shared" si="27"/>
        <v>b) Someter al condenado a una medida de seguridad curativa por el tiempo necesario para su desintoxicación y rehabilitación.</v>
      </c>
    </row>
    <row r="880" spans="1:5" x14ac:dyDescent="0.25">
      <c r="A880">
        <v>879</v>
      </c>
      <c r="B880" t="s">
        <v>393</v>
      </c>
      <c r="C880">
        <v>0</v>
      </c>
      <c r="D880" t="str">
        <f t="shared" si="28"/>
        <v>c</v>
      </c>
      <c r="E880" t="str">
        <f t="shared" si="27"/>
        <v>c) Someter al condenado a una medida de seguridad educativa en la forma y modo que judicialmente se determine.</v>
      </c>
    </row>
    <row r="881" spans="1:5" x14ac:dyDescent="0.25">
      <c r="A881">
        <v>880</v>
      </c>
      <c r="B881" t="s">
        <v>394</v>
      </c>
      <c r="C881">
        <v>0</v>
      </c>
      <c r="D881" t="str">
        <f t="shared" si="28"/>
        <v>d</v>
      </c>
      <c r="E881" t="str">
        <f t="shared" si="27"/>
        <v>d) Someter al condenado a trabajos comunitarios en instituciones públicas hasta que muestre signos de rehabilitación.</v>
      </c>
    </row>
    <row r="882" spans="1:5" x14ac:dyDescent="0.25">
      <c r="A882">
        <v>881</v>
      </c>
      <c r="B882" s="1" t="s">
        <v>1673</v>
      </c>
      <c r="C882">
        <v>1</v>
      </c>
      <c r="D882" t="str">
        <f t="shared" si="28"/>
        <v>D</v>
      </c>
      <c r="E882" t="str">
        <f t="shared" si="27"/>
        <v>Desde hace tres meses Natalia de 29 años se encuentra internada en un hospital psiquiátrico en la Ciudad de Buenos Aires. Su familia considera que el tratamiento y el cuidado que recibe en la institución no son pertinentes. Según el inciso C del artículo 12 de la Ley N° 22.914 ¿Quién es el responsable de controlar el trámite de las actuaciones en que interviene, requiriendo las medidas conducentes al mejor tratamiento y cuidado de los internados, así como la administración y custodia de sus bienes y, tan pronto como sea pertinente solicitar el cese de la internación?</v>
      </c>
    </row>
    <row r="883" spans="1:5" x14ac:dyDescent="0.25">
      <c r="A883">
        <v>882</v>
      </c>
      <c r="B883" t="s">
        <v>270</v>
      </c>
      <c r="C883">
        <v>0</v>
      </c>
      <c r="D883" t="str">
        <f t="shared" si="28"/>
        <v>a</v>
      </c>
      <c r="E883" t="str">
        <f t="shared" si="27"/>
        <v>a) El cuerpo médico forense.</v>
      </c>
    </row>
    <row r="884" spans="1:5" x14ac:dyDescent="0.25">
      <c r="A884">
        <v>883</v>
      </c>
      <c r="B884" t="s">
        <v>271</v>
      </c>
      <c r="C884">
        <v>0</v>
      </c>
      <c r="D884" t="str">
        <f t="shared" si="28"/>
        <v>b</v>
      </c>
      <c r="E884" t="str">
        <f t="shared" si="27"/>
        <v>b) La Dirección del Hospital.</v>
      </c>
    </row>
    <row r="885" spans="1:5" x14ac:dyDescent="0.25">
      <c r="A885">
        <v>884</v>
      </c>
      <c r="B885" t="s">
        <v>272</v>
      </c>
      <c r="C885">
        <v>0</v>
      </c>
      <c r="D885" t="str">
        <f t="shared" si="28"/>
        <v>c</v>
      </c>
      <c r="E885" t="str">
        <f t="shared" si="27"/>
        <v>c) La Jefatura del Servicio de Internación.</v>
      </c>
    </row>
    <row r="886" spans="1:5" x14ac:dyDescent="0.25">
      <c r="A886">
        <v>885</v>
      </c>
      <c r="B886" t="s">
        <v>273</v>
      </c>
      <c r="C886">
        <v>0</v>
      </c>
      <c r="D886" t="str">
        <f t="shared" si="28"/>
        <v>*</v>
      </c>
      <c r="E886" t="str">
        <f t="shared" si="27"/>
        <v>d) El Ministerio de Menores e Incapaces.</v>
      </c>
    </row>
    <row r="887" spans="1:5" x14ac:dyDescent="0.25">
      <c r="A887">
        <v>886</v>
      </c>
      <c r="B887" s="1" t="s">
        <v>1674</v>
      </c>
      <c r="C887">
        <v>1</v>
      </c>
      <c r="D887" t="str">
        <f t="shared" si="28"/>
        <v>S</v>
      </c>
      <c r="E887" t="str">
        <f t="shared" si="27"/>
        <v>Según la Ley 23.264 ¿A cuál de los padres incumbe en caso de divorcio vincular, separación personal, separación de hecho, o nulidad de matrimonio- el deber de dar alimento a sus hijos y educarlos; no obstante que la tenencia sea ejercida por uno de ellos?</v>
      </c>
    </row>
    <row r="888" spans="1:5" x14ac:dyDescent="0.25">
      <c r="A888">
        <v>887</v>
      </c>
      <c r="B888" t="s">
        <v>274</v>
      </c>
      <c r="C888">
        <v>0</v>
      </c>
      <c r="D888" t="str">
        <f t="shared" si="28"/>
        <v>a</v>
      </c>
      <c r="E888" t="str">
        <f t="shared" si="27"/>
        <v>a) A los abuelos de ambos lados</v>
      </c>
    </row>
    <row r="889" spans="1:5" x14ac:dyDescent="0.25">
      <c r="A889">
        <v>888</v>
      </c>
      <c r="B889" t="s">
        <v>275</v>
      </c>
      <c r="C889">
        <v>0</v>
      </c>
      <c r="D889" t="str">
        <f t="shared" si="28"/>
        <v>b</v>
      </c>
      <c r="E889" t="str">
        <f t="shared" si="27"/>
        <v>b) A quien el Juez disponga</v>
      </c>
    </row>
    <row r="890" spans="1:5" x14ac:dyDescent="0.25">
      <c r="A890">
        <v>889</v>
      </c>
      <c r="B890" t="s">
        <v>276</v>
      </c>
      <c r="C890">
        <v>0</v>
      </c>
      <c r="D890" t="str">
        <f t="shared" si="28"/>
        <v>c</v>
      </c>
      <c r="E890" t="str">
        <f t="shared" si="27"/>
        <v>c) Al progenitor que tiene la tenencia</v>
      </c>
    </row>
    <row r="891" spans="1:5" x14ac:dyDescent="0.25">
      <c r="A891">
        <v>890</v>
      </c>
      <c r="B891" t="s">
        <v>277</v>
      </c>
      <c r="C891">
        <v>0</v>
      </c>
      <c r="D891" t="str">
        <f t="shared" si="28"/>
        <v>*</v>
      </c>
      <c r="E891" t="str">
        <f t="shared" si="27"/>
        <v>d) Siempre a ambos padres</v>
      </c>
    </row>
    <row r="892" spans="1:5" x14ac:dyDescent="0.25">
      <c r="A892">
        <v>891</v>
      </c>
      <c r="B892" s="1" t="s">
        <v>1710</v>
      </c>
      <c r="C892">
        <v>1</v>
      </c>
      <c r="D892" t="str">
        <f t="shared" si="28"/>
        <v>S</v>
      </c>
      <c r="E892" t="str">
        <f t="shared" si="27"/>
        <v>Según la Ley 23.264 Adrián de 15 años, necesita consentimiento expreso de ambos padres para ingresar a una comunidad religiosa. Sobre la posibilidad del ingreso del joven a dicha institución existe un desacuerdo entre el padre y la madre. Uno de ellos acude al Juez competente planteándole el entredicho y solicitándole una solución. De acuerdo al artículo 264 de esta misma Ley ¿Cómo debería actuar el Juez ante esta situación?</v>
      </c>
    </row>
    <row r="893" spans="1:5" x14ac:dyDescent="0.25">
      <c r="A893">
        <v>892</v>
      </c>
      <c r="B893" t="s">
        <v>278</v>
      </c>
      <c r="C893">
        <v>0</v>
      </c>
      <c r="D893" t="str">
        <f t="shared" si="28"/>
        <v>a</v>
      </c>
      <c r="E893" t="str">
        <f t="shared" si="27"/>
        <v>a) Resolverá hacer responsable a la comunidad religiosa del bienestar del joven.</v>
      </c>
    </row>
    <row r="894" spans="1:5" x14ac:dyDescent="0.25">
      <c r="A894">
        <v>893</v>
      </c>
      <c r="B894" t="s">
        <v>395</v>
      </c>
      <c r="C894">
        <v>0</v>
      </c>
      <c r="D894" t="str">
        <f t="shared" si="28"/>
        <v>*</v>
      </c>
      <c r="E894" t="str">
        <f t="shared" si="27"/>
        <v>b) Resolverá lo mas conveniente para el interés del hijo, previa audiencia de los padres con intervención del Ministerio Pupilar.</v>
      </c>
    </row>
    <row r="895" spans="1:5" x14ac:dyDescent="0.25">
      <c r="A895">
        <v>894</v>
      </c>
      <c r="B895" t="s">
        <v>279</v>
      </c>
      <c r="C895">
        <v>0</v>
      </c>
      <c r="D895" t="str">
        <f t="shared" si="28"/>
        <v>c</v>
      </c>
      <c r="E895" t="str">
        <f t="shared" si="27"/>
        <v>c) Resolverá según lo manifestado por el joven, previa entrevista con el mismo.</v>
      </c>
    </row>
    <row r="896" spans="1:5" x14ac:dyDescent="0.25">
      <c r="A896">
        <v>895</v>
      </c>
      <c r="B896" t="s">
        <v>280</v>
      </c>
      <c r="C896">
        <v>0</v>
      </c>
      <c r="D896" t="str">
        <f t="shared" si="28"/>
        <v>d</v>
      </c>
      <c r="E896" t="str">
        <f t="shared" si="27"/>
        <v>d) Transferirá la decisión a los abuelos del joven en caso de que exista la familia ampliada.</v>
      </c>
    </row>
    <row r="897" spans="1:5" x14ac:dyDescent="0.25">
      <c r="A897">
        <v>896</v>
      </c>
      <c r="B897" s="1" t="s">
        <v>1676</v>
      </c>
      <c r="C897">
        <v>1</v>
      </c>
      <c r="D897" t="str">
        <f t="shared" si="28"/>
        <v>I</v>
      </c>
      <c r="E897" t="str">
        <f t="shared" si="27"/>
        <v>Ingresa a un Hospital de Agudos del Gobierno de la Ciudad un niño de 4 años de edad presentando un cuadro de desnutrición aguda por déficit alimentario. La familia plantea que no cuenta con recursos materiales para cubrir las necesidades básicas. ¿Cómo deberá proceder el equipo de salud teniendo en cuenta el marco de la Ley 114?</v>
      </c>
    </row>
    <row r="898" spans="1:5" x14ac:dyDescent="0.25">
      <c r="A898">
        <v>897</v>
      </c>
      <c r="B898" t="s">
        <v>281</v>
      </c>
      <c r="C898">
        <v>0</v>
      </c>
      <c r="D898" t="str">
        <f t="shared" si="28"/>
        <v>a</v>
      </c>
      <c r="E898" t="str">
        <f t="shared" si="27"/>
        <v>a) Denunciar a los padres al Consejo de Derechos.</v>
      </c>
    </row>
    <row r="899" spans="1:5" x14ac:dyDescent="0.25">
      <c r="A899">
        <v>898</v>
      </c>
      <c r="B899" t="s">
        <v>282</v>
      </c>
      <c r="C899">
        <v>0</v>
      </c>
      <c r="D899" t="str">
        <f t="shared" si="28"/>
        <v>*</v>
      </c>
      <c r="E899" t="str">
        <f t="shared" ref="E899:E962" si="29">+IF(D899="*",MID(B899,3,500),B899)</f>
        <v>b) Incorporar a la familia a un programa alimentario.</v>
      </c>
    </row>
    <row r="900" spans="1:5" x14ac:dyDescent="0.25">
      <c r="A900">
        <v>899</v>
      </c>
      <c r="B900" t="s">
        <v>283</v>
      </c>
      <c r="C900">
        <v>0</v>
      </c>
      <c r="D900" t="str">
        <f t="shared" si="28"/>
        <v>c</v>
      </c>
      <c r="E900" t="str">
        <f t="shared" si="29"/>
        <v>c) Otorgar la guarda del niño a otro familiar con mayores recursos.</v>
      </c>
    </row>
    <row r="901" spans="1:5" x14ac:dyDescent="0.25">
      <c r="A901">
        <v>900</v>
      </c>
      <c r="B901" t="s">
        <v>284</v>
      </c>
      <c r="C901">
        <v>0</v>
      </c>
      <c r="D901" t="str">
        <f t="shared" si="28"/>
        <v>d</v>
      </c>
      <c r="E901" t="str">
        <f t="shared" si="29"/>
        <v>d) Ubicar al niño en un hogar sustituto.</v>
      </c>
    </row>
    <row r="902" spans="1:5" x14ac:dyDescent="0.25">
      <c r="A902">
        <v>901</v>
      </c>
      <c r="B902" s="1" t="s">
        <v>1677</v>
      </c>
      <c r="C902">
        <v>1</v>
      </c>
      <c r="D902" t="str">
        <f t="shared" si="28"/>
        <v>U</v>
      </c>
      <c r="E902" t="str">
        <f t="shared" si="29"/>
        <v>Una mujer ingresa a un Hospital de Agudos del Gobierno de la Ciudad como consecuencia de un aborto. La pareja de la mujer desconoce el motivo que da origen a la internación y se dirige al médico tratante a fin de averiguarlo. De acuerdo a la Ley Básica de Salud ¿Cómo debe intervenir el médico?</v>
      </c>
    </row>
    <row r="903" spans="1:5" x14ac:dyDescent="0.25">
      <c r="A903">
        <v>902</v>
      </c>
      <c r="B903" t="s">
        <v>285</v>
      </c>
      <c r="C903">
        <v>0</v>
      </c>
      <c r="D903" t="str">
        <f t="shared" si="28"/>
        <v>a</v>
      </c>
      <c r="E903" t="str">
        <f t="shared" si="29"/>
        <v>a) Derivarlo al Servicio Social del Hospital con la finalidad que se le informe.</v>
      </c>
    </row>
    <row r="904" spans="1:5" x14ac:dyDescent="0.25">
      <c r="A904">
        <v>903</v>
      </c>
      <c r="B904" t="s">
        <v>286</v>
      </c>
      <c r="C904">
        <v>0</v>
      </c>
      <c r="D904" t="str">
        <f t="shared" si="28"/>
        <v>b</v>
      </c>
      <c r="E904" t="str">
        <f t="shared" si="29"/>
        <v>b) Indicar al interesado el procedimiento administrativo para efectuar dicha solicitud.</v>
      </c>
    </row>
    <row r="905" spans="1:5" x14ac:dyDescent="0.25">
      <c r="A905">
        <v>904</v>
      </c>
      <c r="B905" t="s">
        <v>287</v>
      </c>
      <c r="C905">
        <v>0</v>
      </c>
      <c r="D905" t="str">
        <f t="shared" si="28"/>
        <v>c</v>
      </c>
      <c r="E905" t="str">
        <f t="shared" si="29"/>
        <v>c) Informar fehacientemente la situación a la pareja de la mujer.</v>
      </c>
    </row>
    <row r="906" spans="1:5" x14ac:dyDescent="0.25">
      <c r="A906">
        <v>905</v>
      </c>
      <c r="B906" t="s">
        <v>288</v>
      </c>
      <c r="C906">
        <v>0</v>
      </c>
      <c r="D906" t="str">
        <f t="shared" si="28"/>
        <v>*</v>
      </c>
      <c r="E906" t="str">
        <f t="shared" si="29"/>
        <v>d) Presevar la información y solicitar a la paciente su opinión al respecto.</v>
      </c>
    </row>
    <row r="907" spans="1:5" x14ac:dyDescent="0.25">
      <c r="A907">
        <v>906</v>
      </c>
      <c r="B907" s="1" t="s">
        <v>1678</v>
      </c>
      <c r="C907">
        <v>1</v>
      </c>
      <c r="D907" t="str">
        <f t="shared" si="28"/>
        <v>U</v>
      </c>
      <c r="E907" t="str">
        <f t="shared" si="29"/>
        <v>Un hombre se encuentra internado en un hospital del Gobierno de la Ciudad padeciendo una enfermedad terminal. La familia solicita al médico no informar al paciente acerca de su diagnóstico, en tanto que su paciente solicita conocer su estado de salud. ¿Cómo debe proceder el médico según la Ley Básica de Salud?</v>
      </c>
    </row>
    <row r="908" spans="1:5" x14ac:dyDescent="0.25">
      <c r="A908">
        <v>907</v>
      </c>
      <c r="B908" t="s">
        <v>289</v>
      </c>
      <c r="C908">
        <v>0</v>
      </c>
      <c r="D908" t="str">
        <f t="shared" si="28"/>
        <v>a</v>
      </c>
      <c r="E908" t="str">
        <f t="shared" si="29"/>
        <v>a) Acceder a la petición de la familia de no confirmar el diagnóstico al paciente</v>
      </c>
    </row>
    <row r="909" spans="1:5" x14ac:dyDescent="0.25">
      <c r="A909">
        <v>908</v>
      </c>
      <c r="B909" t="s">
        <v>290</v>
      </c>
      <c r="C909">
        <v>0</v>
      </c>
      <c r="D909" t="str">
        <f t="shared" si="28"/>
        <v>b</v>
      </c>
      <c r="E909" t="str">
        <f t="shared" si="29"/>
        <v>b) Comunicar al paciente un diagnóstico que no explicite la gravedad del cuadro</v>
      </c>
    </row>
    <row r="910" spans="1:5" x14ac:dyDescent="0.25">
      <c r="A910">
        <v>909</v>
      </c>
      <c r="B910" t="s">
        <v>291</v>
      </c>
      <c r="C910">
        <v>0</v>
      </c>
      <c r="D910" t="str">
        <f t="shared" si="28"/>
        <v>c</v>
      </c>
      <c r="E910" t="str">
        <f t="shared" si="29"/>
        <v>c) Sugerir a la familia la importancia de que pueden transmitir ellos mismos el diagnóstico</v>
      </c>
    </row>
    <row r="911" spans="1:5" x14ac:dyDescent="0.25">
      <c r="A911">
        <v>910</v>
      </c>
      <c r="B911" t="s">
        <v>292</v>
      </c>
      <c r="C911">
        <v>0</v>
      </c>
      <c r="D911" t="str">
        <f t="shared" si="28"/>
        <v>*</v>
      </c>
      <c r="E911" t="str">
        <f t="shared" si="29"/>
        <v>d) Tomar los recaudos pertinentes y comunicar el diagnóstico al paciente</v>
      </c>
    </row>
    <row r="912" spans="1:5" x14ac:dyDescent="0.25">
      <c r="A912">
        <v>911</v>
      </c>
      <c r="B912" t="s">
        <v>1679</v>
      </c>
      <c r="C912">
        <v>1</v>
      </c>
      <c r="D912" t="str">
        <f t="shared" si="28"/>
        <v>S</v>
      </c>
      <c r="E912" t="str">
        <f t="shared" si="29"/>
        <v>Según Mastrángelo de Pamphilis ¿Cómo comienza la construcción del objeto de estudio y objeto modelo?</v>
      </c>
    </row>
    <row r="913" spans="1:5" x14ac:dyDescent="0.25">
      <c r="A913">
        <v>912</v>
      </c>
      <c r="B913" t="s">
        <v>293</v>
      </c>
      <c r="C913">
        <v>0</v>
      </c>
      <c r="D913" t="str">
        <f t="shared" si="28"/>
        <v>*</v>
      </c>
      <c r="E913" t="str">
        <f t="shared" si="29"/>
        <v>a) Con algún problema por resolver.</v>
      </c>
    </row>
    <row r="914" spans="1:5" x14ac:dyDescent="0.25">
      <c r="A914">
        <v>913</v>
      </c>
      <c r="B914" t="s">
        <v>294</v>
      </c>
      <c r="C914">
        <v>0</v>
      </c>
      <c r="D914" t="str">
        <f t="shared" si="28"/>
        <v>b</v>
      </c>
      <c r="E914" t="str">
        <f t="shared" si="29"/>
        <v>b) Delimitación del universo a estudiar.</v>
      </c>
    </row>
    <row r="915" spans="1:5" x14ac:dyDescent="0.25">
      <c r="A915">
        <v>914</v>
      </c>
      <c r="B915" t="s">
        <v>295</v>
      </c>
      <c r="C915">
        <v>0</v>
      </c>
      <c r="D915" t="str">
        <f t="shared" si="28"/>
        <v>c</v>
      </c>
      <c r="E915" t="str">
        <f t="shared" si="29"/>
        <v>c) Encuestas a actores sociales.</v>
      </c>
    </row>
    <row r="916" spans="1:5" x14ac:dyDescent="0.25">
      <c r="A916">
        <v>915</v>
      </c>
      <c r="B916" t="s">
        <v>296</v>
      </c>
      <c r="C916">
        <v>0</v>
      </c>
      <c r="D916" t="str">
        <f t="shared" si="28"/>
        <v>d</v>
      </c>
      <c r="E916" t="str">
        <f t="shared" si="29"/>
        <v>d) Explicitación de un marco teórico.</v>
      </c>
    </row>
    <row r="917" spans="1:5" x14ac:dyDescent="0.25">
      <c r="A917">
        <v>916</v>
      </c>
      <c r="B917" t="s">
        <v>1680</v>
      </c>
      <c r="C917">
        <v>1</v>
      </c>
      <c r="D917" t="str">
        <f t="shared" si="28"/>
        <v>C</v>
      </c>
      <c r="E917" t="str">
        <f t="shared" si="29"/>
        <v>Cuando Mastrángelo Pamphilis expresa algo más que números, marcas o indicios; "predica" cosas, sintetiza, concluye, aporta ideas y resultados de la indagación sobre algunas dimensiones del objeto de estudio ¿A qué concepto se está refiriendo?</v>
      </c>
    </row>
    <row r="918" spans="1:5" x14ac:dyDescent="0.25">
      <c r="A918">
        <v>917</v>
      </c>
      <c r="B918" t="s">
        <v>297</v>
      </c>
      <c r="C918">
        <v>0</v>
      </c>
      <c r="D918" t="str">
        <f t="shared" si="28"/>
        <v>*</v>
      </c>
      <c r="E918" t="str">
        <f t="shared" si="29"/>
        <v>a) Dato.</v>
      </c>
    </row>
    <row r="919" spans="1:5" x14ac:dyDescent="0.25">
      <c r="A919">
        <v>918</v>
      </c>
      <c r="B919" t="s">
        <v>298</v>
      </c>
      <c r="C919">
        <v>0</v>
      </c>
      <c r="D919" t="str">
        <f t="shared" si="28"/>
        <v>b</v>
      </c>
      <c r="E919" t="str">
        <f t="shared" si="29"/>
        <v>b) Indicador.</v>
      </c>
    </row>
    <row r="920" spans="1:5" x14ac:dyDescent="0.25">
      <c r="A920">
        <v>919</v>
      </c>
      <c r="B920" t="s">
        <v>299</v>
      </c>
      <c r="C920">
        <v>0</v>
      </c>
      <c r="D920" t="str">
        <f t="shared" si="28"/>
        <v>c</v>
      </c>
      <c r="E920" t="str">
        <f t="shared" si="29"/>
        <v>c) Muestra.</v>
      </c>
    </row>
    <row r="921" spans="1:5" x14ac:dyDescent="0.25">
      <c r="A921">
        <v>920</v>
      </c>
      <c r="B921" t="s">
        <v>300</v>
      </c>
      <c r="C921">
        <v>0</v>
      </c>
      <c r="D921" t="str">
        <f t="shared" si="28"/>
        <v>d</v>
      </c>
      <c r="E921" t="str">
        <f t="shared" si="29"/>
        <v>d) Variable.</v>
      </c>
    </row>
    <row r="922" spans="1:5" x14ac:dyDescent="0.25">
      <c r="A922">
        <v>921</v>
      </c>
      <c r="B922" s="1" t="s">
        <v>1681</v>
      </c>
      <c r="C922">
        <v>1</v>
      </c>
      <c r="D922" t="str">
        <f t="shared" si="28"/>
        <v>S</v>
      </c>
      <c r="E922" t="str">
        <f t="shared" si="29"/>
        <v>Según Cáceres y otros, en Trabajo Social tanto el entrevistador como el entrevistado desarrollan su respectivo protagonismo, son capaces de asumir tareas de acción alrededor de lo tratado en la entrevista. Para los autores ¿De dónde se parte para que esto sea posible?</v>
      </c>
    </row>
    <row r="923" spans="1:5" x14ac:dyDescent="0.25">
      <c r="A923">
        <v>922</v>
      </c>
      <c r="B923" t="s">
        <v>301</v>
      </c>
      <c r="C923">
        <v>0</v>
      </c>
      <c r="D923" t="str">
        <f t="shared" si="28"/>
        <v>a</v>
      </c>
      <c r="E923" t="str">
        <f t="shared" si="29"/>
        <v>a) De la asimetría que genera el saber estimular al otro</v>
      </c>
    </row>
    <row r="924" spans="1:5" x14ac:dyDescent="0.25">
      <c r="A924">
        <v>923</v>
      </c>
      <c r="B924" t="s">
        <v>302</v>
      </c>
      <c r="C924">
        <v>0</v>
      </c>
      <c r="D924" t="str">
        <f t="shared" si="28"/>
        <v>b</v>
      </c>
      <c r="E924" t="str">
        <f t="shared" si="29"/>
        <v>b) De la habilidad del entrevistador para interpretar las necesidades del entrevistado</v>
      </c>
    </row>
    <row r="925" spans="1:5" x14ac:dyDescent="0.25">
      <c r="A925">
        <v>924</v>
      </c>
      <c r="B925" t="s">
        <v>303</v>
      </c>
      <c r="C925">
        <v>0</v>
      </c>
      <c r="D925" t="str">
        <f t="shared" si="28"/>
        <v>*</v>
      </c>
      <c r="E925" t="str">
        <f t="shared" si="29"/>
        <v>c) De una relación recíproca basada en una vinculación horizontal</v>
      </c>
    </row>
    <row r="926" spans="1:5" x14ac:dyDescent="0.25">
      <c r="A926">
        <v>925</v>
      </c>
      <c r="B926" t="s">
        <v>304</v>
      </c>
      <c r="C926">
        <v>0</v>
      </c>
      <c r="D926" t="str">
        <f t="shared" si="28"/>
        <v>d</v>
      </c>
      <c r="E926" t="str">
        <f t="shared" si="29"/>
        <v>d) De las relaciones amistosas generadas en la interacción</v>
      </c>
    </row>
    <row r="927" spans="1:5" x14ac:dyDescent="0.25">
      <c r="A927">
        <v>926</v>
      </c>
      <c r="B927" t="s">
        <v>1682</v>
      </c>
      <c r="C927">
        <v>1</v>
      </c>
      <c r="D927" t="str">
        <f t="shared" si="28"/>
        <v>C</v>
      </c>
      <c r="E927" t="str">
        <f t="shared" si="29"/>
        <v>Cuando Cáceres y otros refieren que las limitaciones desde el entrevistador pueden ser actitudes que generan desconfianza, aluden a mostrar apuro, a mirar constantemente el reloj ¿Qué otra actitud mencionan al respecto?</v>
      </c>
    </row>
    <row r="928" spans="1:5" x14ac:dyDescent="0.25">
      <c r="A928">
        <v>927</v>
      </c>
      <c r="B928" t="s">
        <v>305</v>
      </c>
      <c r="C928">
        <v>0</v>
      </c>
      <c r="D928" t="str">
        <f t="shared" si="28"/>
        <v>a</v>
      </c>
      <c r="E928" t="str">
        <f t="shared" si="29"/>
        <v>a) Acordar horarios en forma telefónica.</v>
      </c>
    </row>
    <row r="929" spans="1:5" x14ac:dyDescent="0.25">
      <c r="A929">
        <v>928</v>
      </c>
      <c r="B929" t="s">
        <v>306</v>
      </c>
      <c r="C929">
        <v>0</v>
      </c>
      <c r="D929" t="str">
        <f t="shared" si="28"/>
        <v>b</v>
      </c>
      <c r="E929" t="str">
        <f t="shared" si="29"/>
        <v>b) Establecer diversidad de horarios de inicio y finalización de las entrevistas.</v>
      </c>
    </row>
    <row r="930" spans="1:5" x14ac:dyDescent="0.25">
      <c r="A930">
        <v>929</v>
      </c>
      <c r="B930" t="s">
        <v>307</v>
      </c>
      <c r="C930">
        <v>0</v>
      </c>
      <c r="D930" t="str">
        <f t="shared" si="28"/>
        <v>*</v>
      </c>
      <c r="E930" t="str">
        <f t="shared" si="29"/>
        <v>c) Evitar mirar de frente al entrevistado.</v>
      </c>
    </row>
    <row r="931" spans="1:5" x14ac:dyDescent="0.25">
      <c r="A931">
        <v>930</v>
      </c>
      <c r="B931" t="s">
        <v>308</v>
      </c>
      <c r="C931">
        <v>0</v>
      </c>
      <c r="D931" t="str">
        <f t="shared" si="28"/>
        <v>d</v>
      </c>
      <c r="E931" t="str">
        <f t="shared" si="29"/>
        <v>d) Interesarse en las problemáticas de los acompañantes.</v>
      </c>
    </row>
    <row r="932" spans="1:5" x14ac:dyDescent="0.25">
      <c r="A932">
        <v>931</v>
      </c>
      <c r="B932" t="s">
        <v>1683</v>
      </c>
      <c r="C932">
        <v>1</v>
      </c>
      <c r="D932" t="str">
        <f t="shared" ref="D932:D995" si="30">+MID(B932,1,1)</f>
        <v>P</v>
      </c>
      <c r="E932" t="str">
        <f t="shared" si="29"/>
        <v>Para Rosana Guber los objetivos de la entrevista se plasman en la obtención de una profusa información. Para que esto sea posible.¿Qué es imprescindible cuidar de las verdaderas fuentes de información?</v>
      </c>
    </row>
    <row r="933" spans="1:5" x14ac:dyDescent="0.25">
      <c r="A933">
        <v>932</v>
      </c>
      <c r="B933" t="s">
        <v>309</v>
      </c>
      <c r="C933">
        <v>0</v>
      </c>
      <c r="D933" t="str">
        <f t="shared" si="30"/>
        <v>a</v>
      </c>
      <c r="E933" t="str">
        <f t="shared" si="29"/>
        <v>a) La comodidad proporcionada por el encuadre.</v>
      </c>
    </row>
    <row r="934" spans="1:5" x14ac:dyDescent="0.25">
      <c r="A934">
        <v>933</v>
      </c>
      <c r="B934" t="s">
        <v>310</v>
      </c>
      <c r="C934">
        <v>0</v>
      </c>
      <c r="D934" t="str">
        <f t="shared" si="30"/>
        <v>b</v>
      </c>
      <c r="E934" t="str">
        <f t="shared" si="29"/>
        <v>b) La confiabilidad institucional.</v>
      </c>
    </row>
    <row r="935" spans="1:5" x14ac:dyDescent="0.25">
      <c r="A935">
        <v>934</v>
      </c>
      <c r="B935" t="s">
        <v>311</v>
      </c>
      <c r="C935">
        <v>0</v>
      </c>
      <c r="D935" t="str">
        <f t="shared" si="30"/>
        <v>*</v>
      </c>
      <c r="E935" t="str">
        <f t="shared" si="29"/>
        <v>c) La relación personal con los informantes.</v>
      </c>
    </row>
    <row r="936" spans="1:5" x14ac:dyDescent="0.25">
      <c r="A936">
        <v>935</v>
      </c>
      <c r="B936" t="s">
        <v>312</v>
      </c>
      <c r="C936">
        <v>0</v>
      </c>
      <c r="D936" t="str">
        <f t="shared" si="30"/>
        <v>d</v>
      </c>
      <c r="E936" t="str">
        <f t="shared" si="29"/>
        <v>d) La tendencia a la fabulación.</v>
      </c>
    </row>
    <row r="937" spans="1:5" x14ac:dyDescent="0.25">
      <c r="A937">
        <v>936</v>
      </c>
      <c r="B937" t="s">
        <v>1684</v>
      </c>
      <c r="C937">
        <v>1</v>
      </c>
      <c r="D937" t="str">
        <f t="shared" si="30"/>
        <v>P</v>
      </c>
      <c r="E937" t="str">
        <f t="shared" si="29"/>
        <v>Para Guber ¿Cuál es el peligro de desarrollar una relación de conquista desde la entrevista y desplazar el vínculo de orden social y cultural a una cuestión de encantos personales?</v>
      </c>
    </row>
    <row r="938" spans="1:5" x14ac:dyDescent="0.25">
      <c r="A938">
        <v>937</v>
      </c>
      <c r="B938" t="s">
        <v>313</v>
      </c>
      <c r="C938">
        <v>0</v>
      </c>
      <c r="D938" t="str">
        <f t="shared" si="30"/>
        <v>*</v>
      </c>
      <c r="E938" t="str">
        <f t="shared" si="29"/>
        <v>a) Cerrar la posibilidad de analizar y comprender una relación coproducida socialmente.</v>
      </c>
    </row>
    <row r="939" spans="1:5" x14ac:dyDescent="0.25">
      <c r="A939">
        <v>938</v>
      </c>
      <c r="B939" t="s">
        <v>314</v>
      </c>
      <c r="C939">
        <v>0</v>
      </c>
      <c r="D939" t="str">
        <f t="shared" si="30"/>
        <v>b</v>
      </c>
      <c r="E939" t="str">
        <f t="shared" si="29"/>
        <v>b) Facilitar el fenómeno de transferencia que obstaculiza el desarrollo de la entrevista.</v>
      </c>
    </row>
    <row r="940" spans="1:5" x14ac:dyDescent="0.25">
      <c r="A940">
        <v>939</v>
      </c>
      <c r="B940" t="s">
        <v>315</v>
      </c>
      <c r="C940">
        <v>0</v>
      </c>
      <c r="D940" t="str">
        <f t="shared" si="30"/>
        <v>c</v>
      </c>
      <c r="E940" t="str">
        <f t="shared" si="29"/>
        <v>c) Obturar la posibilidad de rapport, indispensable para la mejor producción de la entrevista.</v>
      </c>
    </row>
    <row r="941" spans="1:5" x14ac:dyDescent="0.25">
      <c r="A941">
        <v>940</v>
      </c>
      <c r="B941" t="s">
        <v>316</v>
      </c>
      <c r="C941">
        <v>0</v>
      </c>
      <c r="D941" t="str">
        <f t="shared" si="30"/>
        <v>d</v>
      </c>
      <c r="E941" t="str">
        <f t="shared" si="29"/>
        <v>d) Promover una relación que desvie el foco central de la entrevista.</v>
      </c>
    </row>
    <row r="942" spans="1:5" x14ac:dyDescent="0.25">
      <c r="A942">
        <v>941</v>
      </c>
      <c r="B942" t="s">
        <v>1685</v>
      </c>
      <c r="C942">
        <v>1</v>
      </c>
      <c r="D942" t="str">
        <f t="shared" si="30"/>
        <v>C</v>
      </c>
      <c r="E942" t="str">
        <f t="shared" si="29"/>
        <v>Cuando Cáceres y otros hablan de la entrevista plantean los principios y postulados profesionales de Trabajo Social. Entre los tres postulados éticos plantean el respeto a la dignidad humana, perfectibilidad humana y ¿Cuál es el tercero?</v>
      </c>
    </row>
    <row r="943" spans="1:5" x14ac:dyDescent="0.25">
      <c r="A943">
        <v>942</v>
      </c>
      <c r="B943" t="s">
        <v>317</v>
      </c>
      <c r="C943">
        <v>0</v>
      </c>
      <c r="D943" t="str">
        <f t="shared" si="30"/>
        <v>a</v>
      </c>
      <c r="E943" t="str">
        <f t="shared" si="29"/>
        <v>a) Defensa de los derechos del individuo.</v>
      </c>
    </row>
    <row r="944" spans="1:5" x14ac:dyDescent="0.25">
      <c r="A944">
        <v>943</v>
      </c>
      <c r="B944" t="s">
        <v>318</v>
      </c>
      <c r="C944">
        <v>0</v>
      </c>
      <c r="D944" t="str">
        <f t="shared" si="30"/>
        <v>b</v>
      </c>
      <c r="E944" t="str">
        <f t="shared" si="29"/>
        <v>b) Intervenciones adecuadas según las necesidades.</v>
      </c>
    </row>
    <row r="945" spans="1:5" x14ac:dyDescent="0.25">
      <c r="A945">
        <v>944</v>
      </c>
      <c r="B945" t="s">
        <v>319</v>
      </c>
      <c r="C945">
        <v>0</v>
      </c>
      <c r="D945" t="str">
        <f t="shared" si="30"/>
        <v>c</v>
      </c>
      <c r="E945" t="str">
        <f t="shared" si="29"/>
        <v>c) Satisfacción integral del usuario.</v>
      </c>
    </row>
    <row r="946" spans="1:5" x14ac:dyDescent="0.25">
      <c r="A946">
        <v>945</v>
      </c>
      <c r="B946" t="s">
        <v>320</v>
      </c>
      <c r="C946">
        <v>0</v>
      </c>
      <c r="D946" t="str">
        <f t="shared" si="30"/>
        <v>*</v>
      </c>
      <c r="E946" t="str">
        <f t="shared" si="29"/>
        <v>d) Sociabilidad esencial de la persona.</v>
      </c>
    </row>
    <row r="947" spans="1:5" x14ac:dyDescent="0.25">
      <c r="A947">
        <v>946</v>
      </c>
      <c r="B947" t="s">
        <v>1711</v>
      </c>
      <c r="C947">
        <v>1</v>
      </c>
      <c r="D947" t="str">
        <f t="shared" si="30"/>
        <v>P</v>
      </c>
      <c r="E947" t="str">
        <f t="shared" si="29"/>
        <v xml:space="preserve">Para Cáceres y otros, ¿Cuáles son las dos dimensiones de la entrevista? </v>
      </c>
    </row>
    <row r="948" spans="1:5" x14ac:dyDescent="0.25">
      <c r="A948">
        <v>947</v>
      </c>
      <c r="B948" t="s">
        <v>321</v>
      </c>
      <c r="C948">
        <v>0</v>
      </c>
      <c r="D948" t="str">
        <f t="shared" si="30"/>
        <v>a</v>
      </c>
      <c r="E948" t="str">
        <f t="shared" si="29"/>
        <v>a) Analítica e instrumental metodológica.</v>
      </c>
    </row>
    <row r="949" spans="1:5" x14ac:dyDescent="0.25">
      <c r="A949">
        <v>948</v>
      </c>
      <c r="B949" t="s">
        <v>322</v>
      </c>
      <c r="C949">
        <v>0</v>
      </c>
      <c r="D949" t="str">
        <f t="shared" si="30"/>
        <v>b</v>
      </c>
      <c r="E949" t="str">
        <f t="shared" si="29"/>
        <v>b) Diagnóstica y global evaluativa.</v>
      </c>
    </row>
    <row r="950" spans="1:5" x14ac:dyDescent="0.25">
      <c r="A950">
        <v>949</v>
      </c>
      <c r="B950" t="s">
        <v>323</v>
      </c>
      <c r="C950">
        <v>0</v>
      </c>
      <c r="D950" t="str">
        <f t="shared" si="30"/>
        <v>*</v>
      </c>
      <c r="E950" t="str">
        <f t="shared" si="29"/>
        <v>c) Técnica y proceso de interacción social.</v>
      </c>
    </row>
    <row r="951" spans="1:5" x14ac:dyDescent="0.25">
      <c r="A951">
        <v>950</v>
      </c>
      <c r="B951" t="s">
        <v>324</v>
      </c>
      <c r="C951">
        <v>0</v>
      </c>
      <c r="D951" t="str">
        <f t="shared" si="30"/>
        <v>d</v>
      </c>
      <c r="E951" t="str">
        <f t="shared" si="29"/>
        <v>d) Valoración y construcción social.</v>
      </c>
    </row>
    <row r="952" spans="1:5" x14ac:dyDescent="0.25">
      <c r="A952">
        <v>951</v>
      </c>
      <c r="B952" s="1" t="s">
        <v>1687</v>
      </c>
      <c r="C952">
        <v>1</v>
      </c>
      <c r="D952" t="str">
        <f t="shared" si="30"/>
        <v>P</v>
      </c>
      <c r="E952" t="str">
        <f t="shared" si="29"/>
        <v>Para Carballeda la visión de lo social como algo constitutivo de la vida cotidiana exige considerar la construcción de intercambios y reciprocidades dentro de un grupo, familia o barrio. Desde esta perspectiva ¿En términos de qué es organizada la vida social para el autor?</v>
      </c>
    </row>
    <row r="953" spans="1:5" x14ac:dyDescent="0.25">
      <c r="A953">
        <v>952</v>
      </c>
      <c r="B953" t="s">
        <v>325</v>
      </c>
      <c r="C953">
        <v>0</v>
      </c>
      <c r="D953" t="str">
        <f t="shared" si="30"/>
        <v>a</v>
      </c>
      <c r="E953" t="str">
        <f t="shared" si="29"/>
        <v>a) Elucidaciones.</v>
      </c>
    </row>
    <row r="954" spans="1:5" x14ac:dyDescent="0.25">
      <c r="A954">
        <v>953</v>
      </c>
      <c r="B954" t="s">
        <v>326</v>
      </c>
      <c r="C954">
        <v>0</v>
      </c>
      <c r="D954" t="str">
        <f t="shared" si="30"/>
        <v>b</v>
      </c>
      <c r="E954" t="str">
        <f t="shared" si="29"/>
        <v>b) Multireferencias.</v>
      </c>
    </row>
    <row r="955" spans="1:5" x14ac:dyDescent="0.25">
      <c r="A955">
        <v>954</v>
      </c>
      <c r="B955" t="s">
        <v>327</v>
      </c>
      <c r="C955">
        <v>0</v>
      </c>
      <c r="D955" t="str">
        <f t="shared" si="30"/>
        <v>*</v>
      </c>
      <c r="E955" t="str">
        <f t="shared" si="29"/>
        <v>c) Símbolos .</v>
      </c>
    </row>
    <row r="956" spans="1:5" x14ac:dyDescent="0.25">
      <c r="A956">
        <v>955</v>
      </c>
      <c r="B956" t="s">
        <v>328</v>
      </c>
      <c r="C956">
        <v>0</v>
      </c>
      <c r="D956" t="str">
        <f t="shared" si="30"/>
        <v>d</v>
      </c>
      <c r="E956" t="str">
        <f t="shared" si="29"/>
        <v>d) Trasculturaciones.</v>
      </c>
    </row>
    <row r="957" spans="1:5" x14ac:dyDescent="0.25">
      <c r="A957">
        <v>956</v>
      </c>
      <c r="B957" t="s">
        <v>1688</v>
      </c>
      <c r="C957">
        <v>1</v>
      </c>
      <c r="D957" t="str">
        <f t="shared" si="30"/>
        <v>S</v>
      </c>
      <c r="E957" t="str">
        <f t="shared" si="29"/>
        <v>Según Garcia Fuster ¿A qué se encuentra mas estrechamente asociado la institucionalización de la persona anciana?</v>
      </c>
    </row>
    <row r="958" spans="1:5" x14ac:dyDescent="0.25">
      <c r="A958">
        <v>957</v>
      </c>
      <c r="B958" t="s">
        <v>329</v>
      </c>
      <c r="C958">
        <v>0</v>
      </c>
      <c r="D958" t="str">
        <f t="shared" si="30"/>
        <v>a</v>
      </c>
      <c r="E958" t="str">
        <f t="shared" si="29"/>
        <v>a) A las dificultades económicas para afrontar el pago de cuidadores</v>
      </c>
    </row>
    <row r="959" spans="1:5" x14ac:dyDescent="0.25">
      <c r="A959">
        <v>958</v>
      </c>
      <c r="B959" t="s">
        <v>330</v>
      </c>
      <c r="C959">
        <v>0</v>
      </c>
      <c r="D959" t="str">
        <f t="shared" si="30"/>
        <v>b</v>
      </c>
      <c r="E959" t="str">
        <f t="shared" si="29"/>
        <v>b) Al desarraigo de los familiares en la sociedad moderna</v>
      </c>
    </row>
    <row r="960" spans="1:5" x14ac:dyDescent="0.25">
      <c r="A960">
        <v>959</v>
      </c>
      <c r="B960" t="s">
        <v>331</v>
      </c>
      <c r="C960">
        <v>0</v>
      </c>
      <c r="D960" t="str">
        <f t="shared" si="30"/>
        <v>c</v>
      </c>
      <c r="E960" t="str">
        <f t="shared" si="29"/>
        <v>c) A la escacez de espacios que tienen actualmente las viviendas</v>
      </c>
    </row>
    <row r="961" spans="1:5" x14ac:dyDescent="0.25">
      <c r="A961">
        <v>960</v>
      </c>
      <c r="B961" t="s">
        <v>332</v>
      </c>
      <c r="C961">
        <v>0</v>
      </c>
      <c r="D961" t="str">
        <f t="shared" si="30"/>
        <v>*</v>
      </c>
      <c r="E961" t="str">
        <f t="shared" si="29"/>
        <v>d) A la percepción de la carga que supone su cuidado</v>
      </c>
    </row>
    <row r="962" spans="1:5" x14ac:dyDescent="0.25">
      <c r="A962">
        <v>961</v>
      </c>
      <c r="B962" t="s">
        <v>1689</v>
      </c>
      <c r="C962">
        <v>1</v>
      </c>
      <c r="D962" t="str">
        <f t="shared" si="30"/>
        <v>P</v>
      </c>
      <c r="E962" t="str">
        <f t="shared" si="29"/>
        <v>Para Graciela Tonon. ¿Cúal es la etapa de la Estrategia Metodológica de intervención en situaciones de maltrato infantil en la cual se identifican el nivel de riesgo y el nivel de severidad de la situación?</v>
      </c>
    </row>
    <row r="963" spans="1:5" x14ac:dyDescent="0.25">
      <c r="A963">
        <v>962</v>
      </c>
      <c r="B963" t="s">
        <v>333</v>
      </c>
      <c r="C963">
        <v>0</v>
      </c>
      <c r="D963" t="str">
        <f t="shared" si="30"/>
        <v>a</v>
      </c>
      <c r="E963" t="str">
        <f t="shared" ref="E963:E1026" si="31">+IF(D963="*",MID(B963,3,500),B963)</f>
        <v>a) Anamnesis.</v>
      </c>
    </row>
    <row r="964" spans="1:5" x14ac:dyDescent="0.25">
      <c r="A964">
        <v>963</v>
      </c>
      <c r="B964" t="s">
        <v>334</v>
      </c>
      <c r="C964">
        <v>0</v>
      </c>
      <c r="D964" t="str">
        <f t="shared" si="30"/>
        <v>b</v>
      </c>
      <c r="E964" t="str">
        <f t="shared" si="31"/>
        <v>b) Determinación de la intervención.</v>
      </c>
    </row>
    <row r="965" spans="1:5" x14ac:dyDescent="0.25">
      <c r="A965">
        <v>964</v>
      </c>
      <c r="B965" t="s">
        <v>335</v>
      </c>
      <c r="C965">
        <v>0</v>
      </c>
      <c r="D965" t="str">
        <f t="shared" si="30"/>
        <v>c</v>
      </c>
      <c r="E965" t="str">
        <f t="shared" si="31"/>
        <v>c) Diagnóstico del caso.</v>
      </c>
    </row>
    <row r="966" spans="1:5" x14ac:dyDescent="0.25">
      <c r="A966">
        <v>965</v>
      </c>
      <c r="B966" t="s">
        <v>336</v>
      </c>
      <c r="C966">
        <v>0</v>
      </c>
      <c r="D966" t="str">
        <f t="shared" si="30"/>
        <v>*</v>
      </c>
      <c r="E966" t="str">
        <f t="shared" si="31"/>
        <v>d) Validación de la situación.</v>
      </c>
    </row>
    <row r="967" spans="1:5" x14ac:dyDescent="0.25">
      <c r="A967">
        <v>966</v>
      </c>
      <c r="B967" t="s">
        <v>1690</v>
      </c>
      <c r="C967">
        <v>1</v>
      </c>
      <c r="D967" t="str">
        <f t="shared" si="30"/>
        <v>S</v>
      </c>
      <c r="E967" t="str">
        <f t="shared" si="31"/>
        <v>Siguiendo a Foucault, el control de la sociedad sobre los individuos se opera por la conciencia y se ejerce en el cuerpo. Por lo tanto para este autor el cuerpo es:</v>
      </c>
    </row>
    <row r="968" spans="1:5" x14ac:dyDescent="0.25">
      <c r="A968">
        <v>967</v>
      </c>
      <c r="B968" t="s">
        <v>337</v>
      </c>
      <c r="C968">
        <v>0</v>
      </c>
      <c r="D968" t="str">
        <f t="shared" si="30"/>
        <v>a</v>
      </c>
      <c r="E968" t="str">
        <f t="shared" si="31"/>
        <v>a) Un instrumento de exploración</v>
      </c>
    </row>
    <row r="969" spans="1:5" x14ac:dyDescent="0.25">
      <c r="A969">
        <v>968</v>
      </c>
      <c r="B969" t="s">
        <v>338</v>
      </c>
      <c r="C969">
        <v>0</v>
      </c>
      <c r="D969" t="str">
        <f t="shared" si="30"/>
        <v>b</v>
      </c>
      <c r="E969" t="str">
        <f t="shared" si="31"/>
        <v>b) Una herramienta del poder médico</v>
      </c>
    </row>
    <row r="970" spans="1:5" x14ac:dyDescent="0.25">
      <c r="A970">
        <v>969</v>
      </c>
      <c r="B970" t="s">
        <v>339</v>
      </c>
      <c r="C970">
        <v>0</v>
      </c>
      <c r="D970" t="str">
        <f t="shared" si="30"/>
        <v>c</v>
      </c>
      <c r="E970" t="str">
        <f t="shared" si="31"/>
        <v>c) Un objeto de dominación</v>
      </c>
    </row>
    <row r="971" spans="1:5" x14ac:dyDescent="0.25">
      <c r="A971">
        <v>970</v>
      </c>
      <c r="B971" t="s">
        <v>340</v>
      </c>
      <c r="C971">
        <v>0</v>
      </c>
      <c r="D971" t="str">
        <f t="shared" si="30"/>
        <v>*</v>
      </c>
      <c r="E971" t="str">
        <f t="shared" si="31"/>
        <v>d) Una realidad biopolítica</v>
      </c>
    </row>
    <row r="972" spans="1:5" x14ac:dyDescent="0.25">
      <c r="A972">
        <v>971</v>
      </c>
      <c r="B972" t="s">
        <v>1712</v>
      </c>
      <c r="C972">
        <v>1</v>
      </c>
      <c r="D972" t="str">
        <f t="shared" si="30"/>
        <v>P</v>
      </c>
      <c r="E972" t="str">
        <f t="shared" si="31"/>
        <v>Para Torcigliani y Campana ¿Cómo se denomina el tipo de comunicación del proceso grupal que se inicia mediante un vínculo estructurado a partir de un emergente de apertura intencionada?</v>
      </c>
    </row>
    <row r="973" spans="1:5" x14ac:dyDescent="0.25">
      <c r="A973">
        <v>972</v>
      </c>
      <c r="B973" t="s">
        <v>341</v>
      </c>
      <c r="C973">
        <v>0</v>
      </c>
      <c r="D973" t="str">
        <f t="shared" si="30"/>
        <v>*</v>
      </c>
      <c r="E973" t="str">
        <f t="shared" si="31"/>
        <v>a) Dialógica reflexiva.</v>
      </c>
    </row>
    <row r="974" spans="1:5" x14ac:dyDescent="0.25">
      <c r="A974">
        <v>973</v>
      </c>
      <c r="B974" t="s">
        <v>342</v>
      </c>
      <c r="C974">
        <v>0</v>
      </c>
      <c r="D974" t="str">
        <f t="shared" si="30"/>
        <v>b</v>
      </c>
      <c r="E974" t="str">
        <f t="shared" si="31"/>
        <v>b) Focalizada programática.</v>
      </c>
    </row>
    <row r="975" spans="1:5" x14ac:dyDescent="0.25">
      <c r="A975">
        <v>974</v>
      </c>
      <c r="B975" t="s">
        <v>343</v>
      </c>
      <c r="C975">
        <v>0</v>
      </c>
      <c r="D975" t="str">
        <f t="shared" si="30"/>
        <v>c</v>
      </c>
      <c r="E975" t="str">
        <f t="shared" si="31"/>
        <v>c) Estructurada prepautada.</v>
      </c>
    </row>
    <row r="976" spans="1:5" x14ac:dyDescent="0.25">
      <c r="A976">
        <v>975</v>
      </c>
      <c r="B976" t="s">
        <v>344</v>
      </c>
      <c r="C976">
        <v>0</v>
      </c>
      <c r="D976" t="str">
        <f t="shared" si="30"/>
        <v>d</v>
      </c>
      <c r="E976" t="str">
        <f t="shared" si="31"/>
        <v>d) Directiva manifiesta.</v>
      </c>
    </row>
    <row r="977" spans="1:5" x14ac:dyDescent="0.25">
      <c r="A977">
        <v>976</v>
      </c>
      <c r="B977" t="s">
        <v>1713</v>
      </c>
      <c r="C977">
        <v>1</v>
      </c>
      <c r="D977" t="str">
        <f t="shared" si="30"/>
        <v>P</v>
      </c>
      <c r="E977" t="str">
        <f t="shared" si="31"/>
        <v>Para Torcigliani y Campana ¿cuáles son las constantes que caracterizan el trabajo con grupo?</v>
      </c>
    </row>
    <row r="978" spans="1:5" x14ac:dyDescent="0.25">
      <c r="A978">
        <v>977</v>
      </c>
      <c r="B978" t="s">
        <v>345</v>
      </c>
      <c r="C978">
        <v>0</v>
      </c>
      <c r="D978" t="str">
        <f t="shared" si="30"/>
        <v>a</v>
      </c>
      <c r="E978" t="str">
        <f t="shared" si="31"/>
        <v>a) Comunicación- estructura- cordinación</v>
      </c>
    </row>
    <row r="979" spans="1:5" x14ac:dyDescent="0.25">
      <c r="A979">
        <v>978</v>
      </c>
      <c r="B979" t="s">
        <v>346</v>
      </c>
      <c r="C979">
        <v>0</v>
      </c>
      <c r="D979" t="str">
        <f t="shared" si="30"/>
        <v>*</v>
      </c>
      <c r="E979" t="str">
        <f t="shared" si="31"/>
        <v>b) Personas- tiempo- espacio</v>
      </c>
    </row>
    <row r="980" spans="1:5" x14ac:dyDescent="0.25">
      <c r="A980">
        <v>979</v>
      </c>
      <c r="B980" t="s">
        <v>347</v>
      </c>
      <c r="C980">
        <v>0</v>
      </c>
      <c r="D980" t="str">
        <f t="shared" si="30"/>
        <v>c</v>
      </c>
      <c r="E980" t="str">
        <f t="shared" si="31"/>
        <v>c) Planificación- registro- evaluación</v>
      </c>
    </row>
    <row r="981" spans="1:5" x14ac:dyDescent="0.25">
      <c r="A981">
        <v>980</v>
      </c>
      <c r="B981" t="s">
        <v>348</v>
      </c>
      <c r="C981">
        <v>0</v>
      </c>
      <c r="D981" t="str">
        <f t="shared" si="30"/>
        <v>d</v>
      </c>
      <c r="E981" t="str">
        <f t="shared" si="31"/>
        <v>d) Tarea- tiempo- roles</v>
      </c>
    </row>
    <row r="982" spans="1:5" x14ac:dyDescent="0.25">
      <c r="A982">
        <v>981</v>
      </c>
      <c r="B982" t="s">
        <v>1693</v>
      </c>
      <c r="C982">
        <v>1</v>
      </c>
      <c r="D982" t="str">
        <f t="shared" si="30"/>
        <v>P</v>
      </c>
      <c r="E982" t="str">
        <f t="shared" si="31"/>
        <v>Para Torcigliani y Campana ¿En qué ámbito se constituyen las representaciones sociales?</v>
      </c>
    </row>
    <row r="983" spans="1:5" x14ac:dyDescent="0.25">
      <c r="A983">
        <v>982</v>
      </c>
      <c r="B983" t="s">
        <v>349</v>
      </c>
      <c r="C983">
        <v>0</v>
      </c>
      <c r="D983" t="str">
        <f t="shared" si="30"/>
        <v>a</v>
      </c>
      <c r="E983" t="str">
        <f t="shared" si="31"/>
        <v>a) Emocional.</v>
      </c>
    </row>
    <row r="984" spans="1:5" x14ac:dyDescent="0.25">
      <c r="A984">
        <v>983</v>
      </c>
      <c r="B984" t="s">
        <v>350</v>
      </c>
      <c r="C984">
        <v>0</v>
      </c>
      <c r="D984" t="str">
        <f t="shared" si="30"/>
        <v>b</v>
      </c>
      <c r="E984" t="str">
        <f t="shared" si="31"/>
        <v>b) Institucional.</v>
      </c>
    </row>
    <row r="985" spans="1:5" x14ac:dyDescent="0.25">
      <c r="A985">
        <v>984</v>
      </c>
      <c r="B985" t="s">
        <v>351</v>
      </c>
      <c r="C985">
        <v>0</v>
      </c>
      <c r="D985" t="str">
        <f t="shared" si="30"/>
        <v>*</v>
      </c>
      <c r="E985" t="str">
        <f t="shared" si="31"/>
        <v>c) Relacional.</v>
      </c>
    </row>
    <row r="986" spans="1:5" x14ac:dyDescent="0.25">
      <c r="A986">
        <v>985</v>
      </c>
      <c r="B986" t="s">
        <v>352</v>
      </c>
      <c r="C986">
        <v>0</v>
      </c>
      <c r="D986" t="str">
        <f t="shared" si="30"/>
        <v>d</v>
      </c>
      <c r="E986" t="str">
        <f t="shared" si="31"/>
        <v>d) Subjetivo.</v>
      </c>
    </row>
    <row r="987" spans="1:5" x14ac:dyDescent="0.25">
      <c r="A987">
        <v>986</v>
      </c>
      <c r="B987" t="s">
        <v>1694</v>
      </c>
      <c r="C987">
        <v>1</v>
      </c>
      <c r="D987" t="str">
        <f t="shared" si="30"/>
        <v>J</v>
      </c>
      <c r="E987" t="str">
        <f t="shared" si="31"/>
        <v>Jelin hace referencia al proceso histórico de migración rural- urbana y las redes de parentesco en América Latina. Según la autora ¿qué tipo de contexto otorgan estas redes a la experiencia migratoria?</v>
      </c>
    </row>
    <row r="988" spans="1:5" x14ac:dyDescent="0.25">
      <c r="A988">
        <v>987</v>
      </c>
      <c r="B988" t="s">
        <v>353</v>
      </c>
      <c r="C988">
        <v>0</v>
      </c>
      <c r="D988" t="str">
        <f t="shared" si="30"/>
        <v>a</v>
      </c>
      <c r="E988" t="str">
        <f t="shared" si="31"/>
        <v>a) Familiar y material.</v>
      </c>
    </row>
    <row r="989" spans="1:5" x14ac:dyDescent="0.25">
      <c r="A989">
        <v>988</v>
      </c>
      <c r="B989" t="s">
        <v>354</v>
      </c>
      <c r="C989">
        <v>0</v>
      </c>
      <c r="D989" t="str">
        <f t="shared" si="30"/>
        <v>*</v>
      </c>
      <c r="E989" t="str">
        <f t="shared" si="31"/>
        <v>b) Humano y social.</v>
      </c>
    </row>
    <row r="990" spans="1:5" x14ac:dyDescent="0.25">
      <c r="A990">
        <v>989</v>
      </c>
      <c r="B990" t="s">
        <v>355</v>
      </c>
      <c r="C990">
        <v>0</v>
      </c>
      <c r="D990" t="str">
        <f t="shared" si="30"/>
        <v>c</v>
      </c>
      <c r="E990" t="str">
        <f t="shared" si="31"/>
        <v>c) Laboral y comunitario.</v>
      </c>
    </row>
    <row r="991" spans="1:5" x14ac:dyDescent="0.25">
      <c r="A991">
        <v>990</v>
      </c>
      <c r="B991" t="s">
        <v>356</v>
      </c>
      <c r="C991">
        <v>0</v>
      </c>
      <c r="D991" t="str">
        <f t="shared" si="30"/>
        <v>d</v>
      </c>
      <c r="E991" t="str">
        <f t="shared" si="31"/>
        <v>d) Relacional y afectivo.</v>
      </c>
    </row>
    <row r="992" spans="1:5" x14ac:dyDescent="0.25">
      <c r="A992">
        <v>991</v>
      </c>
      <c r="B992" t="s">
        <v>1695</v>
      </c>
      <c r="C992">
        <v>1</v>
      </c>
      <c r="D992" t="str">
        <f t="shared" si="30"/>
        <v>P</v>
      </c>
      <c r="E992" t="str">
        <f t="shared" si="31"/>
        <v>Para Graciela Tonon ¿Cómo se denomina a las relaciones interpesonales en las cuales se ofrecen o intercambian ayudas del tipo material, emocional o instrumental, produciendo sensación de bienestar al receptor?</v>
      </c>
    </row>
    <row r="993" spans="1:5" x14ac:dyDescent="0.25">
      <c r="A993">
        <v>992</v>
      </c>
      <c r="B993" t="s">
        <v>357</v>
      </c>
      <c r="C993">
        <v>0</v>
      </c>
      <c r="D993" t="str">
        <f t="shared" si="30"/>
        <v>a</v>
      </c>
      <c r="E993" t="str">
        <f t="shared" si="31"/>
        <v>a) Alianza</v>
      </c>
    </row>
    <row r="994" spans="1:5" x14ac:dyDescent="0.25">
      <c r="A994">
        <v>993</v>
      </c>
      <c r="B994" t="s">
        <v>358</v>
      </c>
      <c r="C994">
        <v>0</v>
      </c>
      <c r="D994" t="str">
        <f t="shared" si="30"/>
        <v>b</v>
      </c>
      <c r="E994" t="str">
        <f t="shared" si="31"/>
        <v>b) Apoyo solidario</v>
      </c>
    </row>
    <row r="995" spans="1:5" x14ac:dyDescent="0.25">
      <c r="A995">
        <v>994</v>
      </c>
      <c r="B995" t="s">
        <v>359</v>
      </c>
      <c r="C995">
        <v>0</v>
      </c>
      <c r="D995" t="str">
        <f t="shared" si="30"/>
        <v>*</v>
      </c>
      <c r="E995" t="str">
        <f t="shared" si="31"/>
        <v>c) Red social</v>
      </c>
    </row>
    <row r="996" spans="1:5" x14ac:dyDescent="0.25">
      <c r="A996">
        <v>995</v>
      </c>
      <c r="B996" t="s">
        <v>360</v>
      </c>
      <c r="C996">
        <v>0</v>
      </c>
      <c r="D996" t="str">
        <f t="shared" ref="D996:D1059" si="32">+MID(B996,1,1)</f>
        <v>d</v>
      </c>
      <c r="E996" t="str">
        <f t="shared" si="31"/>
        <v>d) Vínculo comunitario</v>
      </c>
    </row>
    <row r="997" spans="1:5" x14ac:dyDescent="0.25">
      <c r="A997">
        <v>996</v>
      </c>
      <c r="B997" t="s">
        <v>1696</v>
      </c>
      <c r="C997">
        <v>1</v>
      </c>
      <c r="D997" t="str">
        <f t="shared" si="32"/>
        <v>S</v>
      </c>
      <c r="E997" t="str">
        <f t="shared" si="31"/>
        <v>Según Jelin, ¿Cúales son los criterios básicos que determinan la diferenciación del trabajo cotidiano entre los miembros de la familia?</v>
      </c>
    </row>
    <row r="998" spans="1:5" x14ac:dyDescent="0.25">
      <c r="A998">
        <v>997</v>
      </c>
      <c r="B998" t="s">
        <v>361</v>
      </c>
      <c r="C998">
        <v>0</v>
      </c>
      <c r="D998" t="str">
        <f t="shared" si="32"/>
        <v>a</v>
      </c>
      <c r="E998" t="str">
        <f t="shared" si="31"/>
        <v>a) La instrucción y el grado de parentesco.</v>
      </c>
    </row>
    <row r="999" spans="1:5" x14ac:dyDescent="0.25">
      <c r="A999">
        <v>998</v>
      </c>
      <c r="B999" t="s">
        <v>362</v>
      </c>
      <c r="C999">
        <v>0</v>
      </c>
      <c r="D999" t="str">
        <f t="shared" si="32"/>
        <v>b</v>
      </c>
      <c r="E999" t="str">
        <f t="shared" si="31"/>
        <v>b) La motivación y la capacidad individual.</v>
      </c>
    </row>
    <row r="1000" spans="1:5" x14ac:dyDescent="0.25">
      <c r="A1000">
        <v>999</v>
      </c>
      <c r="B1000" t="s">
        <v>363</v>
      </c>
      <c r="C1000">
        <v>0</v>
      </c>
      <c r="D1000" t="str">
        <f t="shared" si="32"/>
        <v>*</v>
      </c>
      <c r="E1000" t="str">
        <f t="shared" si="31"/>
        <v>c) El sexo y la edad.</v>
      </c>
    </row>
    <row r="1001" spans="1:5" x14ac:dyDescent="0.25">
      <c r="A1001">
        <v>1000</v>
      </c>
      <c r="B1001" t="s">
        <v>364</v>
      </c>
      <c r="C1001">
        <v>0</v>
      </c>
      <c r="D1001" t="str">
        <f t="shared" si="32"/>
        <v>d</v>
      </c>
      <c r="E1001" t="str">
        <f t="shared" si="31"/>
        <v>d) La voluntad y el compromiso.</v>
      </c>
    </row>
    <row r="1002" spans="1:5" x14ac:dyDescent="0.25">
      <c r="A1002">
        <v>1001</v>
      </c>
      <c r="B1002" s="1" t="s">
        <v>1714</v>
      </c>
      <c r="C1002">
        <v>1</v>
      </c>
      <c r="D1002" t="str">
        <f t="shared" si="32"/>
        <v>S</v>
      </c>
      <c r="E1002" t="str">
        <f t="shared" si="31"/>
        <v>Según Basaglia, la violencia y la exclusión se encuentran en instituciones basadas en una clara distribución de papeles y división del trabajo: como la escuela, la familia y las fábricas. Para el autor, la violencia y la exclusión: ¿En qué tipo de relaciones se desarrollan?</v>
      </c>
    </row>
    <row r="1003" spans="1:5" x14ac:dyDescent="0.25">
      <c r="A1003">
        <v>1002</v>
      </c>
      <c r="B1003" t="s">
        <v>417</v>
      </c>
      <c r="C1003">
        <v>0</v>
      </c>
      <c r="D1003" t="str">
        <f t="shared" si="32"/>
        <v>*</v>
      </c>
      <c r="E1003" t="str">
        <f t="shared" si="31"/>
        <v>a) En la base de todas las relaciones suceptibles de instaurarse en nuestra sociedad.</v>
      </c>
    </row>
    <row r="1004" spans="1:5" x14ac:dyDescent="0.25">
      <c r="A1004">
        <v>1003</v>
      </c>
      <c r="B1004" t="s">
        <v>418</v>
      </c>
      <c r="C1004">
        <v>0</v>
      </c>
      <c r="D1004" t="str">
        <f t="shared" si="32"/>
        <v>b</v>
      </c>
      <c r="E1004" t="str">
        <f t="shared" si="31"/>
        <v>b) En las relaciones basadas en los diferentes niveles de poder económico.</v>
      </c>
    </row>
    <row r="1005" spans="1:5" x14ac:dyDescent="0.25">
      <c r="A1005">
        <v>1004</v>
      </c>
      <c r="B1005" t="s">
        <v>419</v>
      </c>
      <c r="C1005">
        <v>0</v>
      </c>
      <c r="D1005" t="str">
        <f t="shared" si="32"/>
        <v>c</v>
      </c>
      <c r="E1005" t="str">
        <f t="shared" si="31"/>
        <v>c) En la totalidad de las relaciones entre personas de diferentes creencias religiosas.</v>
      </c>
    </row>
    <row r="1006" spans="1:5" x14ac:dyDescent="0.25">
      <c r="A1006">
        <v>1005</v>
      </c>
      <c r="B1006" t="s">
        <v>420</v>
      </c>
      <c r="C1006">
        <v>0</v>
      </c>
      <c r="D1006" t="str">
        <f t="shared" si="32"/>
        <v>d</v>
      </c>
      <c r="E1006" t="str">
        <f t="shared" si="31"/>
        <v>d) En las relaciones basadas en diferentes rangos en las instituciones de Salud Mental.</v>
      </c>
    </row>
    <row r="1007" spans="1:5" x14ac:dyDescent="0.25">
      <c r="A1007">
        <v>1006</v>
      </c>
      <c r="B1007" t="s">
        <v>1715</v>
      </c>
      <c r="C1007">
        <v>1</v>
      </c>
      <c r="D1007" t="str">
        <f t="shared" si="32"/>
        <v>S</v>
      </c>
      <c r="E1007" t="str">
        <f t="shared" si="31"/>
        <v>Según Basaglia. ¿Cúal es la única explicación de orden socio-económico por la cual nuestro sistema social no tiene ningún interés en rehabilitar al enfermo mental?</v>
      </c>
    </row>
    <row r="1008" spans="1:5" x14ac:dyDescent="0.25">
      <c r="A1008">
        <v>1007</v>
      </c>
      <c r="B1008" t="s">
        <v>421</v>
      </c>
      <c r="C1008">
        <v>0</v>
      </c>
      <c r="D1008" t="str">
        <f t="shared" si="32"/>
        <v>a</v>
      </c>
      <c r="E1008" t="str">
        <f t="shared" si="31"/>
        <v>a) No existen planes para la resocialización de toda la población de enfermos mentales.</v>
      </c>
    </row>
    <row r="1009" spans="1:5" x14ac:dyDescent="0.25">
      <c r="A1009">
        <v>1008</v>
      </c>
      <c r="B1009" t="s">
        <v>422</v>
      </c>
      <c r="C1009">
        <v>0</v>
      </c>
      <c r="D1009" t="str">
        <f t="shared" si="32"/>
        <v>b</v>
      </c>
      <c r="E1009" t="str">
        <f t="shared" si="31"/>
        <v>b) Gran parte de los familiares no estan dispuestos a colaborar con la externación.</v>
      </c>
    </row>
    <row r="1010" spans="1:5" x14ac:dyDescent="0.25">
      <c r="A1010">
        <v>1009</v>
      </c>
      <c r="B1010" t="s">
        <v>423</v>
      </c>
      <c r="C1010">
        <v>0</v>
      </c>
      <c r="D1010" t="str">
        <f t="shared" si="32"/>
        <v>*</v>
      </c>
      <c r="E1010" t="str">
        <f t="shared" si="31"/>
        <v>c) El problema del trabajo de los miembros sanos no se haya enteramente resuelto.</v>
      </c>
    </row>
    <row r="1011" spans="1:5" x14ac:dyDescent="0.25">
      <c r="A1011">
        <v>1010</v>
      </c>
      <c r="B1011" t="s">
        <v>424</v>
      </c>
      <c r="C1011">
        <v>0</v>
      </c>
      <c r="D1011" t="str">
        <f t="shared" si="32"/>
        <v>d</v>
      </c>
      <c r="E1011" t="str">
        <f t="shared" si="31"/>
        <v>d) No pueden tener acceso a la educación esperable en la actualidad.</v>
      </c>
    </row>
    <row r="1012" spans="1:5" x14ac:dyDescent="0.25">
      <c r="A1012">
        <v>1011</v>
      </c>
      <c r="B1012" t="s">
        <v>1716</v>
      </c>
      <c r="C1012">
        <v>1</v>
      </c>
      <c r="D1012" t="str">
        <f t="shared" si="32"/>
        <v>C</v>
      </c>
      <c r="E1012" t="str">
        <f t="shared" si="31"/>
        <v>Cuando Bourdieu y Wacquant, desarrollan su definición de "campo", ¿A qué noción se oponen abiertamente?</v>
      </c>
    </row>
    <row r="1013" spans="1:5" x14ac:dyDescent="0.25">
      <c r="A1013">
        <v>1012</v>
      </c>
      <c r="B1013" t="s">
        <v>425</v>
      </c>
      <c r="C1013">
        <v>0</v>
      </c>
      <c r="D1013" t="str">
        <f t="shared" si="32"/>
        <v>*</v>
      </c>
      <c r="E1013" t="str">
        <f t="shared" si="31"/>
        <v>a) La de aparato.</v>
      </c>
    </row>
    <row r="1014" spans="1:5" x14ac:dyDescent="0.25">
      <c r="A1014">
        <v>1013</v>
      </c>
      <c r="B1014" t="s">
        <v>426</v>
      </c>
      <c r="C1014">
        <v>0</v>
      </c>
      <c r="D1014" t="str">
        <f t="shared" si="32"/>
        <v>b</v>
      </c>
      <c r="E1014" t="str">
        <f t="shared" si="31"/>
        <v>b) La de distribución.</v>
      </c>
    </row>
    <row r="1015" spans="1:5" x14ac:dyDescent="0.25">
      <c r="A1015">
        <v>1014</v>
      </c>
      <c r="B1015" t="s">
        <v>427</v>
      </c>
      <c r="C1015">
        <v>0</v>
      </c>
      <c r="D1015" t="str">
        <f t="shared" si="32"/>
        <v>c</v>
      </c>
      <c r="E1015" t="str">
        <f t="shared" si="31"/>
        <v>c) La de estructura.</v>
      </c>
    </row>
    <row r="1016" spans="1:5" x14ac:dyDescent="0.25">
      <c r="A1016">
        <v>1015</v>
      </c>
      <c r="B1016" t="s">
        <v>428</v>
      </c>
      <c r="C1016">
        <v>0</v>
      </c>
      <c r="D1016" t="str">
        <f t="shared" si="32"/>
        <v>d</v>
      </c>
      <c r="E1016" t="str">
        <f t="shared" si="31"/>
        <v>d) La de sistema.</v>
      </c>
    </row>
    <row r="1017" spans="1:5" x14ac:dyDescent="0.25">
      <c r="A1017">
        <v>1016</v>
      </c>
      <c r="B1017" s="1" t="s">
        <v>1717</v>
      </c>
      <c r="C1017">
        <v>1</v>
      </c>
      <c r="D1017" t="str">
        <f t="shared" si="32"/>
        <v>S</v>
      </c>
      <c r="E1017" t="str">
        <f t="shared" si="31"/>
        <v>Según Carballeda: en "Del desorden de los cuerpos al orden de la sociedad", la visión de la guerra de Sarmiento empezaba a anunciar que, luego de  su finalización en el terreno de lo formal, la misma empezaría a correrse hacia la periferia y delinearia su continuidad en la paz. ¿De qué forma se expresaría esta continuidad?</v>
      </c>
    </row>
    <row r="1018" spans="1:5" x14ac:dyDescent="0.25">
      <c r="A1018">
        <v>1017</v>
      </c>
      <c r="B1018" t="s">
        <v>429</v>
      </c>
      <c r="C1018">
        <v>0</v>
      </c>
      <c r="D1018" t="str">
        <f t="shared" si="32"/>
        <v>a</v>
      </c>
      <c r="E1018" t="str">
        <f t="shared" si="31"/>
        <v>a) En el aumento de la distribución del poder.</v>
      </c>
    </row>
    <row r="1019" spans="1:5" x14ac:dyDescent="0.25">
      <c r="A1019">
        <v>1018</v>
      </c>
      <c r="B1019" t="s">
        <v>430</v>
      </c>
      <c r="C1019">
        <v>0</v>
      </c>
      <c r="D1019" t="str">
        <f t="shared" si="32"/>
        <v>*</v>
      </c>
      <c r="E1019" t="str">
        <f t="shared" si="31"/>
        <v>b) En el disciplinamiento del cuerpo social.</v>
      </c>
    </row>
    <row r="1020" spans="1:5" x14ac:dyDescent="0.25">
      <c r="A1020">
        <v>1019</v>
      </c>
      <c r="B1020" t="s">
        <v>431</v>
      </c>
      <c r="C1020">
        <v>0</v>
      </c>
      <c r="D1020" t="str">
        <f t="shared" si="32"/>
        <v>c</v>
      </c>
      <c r="E1020" t="str">
        <f t="shared" si="31"/>
        <v>c) En el favorecimiento de la inclusión ciudadana.</v>
      </c>
    </row>
    <row r="1021" spans="1:5" x14ac:dyDescent="0.25">
      <c r="A1021">
        <v>1020</v>
      </c>
      <c r="B1021" t="s">
        <v>432</v>
      </c>
      <c r="C1021">
        <v>0</v>
      </c>
      <c r="D1021" t="str">
        <f t="shared" si="32"/>
        <v>d</v>
      </c>
      <c r="E1021" t="str">
        <f t="shared" si="31"/>
        <v>d) En el mejoramiento de la educación comunitaria.</v>
      </c>
    </row>
    <row r="1022" spans="1:5" x14ac:dyDescent="0.25">
      <c r="A1022">
        <v>1021</v>
      </c>
      <c r="B1022" t="s">
        <v>1718</v>
      </c>
      <c r="C1022">
        <v>1</v>
      </c>
      <c r="D1022" t="str">
        <f t="shared" si="32"/>
        <v>S</v>
      </c>
      <c r="E1022" t="str">
        <f t="shared" si="31"/>
        <v>Según Carballeda en "Del desorden de los cuerpos al orden de la sociedad", dada la influencia de las ciencias naturales para interpretar lo económico y lo social. ¿Desde qué perspectiva leerá la sociedad el Positivismo Argentino?</v>
      </c>
    </row>
    <row r="1023" spans="1:5" x14ac:dyDescent="0.25">
      <c r="A1023">
        <v>1022</v>
      </c>
      <c r="B1023" t="s">
        <v>433</v>
      </c>
      <c r="C1023">
        <v>0</v>
      </c>
      <c r="D1023" t="str">
        <f t="shared" si="32"/>
        <v>a</v>
      </c>
      <c r="E1023" t="str">
        <f t="shared" si="31"/>
        <v>a) Desde el Capitalismo ortodoxo.</v>
      </c>
    </row>
    <row r="1024" spans="1:5" x14ac:dyDescent="0.25">
      <c r="A1024">
        <v>1023</v>
      </c>
      <c r="B1024" t="s">
        <v>434</v>
      </c>
      <c r="C1024">
        <v>0</v>
      </c>
      <c r="D1024" t="str">
        <f t="shared" si="32"/>
        <v>*</v>
      </c>
      <c r="E1024" t="str">
        <f t="shared" si="31"/>
        <v>b) Desde el Darwinismo social.</v>
      </c>
    </row>
    <row r="1025" spans="1:5" x14ac:dyDescent="0.25">
      <c r="A1025">
        <v>1024</v>
      </c>
      <c r="B1025" t="s">
        <v>435</v>
      </c>
      <c r="C1025">
        <v>0</v>
      </c>
      <c r="D1025" t="str">
        <f t="shared" si="32"/>
        <v>c</v>
      </c>
      <c r="E1025" t="str">
        <f t="shared" si="31"/>
        <v>c) Desde el Marxismo clásico.</v>
      </c>
    </row>
    <row r="1026" spans="1:5" x14ac:dyDescent="0.25">
      <c r="A1026">
        <v>1025</v>
      </c>
      <c r="B1026" t="s">
        <v>436</v>
      </c>
      <c r="C1026">
        <v>0</v>
      </c>
      <c r="D1026" t="str">
        <f t="shared" si="32"/>
        <v>d</v>
      </c>
      <c r="E1026" t="str">
        <f t="shared" si="31"/>
        <v>d) Desde el Nacional socialismo.</v>
      </c>
    </row>
    <row r="1027" spans="1:5" x14ac:dyDescent="0.25">
      <c r="A1027">
        <v>1026</v>
      </c>
      <c r="B1027" t="s">
        <v>1719</v>
      </c>
      <c r="C1027">
        <v>1</v>
      </c>
      <c r="D1027" t="str">
        <f t="shared" si="32"/>
        <v>D</v>
      </c>
      <c r="E1027" t="str">
        <f t="shared" ref="E1027:E1090" si="33">+IF(D1027="*",MID(B1027,3,500),B1027)</f>
        <v>Danani plantea que como nada es permanente y universal; se retome la cuestión social de la Economía Social, como propuesta de construcción de un sistema que permita satisfacer las necesidades legítimas de todos sus miembros. ¿Cómo se llama ese sistema?</v>
      </c>
    </row>
    <row r="1028" spans="1:5" x14ac:dyDescent="0.25">
      <c r="A1028">
        <v>1027</v>
      </c>
      <c r="B1028" t="s">
        <v>437</v>
      </c>
      <c r="C1028">
        <v>0</v>
      </c>
      <c r="D1028" t="str">
        <f t="shared" si="32"/>
        <v>a</v>
      </c>
      <c r="E1028" t="str">
        <f t="shared" si="33"/>
        <v>a) Dialéctico.</v>
      </c>
    </row>
    <row r="1029" spans="1:5" x14ac:dyDescent="0.25">
      <c r="A1029">
        <v>1028</v>
      </c>
      <c r="B1029" t="s">
        <v>438</v>
      </c>
      <c r="C1029">
        <v>0</v>
      </c>
      <c r="D1029" t="str">
        <f t="shared" si="32"/>
        <v>b</v>
      </c>
      <c r="E1029" t="str">
        <f t="shared" si="33"/>
        <v>b) Dinámico.</v>
      </c>
    </row>
    <row r="1030" spans="1:5" x14ac:dyDescent="0.25">
      <c r="A1030">
        <v>1029</v>
      </c>
      <c r="B1030" t="s">
        <v>439</v>
      </c>
      <c r="C1030">
        <v>0</v>
      </c>
      <c r="D1030" t="str">
        <f t="shared" si="32"/>
        <v>*</v>
      </c>
      <c r="E1030" t="str">
        <f t="shared" si="33"/>
        <v>c) Reflexivo.</v>
      </c>
    </row>
    <row r="1031" spans="1:5" x14ac:dyDescent="0.25">
      <c r="A1031">
        <v>1030</v>
      </c>
      <c r="B1031" t="s">
        <v>440</v>
      </c>
      <c r="C1031">
        <v>0</v>
      </c>
      <c r="D1031" t="str">
        <f t="shared" si="32"/>
        <v>d</v>
      </c>
      <c r="E1031" t="str">
        <f t="shared" si="33"/>
        <v>d) Reproductivo.</v>
      </c>
    </row>
    <row r="1032" spans="1:5" x14ac:dyDescent="0.25">
      <c r="A1032">
        <v>1031</v>
      </c>
      <c r="B1032" t="s">
        <v>1720</v>
      </c>
      <c r="C1032">
        <v>1</v>
      </c>
      <c r="D1032" t="str">
        <f t="shared" si="32"/>
        <v>¿</v>
      </c>
      <c r="E1032" t="str">
        <f t="shared" si="33"/>
        <v>¿Porqué para Danani, solo las formas de pensar la solidaridad, las necesidades y la convivencia social nos harán libres?</v>
      </c>
    </row>
    <row r="1033" spans="1:5" x14ac:dyDescent="0.25">
      <c r="A1033">
        <v>1032</v>
      </c>
      <c r="B1033" t="s">
        <v>441</v>
      </c>
      <c r="C1033">
        <v>0</v>
      </c>
      <c r="D1033" t="str">
        <f t="shared" si="32"/>
        <v>a</v>
      </c>
      <c r="E1033" t="str">
        <f t="shared" si="33"/>
        <v>a) Aumentan la acción estatal sobre la marginalidad.</v>
      </c>
    </row>
    <row r="1034" spans="1:5" x14ac:dyDescent="0.25">
      <c r="A1034">
        <v>1033</v>
      </c>
      <c r="B1034" t="s">
        <v>442</v>
      </c>
      <c r="C1034">
        <v>0</v>
      </c>
      <c r="D1034" t="str">
        <f t="shared" si="32"/>
        <v>b</v>
      </c>
      <c r="E1034" t="str">
        <f t="shared" si="33"/>
        <v>b) Compensán las diferencias que favorecen las inequidades.</v>
      </c>
    </row>
    <row r="1035" spans="1:5" x14ac:dyDescent="0.25">
      <c r="A1035">
        <v>1034</v>
      </c>
      <c r="B1035" t="s">
        <v>443</v>
      </c>
      <c r="C1035">
        <v>0</v>
      </c>
      <c r="D1035" t="str">
        <f t="shared" si="32"/>
        <v>*</v>
      </c>
      <c r="E1035" t="str">
        <f t="shared" si="33"/>
        <v>c) Pueden ponernos en el camino de la igualdad.</v>
      </c>
    </row>
    <row r="1036" spans="1:5" x14ac:dyDescent="0.25">
      <c r="A1036">
        <v>1035</v>
      </c>
      <c r="B1036" t="s">
        <v>444</v>
      </c>
      <c r="C1036">
        <v>0</v>
      </c>
      <c r="D1036" t="str">
        <f t="shared" si="32"/>
        <v>d</v>
      </c>
      <c r="E1036" t="str">
        <f t="shared" si="33"/>
        <v>d) Recuperan la contrucción de redes solidarias.</v>
      </c>
    </row>
    <row r="1037" spans="1:5" x14ac:dyDescent="0.25">
      <c r="A1037">
        <v>1036</v>
      </c>
      <c r="B1037" t="s">
        <v>1721</v>
      </c>
      <c r="C1037">
        <v>1</v>
      </c>
      <c r="D1037" t="str">
        <f t="shared" si="32"/>
        <v>P</v>
      </c>
      <c r="E1037" t="str">
        <f t="shared" si="33"/>
        <v>Para Giddens, la seguridad ontológica tiene que ver con el ser o en términos fenomenológicos con el "ser - en - el - mundo". Para el autor: ¿Donde esta enraizado este fenómeno anímico?</v>
      </c>
    </row>
    <row r="1038" spans="1:5" x14ac:dyDescent="0.25">
      <c r="A1038">
        <v>1037</v>
      </c>
      <c r="B1038" t="s">
        <v>445</v>
      </c>
      <c r="C1038">
        <v>0</v>
      </c>
      <c r="D1038" t="str">
        <f t="shared" si="32"/>
        <v>*</v>
      </c>
      <c r="E1038" t="str">
        <f t="shared" si="33"/>
        <v>a) En el inconciente.</v>
      </c>
    </row>
    <row r="1039" spans="1:5" x14ac:dyDescent="0.25">
      <c r="A1039">
        <v>1038</v>
      </c>
      <c r="B1039" t="s">
        <v>446</v>
      </c>
      <c r="C1039">
        <v>0</v>
      </c>
      <c r="D1039" t="str">
        <f t="shared" si="32"/>
        <v>b</v>
      </c>
      <c r="E1039" t="str">
        <f t="shared" si="33"/>
        <v>b) En las percepciones.</v>
      </c>
    </row>
    <row r="1040" spans="1:5" x14ac:dyDescent="0.25">
      <c r="A1040">
        <v>1039</v>
      </c>
      <c r="B1040" t="s">
        <v>447</v>
      </c>
      <c r="C1040">
        <v>0</v>
      </c>
      <c r="D1040" t="str">
        <f t="shared" si="32"/>
        <v>c</v>
      </c>
      <c r="E1040" t="str">
        <f t="shared" si="33"/>
        <v>c) En los recuerdos.</v>
      </c>
    </row>
    <row r="1041" spans="1:5" x14ac:dyDescent="0.25">
      <c r="A1041">
        <v>1040</v>
      </c>
      <c r="B1041" t="s">
        <v>448</v>
      </c>
      <c r="C1041">
        <v>0</v>
      </c>
      <c r="D1041" t="str">
        <f t="shared" si="32"/>
        <v>d</v>
      </c>
      <c r="E1041" t="str">
        <f t="shared" si="33"/>
        <v>d) En los sentimientos.</v>
      </c>
    </row>
    <row r="1042" spans="1:5" x14ac:dyDescent="0.25">
      <c r="A1042">
        <v>1041</v>
      </c>
      <c r="B1042" t="s">
        <v>1722</v>
      </c>
      <c r="C1042">
        <v>1</v>
      </c>
      <c r="D1042" t="str">
        <f t="shared" si="32"/>
        <v>C</v>
      </c>
      <c r="E1042" t="str">
        <f t="shared" si="33"/>
        <v>Cuando Estela Grassi habla de la acción estatal que expresa la orientación normativa general, en lo atinente a la reproducción de la vida social y sus miembros en particular. ¿A qué esta haciendo referencia?</v>
      </c>
    </row>
    <row r="1043" spans="1:5" x14ac:dyDescent="0.25">
      <c r="A1043">
        <v>1042</v>
      </c>
      <c r="B1043" t="s">
        <v>449</v>
      </c>
      <c r="C1043">
        <v>0</v>
      </c>
      <c r="D1043" t="str">
        <f t="shared" si="32"/>
        <v>a</v>
      </c>
      <c r="E1043" t="str">
        <f t="shared" si="33"/>
        <v>a) A la cuestión social.</v>
      </c>
    </row>
    <row r="1044" spans="1:5" x14ac:dyDescent="0.25">
      <c r="A1044">
        <v>1043</v>
      </c>
      <c r="B1044" t="s">
        <v>450</v>
      </c>
      <c r="C1044">
        <v>0</v>
      </c>
      <c r="D1044" t="str">
        <f t="shared" si="32"/>
        <v>b</v>
      </c>
      <c r="E1044" t="str">
        <f t="shared" si="33"/>
        <v>b) A las políticas de empleo.</v>
      </c>
    </row>
    <row r="1045" spans="1:5" x14ac:dyDescent="0.25">
      <c r="A1045">
        <v>1044</v>
      </c>
      <c r="B1045" t="s">
        <v>451</v>
      </c>
      <c r="C1045">
        <v>0</v>
      </c>
      <c r="D1045" t="str">
        <f t="shared" si="32"/>
        <v>*</v>
      </c>
      <c r="E1045" t="str">
        <f t="shared" si="33"/>
        <v>c) A la política social.</v>
      </c>
    </row>
    <row r="1046" spans="1:5" x14ac:dyDescent="0.25">
      <c r="A1046">
        <v>1045</v>
      </c>
      <c r="B1046" t="s">
        <v>452</v>
      </c>
      <c r="C1046">
        <v>0</v>
      </c>
      <c r="D1046" t="str">
        <f t="shared" si="32"/>
        <v>d</v>
      </c>
      <c r="E1046" t="str">
        <f t="shared" si="33"/>
        <v>d) A la restitución de derechos.</v>
      </c>
    </row>
    <row r="1047" spans="1:5" x14ac:dyDescent="0.25">
      <c r="A1047">
        <v>1046</v>
      </c>
      <c r="B1047" t="s">
        <v>1723</v>
      </c>
      <c r="C1047">
        <v>1</v>
      </c>
      <c r="D1047" t="str">
        <f t="shared" si="32"/>
        <v>¿</v>
      </c>
      <c r="E1047" t="str">
        <f t="shared" si="33"/>
        <v>¿Cúal es, según Estela Grassi, la tensión subyacente que suponen las explicaciones y argumentos que se esgrimen y confrontan entre sí, y que contribuyen a la manera en que se constituye la cuestión social en cada época?</v>
      </c>
    </row>
    <row r="1048" spans="1:5" x14ac:dyDescent="0.25">
      <c r="A1048">
        <v>1047</v>
      </c>
      <c r="B1048" t="s">
        <v>453</v>
      </c>
      <c r="C1048">
        <v>0</v>
      </c>
      <c r="D1048" t="str">
        <f t="shared" si="32"/>
        <v>*</v>
      </c>
      <c r="E1048" t="str">
        <f t="shared" si="33"/>
        <v>a) Desposesión/ igualdad - libertad.</v>
      </c>
    </row>
    <row r="1049" spans="1:5" x14ac:dyDescent="0.25">
      <c r="A1049">
        <v>1048</v>
      </c>
      <c r="B1049" t="s">
        <v>454</v>
      </c>
      <c r="C1049">
        <v>0</v>
      </c>
      <c r="D1049" t="str">
        <f t="shared" si="32"/>
        <v>b</v>
      </c>
      <c r="E1049" t="str">
        <f t="shared" si="33"/>
        <v>b) Hegemonía/ mercado - estado.</v>
      </c>
    </row>
    <row r="1050" spans="1:5" x14ac:dyDescent="0.25">
      <c r="A1050">
        <v>1049</v>
      </c>
      <c r="B1050" t="s">
        <v>455</v>
      </c>
      <c r="C1050">
        <v>0</v>
      </c>
      <c r="D1050" t="str">
        <f t="shared" si="32"/>
        <v>c</v>
      </c>
      <c r="E1050" t="str">
        <f t="shared" si="33"/>
        <v>c) Pauperismo/ acumulación - capitalismo.</v>
      </c>
    </row>
    <row r="1051" spans="1:5" x14ac:dyDescent="0.25">
      <c r="A1051">
        <v>1050</v>
      </c>
      <c r="B1051" t="s">
        <v>456</v>
      </c>
      <c r="C1051">
        <v>0</v>
      </c>
      <c r="D1051" t="str">
        <f t="shared" si="32"/>
        <v>d</v>
      </c>
      <c r="E1051" t="str">
        <f t="shared" si="33"/>
        <v>d) Pobreza/ equidad - dependencia.</v>
      </c>
    </row>
    <row r="1052" spans="1:5" x14ac:dyDescent="0.25">
      <c r="A1052">
        <v>1051</v>
      </c>
      <c r="B1052" t="s">
        <v>1724</v>
      </c>
      <c r="C1052">
        <v>1</v>
      </c>
      <c r="D1052" t="str">
        <f t="shared" si="32"/>
        <v>S</v>
      </c>
      <c r="E1052" t="str">
        <f t="shared" si="33"/>
        <v>Sonia Fleury afirma que Welfare State es una invención europea en el mismo sentido que el Estado Nacional, la Democracia de Masas y el Capitalismo Industrial. Para la autora: ¿Qué dió lugar a su nacimiento?</v>
      </c>
    </row>
    <row r="1053" spans="1:5" x14ac:dyDescent="0.25">
      <c r="A1053">
        <v>1052</v>
      </c>
      <c r="B1053" t="s">
        <v>457</v>
      </c>
      <c r="C1053">
        <v>0</v>
      </c>
      <c r="D1053" t="str">
        <f t="shared" si="32"/>
        <v>a</v>
      </c>
      <c r="E1053" t="str">
        <f t="shared" si="33"/>
        <v>a) La economía de la época.</v>
      </c>
    </row>
    <row r="1054" spans="1:5" x14ac:dyDescent="0.25">
      <c r="A1054">
        <v>1053</v>
      </c>
      <c r="B1054" t="s">
        <v>458</v>
      </c>
      <c r="C1054">
        <v>0</v>
      </c>
      <c r="D1054" t="str">
        <f t="shared" si="32"/>
        <v>b</v>
      </c>
      <c r="E1054" t="str">
        <f t="shared" si="33"/>
        <v>b) La estructura de los gremios.</v>
      </c>
    </row>
    <row r="1055" spans="1:5" x14ac:dyDescent="0.25">
      <c r="A1055">
        <v>1054</v>
      </c>
      <c r="B1055" t="s">
        <v>459</v>
      </c>
      <c r="C1055">
        <v>0</v>
      </c>
      <c r="D1055" t="str">
        <f t="shared" si="32"/>
        <v>*</v>
      </c>
      <c r="E1055" t="str">
        <f t="shared" si="33"/>
        <v>c) La lucha de clases democrática.</v>
      </c>
    </row>
    <row r="1056" spans="1:5" x14ac:dyDescent="0.25">
      <c r="A1056">
        <v>1055</v>
      </c>
      <c r="B1056" t="s">
        <v>460</v>
      </c>
      <c r="C1056">
        <v>0</v>
      </c>
      <c r="D1056" t="str">
        <f t="shared" si="32"/>
        <v>d</v>
      </c>
      <c r="E1056" t="str">
        <f t="shared" si="33"/>
        <v>d) La organización de la nueva clase obrera.</v>
      </c>
    </row>
    <row r="1057" spans="1:5" x14ac:dyDescent="0.25">
      <c r="A1057">
        <v>1056</v>
      </c>
      <c r="B1057" s="1" t="s">
        <v>1725</v>
      </c>
      <c r="C1057">
        <v>1</v>
      </c>
      <c r="D1057" t="str">
        <f t="shared" si="32"/>
        <v>¿</v>
      </c>
      <c r="E1057" t="str">
        <f t="shared" si="33"/>
        <v>¿Como denomina Sonia Fleury al tercer tipo de modelo de la política social, en el que se rompe con la determinación del mercado prevalente en busca de una acción institucional de carácter público, contemplando la garantía de los bienes, servicios y renta mínima a todos los ciudadanos?</v>
      </c>
    </row>
    <row r="1058" spans="1:5" x14ac:dyDescent="0.25">
      <c r="A1058">
        <v>1057</v>
      </c>
      <c r="B1058" t="s">
        <v>461</v>
      </c>
      <c r="C1058">
        <v>0</v>
      </c>
      <c r="D1058" t="str">
        <f t="shared" si="32"/>
        <v>a</v>
      </c>
      <c r="E1058" t="str">
        <f t="shared" si="33"/>
        <v>a) Estatal funcional.</v>
      </c>
    </row>
    <row r="1059" spans="1:5" x14ac:dyDescent="0.25">
      <c r="A1059">
        <v>1058</v>
      </c>
      <c r="B1059" t="s">
        <v>462</v>
      </c>
      <c r="C1059">
        <v>0</v>
      </c>
      <c r="D1059" t="str">
        <f t="shared" si="32"/>
        <v>*</v>
      </c>
      <c r="E1059" t="str">
        <f t="shared" si="33"/>
        <v>b) Institucional redistributivo.</v>
      </c>
    </row>
    <row r="1060" spans="1:5" x14ac:dyDescent="0.25">
      <c r="A1060">
        <v>1059</v>
      </c>
      <c r="B1060" t="s">
        <v>463</v>
      </c>
      <c r="C1060">
        <v>0</v>
      </c>
      <c r="D1060" t="str">
        <f t="shared" ref="D1060:D1123" si="34">+MID(B1060,1,1)</f>
        <v>c</v>
      </c>
      <c r="E1060" t="str">
        <f t="shared" si="33"/>
        <v>c) Gubernamental focalizado.</v>
      </c>
    </row>
    <row r="1061" spans="1:5" x14ac:dyDescent="0.25">
      <c r="A1061">
        <v>1060</v>
      </c>
      <c r="B1061" t="s">
        <v>464</v>
      </c>
      <c r="C1061">
        <v>0</v>
      </c>
      <c r="D1061" t="str">
        <f t="shared" si="34"/>
        <v>d</v>
      </c>
      <c r="E1061" t="str">
        <f t="shared" si="33"/>
        <v>d) Programático universal.</v>
      </c>
    </row>
    <row r="1062" spans="1:5" x14ac:dyDescent="0.25">
      <c r="A1062">
        <v>1061</v>
      </c>
      <c r="B1062" s="1" t="s">
        <v>1726</v>
      </c>
      <c r="C1062">
        <v>1</v>
      </c>
      <c r="D1062" t="str">
        <f t="shared" si="34"/>
        <v>P</v>
      </c>
      <c r="E1062" t="str">
        <f t="shared" si="33"/>
        <v>Para Altamirano, Armanini y Gonzalez es posible señalar que si "el deseo maternal" no esta determinado por un instinto innato, sino que constituye el producto de un "saber - hacer - heredado". Su elección y concreción dependen de diversos condicionantes de indole socio-cultural. Para los autores: ¿Cómo se denominan estos recursos?</v>
      </c>
    </row>
    <row r="1063" spans="1:5" x14ac:dyDescent="0.25">
      <c r="A1063">
        <v>1062</v>
      </c>
      <c r="B1063" t="s">
        <v>465</v>
      </c>
      <c r="C1063">
        <v>0</v>
      </c>
      <c r="D1063" t="str">
        <f t="shared" si="34"/>
        <v>a</v>
      </c>
      <c r="E1063" t="str">
        <f t="shared" si="33"/>
        <v>a) Económicos y educativos.</v>
      </c>
    </row>
    <row r="1064" spans="1:5" x14ac:dyDescent="0.25">
      <c r="A1064">
        <v>1063</v>
      </c>
      <c r="B1064" t="s">
        <v>466</v>
      </c>
      <c r="C1064">
        <v>0</v>
      </c>
      <c r="D1064" t="str">
        <f t="shared" si="34"/>
        <v>b</v>
      </c>
      <c r="E1064" t="str">
        <f t="shared" si="33"/>
        <v>b) Familiares e institucionales.</v>
      </c>
    </row>
    <row r="1065" spans="1:5" x14ac:dyDescent="0.25">
      <c r="A1065">
        <v>1064</v>
      </c>
      <c r="B1065" t="s">
        <v>467</v>
      </c>
      <c r="C1065">
        <v>0</v>
      </c>
      <c r="D1065" t="str">
        <f t="shared" si="34"/>
        <v>*</v>
      </c>
      <c r="E1065" t="str">
        <f t="shared" si="33"/>
        <v>c) Instrumentales y emocionales.</v>
      </c>
    </row>
    <row r="1066" spans="1:5" x14ac:dyDescent="0.25">
      <c r="A1066">
        <v>1065</v>
      </c>
      <c r="B1066" t="s">
        <v>468</v>
      </c>
      <c r="C1066">
        <v>0</v>
      </c>
      <c r="D1066" t="str">
        <f t="shared" si="34"/>
        <v>d</v>
      </c>
      <c r="E1066" t="str">
        <f t="shared" si="33"/>
        <v>d) Juridico y afectivos.</v>
      </c>
    </row>
    <row r="1067" spans="1:5" x14ac:dyDescent="0.25">
      <c r="A1067">
        <v>1066</v>
      </c>
      <c r="B1067" t="s">
        <v>1727</v>
      </c>
      <c r="C1067">
        <v>1</v>
      </c>
      <c r="D1067" t="str">
        <f t="shared" si="34"/>
        <v>P</v>
      </c>
      <c r="E1067" t="str">
        <f t="shared" si="33"/>
        <v>Para Bourdieu en el capítulo sobre "Espiritu de la Familia": ¿Qué enmascara la oposición tradicional entre lo público y lo privado?</v>
      </c>
    </row>
    <row r="1068" spans="1:5" x14ac:dyDescent="0.25">
      <c r="A1068">
        <v>1067</v>
      </c>
      <c r="B1068" t="s">
        <v>469</v>
      </c>
      <c r="C1068">
        <v>0</v>
      </c>
      <c r="D1068" t="str">
        <f t="shared" si="34"/>
        <v>a</v>
      </c>
      <c r="E1068" t="str">
        <f t="shared" si="33"/>
        <v>a) La facilidad de los progenitores para disponer de los bienes de sus hijos.</v>
      </c>
    </row>
    <row r="1069" spans="1:5" x14ac:dyDescent="0.25">
      <c r="A1069">
        <v>1068</v>
      </c>
      <c r="B1069" t="s">
        <v>470</v>
      </c>
      <c r="C1069">
        <v>0</v>
      </c>
      <c r="D1069" t="str">
        <f t="shared" si="34"/>
        <v>*</v>
      </c>
      <c r="E1069" t="str">
        <f t="shared" si="33"/>
        <v>b) El grado que lo público esta presente en lo privado.</v>
      </c>
    </row>
    <row r="1070" spans="1:5" x14ac:dyDescent="0.25">
      <c r="A1070">
        <v>1069</v>
      </c>
      <c r="B1070" t="s">
        <v>471</v>
      </c>
      <c r="C1070">
        <v>0</v>
      </c>
      <c r="D1070" t="str">
        <f t="shared" si="34"/>
        <v>c</v>
      </c>
      <c r="E1070" t="str">
        <f t="shared" si="33"/>
        <v>c) El poder de los padres con referencia al casamiento de los hijos menores de 21 años.</v>
      </c>
    </row>
    <row r="1071" spans="1:5" x14ac:dyDescent="0.25">
      <c r="A1071">
        <v>1070</v>
      </c>
      <c r="B1071" t="s">
        <v>472</v>
      </c>
      <c r="C1071">
        <v>0</v>
      </c>
      <c r="D1071" t="str">
        <f t="shared" si="34"/>
        <v>d</v>
      </c>
      <c r="E1071" t="str">
        <f t="shared" si="33"/>
        <v>d) La posición liberal del traspaso de deudas privadas a públicas.</v>
      </c>
    </row>
    <row r="1072" spans="1:5" x14ac:dyDescent="0.25">
      <c r="A1072">
        <v>1071</v>
      </c>
      <c r="B1072" t="s">
        <v>1728</v>
      </c>
      <c r="C1072">
        <v>1</v>
      </c>
      <c r="D1072" t="str">
        <f t="shared" si="34"/>
        <v>P</v>
      </c>
      <c r="E1072" t="str">
        <f t="shared" si="33"/>
        <v>Para Donzelot: ¿Porqué para el Estado los individuos que la "ley de alianzas" rechaza se convierten en un peligro, pero también en una pérdida?</v>
      </c>
    </row>
    <row r="1073" spans="1:5" x14ac:dyDescent="0.25">
      <c r="A1073">
        <v>1072</v>
      </c>
      <c r="B1073" t="s">
        <v>473</v>
      </c>
      <c r="C1073">
        <v>0</v>
      </c>
      <c r="D1073" t="str">
        <f t="shared" si="34"/>
        <v>*</v>
      </c>
      <c r="E1073" t="str">
        <f t="shared" si="33"/>
        <v>a) Constituyen fuerzas desocupadas.</v>
      </c>
    </row>
    <row r="1074" spans="1:5" x14ac:dyDescent="0.25">
      <c r="A1074">
        <v>1073</v>
      </c>
      <c r="B1074" t="s">
        <v>474</v>
      </c>
      <c r="C1074">
        <v>0</v>
      </c>
      <c r="D1074" t="str">
        <f t="shared" si="34"/>
        <v>b</v>
      </c>
      <c r="E1074" t="str">
        <f t="shared" si="33"/>
        <v>b) Disminuyen el nivel educativo de la sociedad.</v>
      </c>
    </row>
    <row r="1075" spans="1:5" x14ac:dyDescent="0.25">
      <c r="A1075">
        <v>1074</v>
      </c>
      <c r="B1075" t="s">
        <v>475</v>
      </c>
      <c r="C1075">
        <v>0</v>
      </c>
      <c r="D1075" t="str">
        <f t="shared" si="34"/>
        <v>c</v>
      </c>
      <c r="E1075" t="str">
        <f t="shared" si="33"/>
        <v>c) Demandan inversiones estatales en habitación y sustento.</v>
      </c>
    </row>
    <row r="1076" spans="1:5" x14ac:dyDescent="0.25">
      <c r="A1076">
        <v>1075</v>
      </c>
      <c r="B1076" t="s">
        <v>476</v>
      </c>
      <c r="C1076">
        <v>0</v>
      </c>
      <c r="D1076" t="str">
        <f t="shared" si="34"/>
        <v>d</v>
      </c>
      <c r="E1076" t="str">
        <f t="shared" si="33"/>
        <v>d) Pueden agruparse para delinquir.</v>
      </c>
    </row>
    <row r="1077" spans="1:5" x14ac:dyDescent="0.25">
      <c r="A1077">
        <v>1076</v>
      </c>
      <c r="B1077" t="s">
        <v>1729</v>
      </c>
      <c r="C1077">
        <v>1</v>
      </c>
      <c r="D1077" t="str">
        <f t="shared" si="34"/>
        <v>S</v>
      </c>
      <c r="E1077" t="str">
        <f t="shared" si="33"/>
        <v>Según Donzelot, en el siglo XVIII, ¿Cómo interviene el Estado para regular mediante la legislación la condición de los niños abandonados?</v>
      </c>
    </row>
    <row r="1078" spans="1:5" x14ac:dyDescent="0.25">
      <c r="A1078">
        <v>1077</v>
      </c>
      <c r="B1078" t="s">
        <v>477</v>
      </c>
      <c r="C1078">
        <v>0</v>
      </c>
      <c r="D1078" t="str">
        <f t="shared" si="34"/>
        <v>*</v>
      </c>
      <c r="E1078" t="str">
        <f t="shared" si="33"/>
        <v>a) Asignando un salario a las nodrizas.</v>
      </c>
    </row>
    <row r="1079" spans="1:5" x14ac:dyDescent="0.25">
      <c r="A1079">
        <v>1078</v>
      </c>
      <c r="B1079" t="s">
        <v>478</v>
      </c>
      <c r="C1079">
        <v>0</v>
      </c>
      <c r="D1079" t="str">
        <f t="shared" si="34"/>
        <v>b</v>
      </c>
      <c r="E1079" t="str">
        <f t="shared" si="33"/>
        <v>b) Creando guarderías rurales.</v>
      </c>
    </row>
    <row r="1080" spans="1:5" x14ac:dyDescent="0.25">
      <c r="A1080">
        <v>1079</v>
      </c>
      <c r="B1080" t="s">
        <v>479</v>
      </c>
      <c r="C1080">
        <v>0</v>
      </c>
      <c r="D1080" t="str">
        <f t="shared" si="34"/>
        <v>c</v>
      </c>
      <c r="E1080" t="str">
        <f t="shared" si="33"/>
        <v>c) Regulando las norma de atención a los recién nacidos.</v>
      </c>
    </row>
    <row r="1081" spans="1:5" x14ac:dyDescent="0.25">
      <c r="A1081">
        <v>1080</v>
      </c>
      <c r="B1081" t="s">
        <v>480</v>
      </c>
      <c r="C1081">
        <v>0</v>
      </c>
      <c r="D1081" t="str">
        <f t="shared" si="34"/>
        <v>d</v>
      </c>
      <c r="E1081" t="str">
        <f t="shared" si="33"/>
        <v>d) Subsidiando a las familias numerosas.</v>
      </c>
    </row>
    <row r="1082" spans="1:5" x14ac:dyDescent="0.25">
      <c r="A1082">
        <v>1081</v>
      </c>
      <c r="B1082" t="s">
        <v>1730</v>
      </c>
      <c r="C1082">
        <v>1</v>
      </c>
      <c r="D1082" t="str">
        <f t="shared" si="34"/>
        <v>S</v>
      </c>
      <c r="E1082" t="str">
        <f t="shared" si="33"/>
        <v>Según Jelin, en la unidad doméstica obrera ¿Cómo deben ser los lazos afectivos para contrarrestrar las tendencias centrífugas e individualizadoras del mercado?</v>
      </c>
    </row>
    <row r="1083" spans="1:5" x14ac:dyDescent="0.25">
      <c r="A1083">
        <v>1082</v>
      </c>
      <c r="B1083" t="s">
        <v>481</v>
      </c>
      <c r="C1083">
        <v>0</v>
      </c>
      <c r="D1083" t="str">
        <f t="shared" si="34"/>
        <v>a</v>
      </c>
      <c r="E1083" t="str">
        <f t="shared" si="33"/>
        <v>a) Concéntricas.</v>
      </c>
    </row>
    <row r="1084" spans="1:5" x14ac:dyDescent="0.25">
      <c r="A1084">
        <v>1083</v>
      </c>
      <c r="B1084" t="s">
        <v>482</v>
      </c>
      <c r="C1084">
        <v>0</v>
      </c>
      <c r="D1084" t="str">
        <f t="shared" si="34"/>
        <v>b</v>
      </c>
      <c r="E1084" t="str">
        <f t="shared" si="33"/>
        <v>b) Estructuradas.</v>
      </c>
    </row>
    <row r="1085" spans="1:5" x14ac:dyDescent="0.25">
      <c r="A1085">
        <v>1084</v>
      </c>
      <c r="B1085" t="s">
        <v>483</v>
      </c>
      <c r="C1085">
        <v>0</v>
      </c>
      <c r="D1085" t="str">
        <f t="shared" si="34"/>
        <v>*</v>
      </c>
      <c r="E1085" t="str">
        <f t="shared" si="33"/>
        <v>c) Muy fuertes.</v>
      </c>
    </row>
    <row r="1086" spans="1:5" x14ac:dyDescent="0.25">
      <c r="A1086">
        <v>1085</v>
      </c>
      <c r="B1086" t="s">
        <v>484</v>
      </c>
      <c r="C1086">
        <v>0</v>
      </c>
      <c r="D1086" t="str">
        <f t="shared" si="34"/>
        <v>d</v>
      </c>
      <c r="E1086" t="str">
        <f t="shared" si="33"/>
        <v>d) Poco vulnerables.</v>
      </c>
    </row>
    <row r="1087" spans="1:5" x14ac:dyDescent="0.25">
      <c r="A1087">
        <v>1086</v>
      </c>
      <c r="B1087" t="s">
        <v>1731</v>
      </c>
      <c r="C1087">
        <v>1</v>
      </c>
      <c r="D1087" t="str">
        <f t="shared" si="34"/>
        <v>P</v>
      </c>
      <c r="E1087" t="str">
        <f t="shared" si="33"/>
        <v>Para Jelin, en el mundo urbano moderno la relación cotidiana entre los miembros de la familia es variable según su lugar en la estructura y dinámica familiar. ¿De qué variables depende esta ubicación?</v>
      </c>
    </row>
    <row r="1088" spans="1:5" x14ac:dyDescent="0.25">
      <c r="A1088">
        <v>1087</v>
      </c>
      <c r="B1088" t="s">
        <v>485</v>
      </c>
      <c r="C1088">
        <v>0</v>
      </c>
      <c r="D1088" t="str">
        <f t="shared" si="34"/>
        <v>a</v>
      </c>
      <c r="E1088" t="str">
        <f t="shared" si="33"/>
        <v>a) Ambición, formación profesional, capital.</v>
      </c>
    </row>
    <row r="1089" spans="1:5" x14ac:dyDescent="0.25">
      <c r="A1089">
        <v>1088</v>
      </c>
      <c r="B1089" t="s">
        <v>486</v>
      </c>
      <c r="C1089">
        <v>0</v>
      </c>
      <c r="D1089" t="str">
        <f t="shared" si="34"/>
        <v>*</v>
      </c>
      <c r="E1089" t="str">
        <f t="shared" si="33"/>
        <v>b) Edad, género, poder económico.</v>
      </c>
    </row>
    <row r="1090" spans="1:5" x14ac:dyDescent="0.25">
      <c r="A1090">
        <v>1089</v>
      </c>
      <c r="B1090" t="s">
        <v>487</v>
      </c>
      <c r="C1090">
        <v>0</v>
      </c>
      <c r="D1090" t="str">
        <f t="shared" si="34"/>
        <v>c</v>
      </c>
      <c r="E1090" t="str">
        <f t="shared" si="33"/>
        <v>c) Instrucción, parentesco, bienes de consumo.</v>
      </c>
    </row>
    <row r="1091" spans="1:5" x14ac:dyDescent="0.25">
      <c r="A1091">
        <v>1090</v>
      </c>
      <c r="B1091" t="s">
        <v>488</v>
      </c>
      <c r="C1091">
        <v>0</v>
      </c>
      <c r="D1091" t="str">
        <f t="shared" si="34"/>
        <v>d</v>
      </c>
      <c r="E1091" t="str">
        <f t="shared" ref="E1091:E1154" si="35">+IF(D1091="*",MID(B1091,3,500),B1091)</f>
        <v>d) Sexo, condición de mando, capacidad de ahorro.</v>
      </c>
    </row>
    <row r="1092" spans="1:5" x14ac:dyDescent="0.25">
      <c r="A1092">
        <v>1091</v>
      </c>
      <c r="B1092" t="s">
        <v>1732</v>
      </c>
      <c r="C1092">
        <v>1</v>
      </c>
      <c r="D1092" t="str">
        <f t="shared" si="34"/>
        <v>S</v>
      </c>
      <c r="E1092" t="str">
        <f t="shared" si="35"/>
        <v>Según Gattino y Flores, ¿Cómo se denomina la noción que refiere a hechos que expresan en el plano de lo manifiesto los conflictos de la interacción familiar?</v>
      </c>
    </row>
    <row r="1093" spans="1:5" x14ac:dyDescent="0.25">
      <c r="A1093">
        <v>1092</v>
      </c>
      <c r="B1093" t="s">
        <v>489</v>
      </c>
      <c r="C1093">
        <v>0</v>
      </c>
      <c r="D1093" t="str">
        <f t="shared" si="34"/>
        <v>a</v>
      </c>
      <c r="E1093" t="str">
        <f t="shared" si="35"/>
        <v>a) Disfunción.</v>
      </c>
    </row>
    <row r="1094" spans="1:5" x14ac:dyDescent="0.25">
      <c r="A1094">
        <v>1093</v>
      </c>
      <c r="B1094" t="s">
        <v>490</v>
      </c>
      <c r="C1094">
        <v>0</v>
      </c>
      <c r="D1094" t="str">
        <f t="shared" si="34"/>
        <v>b</v>
      </c>
      <c r="E1094" t="str">
        <f t="shared" si="35"/>
        <v>b) Divergentes.</v>
      </c>
    </row>
    <row r="1095" spans="1:5" x14ac:dyDescent="0.25">
      <c r="A1095">
        <v>1094</v>
      </c>
      <c r="B1095" t="s">
        <v>491</v>
      </c>
      <c r="C1095">
        <v>0</v>
      </c>
      <c r="D1095" t="str">
        <f t="shared" si="34"/>
        <v>*</v>
      </c>
      <c r="E1095" t="str">
        <f t="shared" si="35"/>
        <v>c) Emergentes.</v>
      </c>
    </row>
    <row r="1096" spans="1:5" x14ac:dyDescent="0.25">
      <c r="A1096">
        <v>1095</v>
      </c>
      <c r="B1096" t="s">
        <v>492</v>
      </c>
      <c r="C1096">
        <v>0</v>
      </c>
      <c r="D1096" t="str">
        <f t="shared" si="34"/>
        <v>d</v>
      </c>
      <c r="E1096" t="str">
        <f t="shared" si="35"/>
        <v>d) Transferencia.</v>
      </c>
    </row>
    <row r="1097" spans="1:5" x14ac:dyDescent="0.25">
      <c r="A1097">
        <v>1096</v>
      </c>
      <c r="B1097" t="s">
        <v>1733</v>
      </c>
      <c r="C1097">
        <v>1</v>
      </c>
      <c r="D1097" t="str">
        <f t="shared" si="34"/>
        <v>P</v>
      </c>
      <c r="E1097" t="str">
        <f t="shared" si="35"/>
        <v>Para Gattino y Flores, cuando hablamos del inter-juego entre mundo interno y mundo social del cual surgen diversas situaciones ¿A qué noción nos  referimos?</v>
      </c>
    </row>
    <row r="1098" spans="1:5" x14ac:dyDescent="0.25">
      <c r="A1098">
        <v>1097</v>
      </c>
      <c r="B1098" t="s">
        <v>493</v>
      </c>
      <c r="C1098">
        <v>0</v>
      </c>
      <c r="D1098" t="str">
        <f t="shared" si="34"/>
        <v>*</v>
      </c>
      <c r="E1098" t="str">
        <f t="shared" si="35"/>
        <v>a) Estructura vincular.</v>
      </c>
    </row>
    <row r="1099" spans="1:5" x14ac:dyDescent="0.25">
      <c r="A1099">
        <v>1098</v>
      </c>
      <c r="B1099" t="s">
        <v>494</v>
      </c>
      <c r="C1099">
        <v>0</v>
      </c>
      <c r="D1099" t="str">
        <f t="shared" si="34"/>
        <v>b</v>
      </c>
      <c r="E1099" t="str">
        <f t="shared" si="35"/>
        <v>b) Idea de grupo.</v>
      </c>
    </row>
    <row r="1100" spans="1:5" x14ac:dyDescent="0.25">
      <c r="A1100">
        <v>1099</v>
      </c>
      <c r="B1100" t="s">
        <v>495</v>
      </c>
      <c r="C1100">
        <v>0</v>
      </c>
      <c r="D1100" t="str">
        <f t="shared" si="34"/>
        <v>c</v>
      </c>
      <c r="E1100" t="str">
        <f t="shared" si="35"/>
        <v>c) Praxis grupal.</v>
      </c>
    </row>
    <row r="1101" spans="1:5" x14ac:dyDescent="0.25">
      <c r="A1101">
        <v>1100</v>
      </c>
      <c r="B1101" t="s">
        <v>496</v>
      </c>
      <c r="C1101">
        <v>0</v>
      </c>
      <c r="D1101" t="str">
        <f t="shared" si="34"/>
        <v>d</v>
      </c>
      <c r="E1101" t="str">
        <f t="shared" si="35"/>
        <v>d) Unidad doméstica.</v>
      </c>
    </row>
    <row r="1102" spans="1:5" x14ac:dyDescent="0.25">
      <c r="A1102">
        <v>1101</v>
      </c>
      <c r="B1102" t="s">
        <v>1734</v>
      </c>
      <c r="C1102">
        <v>1</v>
      </c>
      <c r="D1102" t="str">
        <f t="shared" si="34"/>
        <v>P</v>
      </c>
      <c r="E1102" t="str">
        <f t="shared" si="35"/>
        <v>Para Garcia Fuster: ¿Cúal es el objetivo fundamental de cualquier programa de intervención con personas ancianas?</v>
      </c>
    </row>
    <row r="1103" spans="1:5" x14ac:dyDescent="0.25">
      <c r="A1103">
        <v>1102</v>
      </c>
      <c r="B1103" t="s">
        <v>497</v>
      </c>
      <c r="C1103">
        <v>0</v>
      </c>
      <c r="D1103" t="str">
        <f t="shared" si="34"/>
        <v>a</v>
      </c>
      <c r="E1103" t="str">
        <f t="shared" si="35"/>
        <v>a) Generar las condiciones para que continuen con sus actividades sociales y mantengan sus amistades.</v>
      </c>
    </row>
    <row r="1104" spans="1:5" x14ac:dyDescent="0.25">
      <c r="A1104">
        <v>1103</v>
      </c>
      <c r="B1104" t="s">
        <v>498</v>
      </c>
      <c r="C1104">
        <v>0</v>
      </c>
      <c r="D1104" t="str">
        <f t="shared" si="34"/>
        <v>*</v>
      </c>
      <c r="E1104" t="str">
        <f t="shared" si="35"/>
        <v>b) Intentar mantener o preservar el sentido de identidad individual y comunitario.</v>
      </c>
    </row>
    <row r="1105" spans="1:5" x14ac:dyDescent="0.25">
      <c r="A1105">
        <v>1104</v>
      </c>
      <c r="B1105" t="s">
        <v>499</v>
      </c>
      <c r="C1105">
        <v>0</v>
      </c>
      <c r="D1105" t="str">
        <f t="shared" si="34"/>
        <v>c</v>
      </c>
      <c r="E1105" t="str">
        <f t="shared" si="35"/>
        <v>c) Favorecer que el Estado satisfaga sus necesidades básicas.</v>
      </c>
    </row>
    <row r="1106" spans="1:5" x14ac:dyDescent="0.25">
      <c r="A1106">
        <v>1105</v>
      </c>
      <c r="B1106" t="s">
        <v>500</v>
      </c>
      <c r="C1106">
        <v>0</v>
      </c>
      <c r="D1106" t="str">
        <f t="shared" si="34"/>
        <v>d</v>
      </c>
      <c r="E1106" t="str">
        <f t="shared" si="35"/>
        <v>d) Proveer de cobertura para su atención médica y medicamentos.</v>
      </c>
    </row>
    <row r="1107" spans="1:5" x14ac:dyDescent="0.25">
      <c r="A1107">
        <v>1106</v>
      </c>
      <c r="B1107" t="s">
        <v>1735</v>
      </c>
      <c r="C1107">
        <v>1</v>
      </c>
      <c r="D1107" t="str">
        <f t="shared" si="34"/>
        <v>E</v>
      </c>
      <c r="E1107" t="str">
        <f t="shared" si="35"/>
        <v>En Garcia Fuster, se consigna que en la tercera edad se produce un marcado cambio en la importancia que cobran las amistades como fuente de apoyo. ¿Cómo se denomina al tipo de apoyo del cual las amistades son una fuente importante?</v>
      </c>
    </row>
    <row r="1108" spans="1:5" x14ac:dyDescent="0.25">
      <c r="A1108">
        <v>1107</v>
      </c>
      <c r="B1108" t="s">
        <v>501</v>
      </c>
      <c r="C1108">
        <v>0</v>
      </c>
      <c r="D1108" t="str">
        <f t="shared" si="34"/>
        <v>a</v>
      </c>
      <c r="E1108" t="str">
        <f t="shared" si="35"/>
        <v>a) Cotidiano y solidario.</v>
      </c>
    </row>
    <row r="1109" spans="1:5" x14ac:dyDescent="0.25">
      <c r="A1109">
        <v>1108</v>
      </c>
      <c r="B1109" t="s">
        <v>502</v>
      </c>
      <c r="C1109">
        <v>0</v>
      </c>
      <c r="D1109" t="str">
        <f t="shared" si="34"/>
        <v>b</v>
      </c>
      <c r="E1109" t="str">
        <f t="shared" si="35"/>
        <v>b) Directo y contenedor.</v>
      </c>
    </row>
    <row r="1110" spans="1:5" x14ac:dyDescent="0.25">
      <c r="A1110">
        <v>1109</v>
      </c>
      <c r="B1110" t="s">
        <v>503</v>
      </c>
      <c r="C1110">
        <v>0</v>
      </c>
      <c r="D1110" t="str">
        <f t="shared" si="34"/>
        <v>c</v>
      </c>
      <c r="E1110" t="str">
        <f t="shared" si="35"/>
        <v>c) Específico y afectivo.</v>
      </c>
    </row>
    <row r="1111" spans="1:5" x14ac:dyDescent="0.25">
      <c r="A1111">
        <v>1110</v>
      </c>
      <c r="B1111" t="s">
        <v>504</v>
      </c>
      <c r="C1111">
        <v>0</v>
      </c>
      <c r="D1111" t="str">
        <f t="shared" si="34"/>
        <v>*</v>
      </c>
      <c r="E1111" t="str">
        <f t="shared" si="35"/>
        <v>d) Instrumental y emocional.</v>
      </c>
    </row>
    <row r="1112" spans="1:5" x14ac:dyDescent="0.25">
      <c r="A1112">
        <v>1111</v>
      </c>
      <c r="B1112" t="s">
        <v>1736</v>
      </c>
      <c r="C1112">
        <v>1</v>
      </c>
      <c r="D1112" t="str">
        <f t="shared" si="34"/>
        <v>P</v>
      </c>
      <c r="E1112" t="str">
        <f t="shared" si="35"/>
        <v>Para Grimberg, según el resultado de su estudio: ¿Qué constituyen para los varones las expectativas del rol de género, los estereotipos asociados a la "masculinidad" así como el marco global de las condiciones de realización de la relación sexual?</v>
      </c>
    </row>
    <row r="1113" spans="1:5" x14ac:dyDescent="0.25">
      <c r="A1113">
        <v>1112</v>
      </c>
      <c r="B1113" t="s">
        <v>505</v>
      </c>
      <c r="C1113">
        <v>0</v>
      </c>
      <c r="D1113" t="str">
        <f t="shared" si="34"/>
        <v>a</v>
      </c>
      <c r="E1113" t="str">
        <f t="shared" si="35"/>
        <v>a) Espacio de confiabilidad para aumentar su seguridad.</v>
      </c>
    </row>
    <row r="1114" spans="1:5" x14ac:dyDescent="0.25">
      <c r="A1114">
        <v>1113</v>
      </c>
      <c r="B1114" t="s">
        <v>506</v>
      </c>
      <c r="C1114">
        <v>0</v>
      </c>
      <c r="D1114" t="str">
        <f t="shared" si="34"/>
        <v>b</v>
      </c>
      <c r="E1114" t="str">
        <f t="shared" si="35"/>
        <v>b) Potenciamiento de sus sentimientos de virilidad.</v>
      </c>
    </row>
    <row r="1115" spans="1:5" x14ac:dyDescent="0.25">
      <c r="A1115">
        <v>1114</v>
      </c>
      <c r="B1115" t="s">
        <v>507</v>
      </c>
      <c r="C1115">
        <v>0</v>
      </c>
      <c r="D1115" t="str">
        <f t="shared" si="34"/>
        <v>*</v>
      </c>
      <c r="E1115" t="str">
        <f t="shared" si="35"/>
        <v>c) Principales fuentes de vulnerabilidad.</v>
      </c>
    </row>
    <row r="1116" spans="1:5" x14ac:dyDescent="0.25">
      <c r="A1116">
        <v>1115</v>
      </c>
      <c r="B1116" t="s">
        <v>508</v>
      </c>
      <c r="C1116">
        <v>0</v>
      </c>
      <c r="D1116" t="str">
        <f t="shared" si="34"/>
        <v>d</v>
      </c>
      <c r="E1116" t="str">
        <f t="shared" si="35"/>
        <v>d) Reforzamiento de los mandatos familiares.</v>
      </c>
    </row>
    <row r="1117" spans="1:5" x14ac:dyDescent="0.25">
      <c r="A1117">
        <v>1116</v>
      </c>
      <c r="B1117" s="1" t="s">
        <v>1737</v>
      </c>
      <c r="C1117">
        <v>1</v>
      </c>
      <c r="D1117" t="str">
        <f t="shared" si="34"/>
        <v>L</v>
      </c>
      <c r="E1117" t="str">
        <f t="shared" si="35"/>
        <v>Luego del estudio realizado por Grimberg en jóvenes de sectores populares: ¿Cómo califica la autora al uso de preservativos en el ambito de las prácticas sexuales efectivamente realizadas, tanto durante la iniciación como en las relaciones sexuales posteriores?</v>
      </c>
    </row>
    <row r="1118" spans="1:5" x14ac:dyDescent="0.25">
      <c r="A1118">
        <v>1117</v>
      </c>
      <c r="B1118" t="s">
        <v>509</v>
      </c>
      <c r="C1118">
        <v>0</v>
      </c>
      <c r="D1118" t="str">
        <f t="shared" si="34"/>
        <v>a</v>
      </c>
      <c r="E1118" t="str">
        <f t="shared" si="35"/>
        <v>a) Acorde a la prevención de embarazo.</v>
      </c>
    </row>
    <row r="1119" spans="1:5" x14ac:dyDescent="0.25">
      <c r="A1119">
        <v>1118</v>
      </c>
      <c r="B1119" t="s">
        <v>510</v>
      </c>
      <c r="C1119">
        <v>0</v>
      </c>
      <c r="D1119" t="str">
        <f t="shared" si="34"/>
        <v>b</v>
      </c>
      <c r="E1119" t="str">
        <f t="shared" si="35"/>
        <v>b) Predominantemente ocasional.</v>
      </c>
    </row>
    <row r="1120" spans="1:5" x14ac:dyDescent="0.25">
      <c r="A1120">
        <v>1119</v>
      </c>
      <c r="B1120" t="s">
        <v>511</v>
      </c>
      <c r="C1120">
        <v>0</v>
      </c>
      <c r="D1120" t="str">
        <f t="shared" si="34"/>
        <v>c</v>
      </c>
      <c r="E1120" t="str">
        <f t="shared" si="35"/>
        <v>c) Relativamente frecuente.</v>
      </c>
    </row>
    <row r="1121" spans="1:5" x14ac:dyDescent="0.25">
      <c r="A1121">
        <v>1120</v>
      </c>
      <c r="B1121" t="s">
        <v>512</v>
      </c>
      <c r="C1121">
        <v>0</v>
      </c>
      <c r="D1121" t="str">
        <f t="shared" si="34"/>
        <v>*</v>
      </c>
      <c r="E1121" t="str">
        <f t="shared" si="35"/>
        <v>d) Significativamente bajo.</v>
      </c>
    </row>
    <row r="1122" spans="1:5" x14ac:dyDescent="0.25">
      <c r="A1122">
        <v>1121</v>
      </c>
      <c r="B1122" s="1" t="s">
        <v>1738</v>
      </c>
      <c r="C1122">
        <v>1</v>
      </c>
      <c r="D1122" t="str">
        <f t="shared" si="34"/>
        <v>L</v>
      </c>
      <c r="E1122" t="str">
        <f t="shared" si="35"/>
        <v>La República Argentina al ratificar la Convención Internacional de los Derechos del Niño (Ley 23.849) formuló en su artículo 2 una serie de reservas y aclaraciones. ¿Cúal de los siguientes temas no fue mencionado en estas reservas y aclaraciones y no figuran en el artículo mencionado?</v>
      </c>
    </row>
    <row r="1123" spans="1:5" x14ac:dyDescent="0.25">
      <c r="A1123">
        <v>1122</v>
      </c>
      <c r="B1123" t="s">
        <v>513</v>
      </c>
      <c r="C1123">
        <v>0</v>
      </c>
      <c r="D1123" t="str">
        <f t="shared" si="34"/>
        <v>a</v>
      </c>
      <c r="E1123" t="str">
        <f t="shared" si="35"/>
        <v>a) Adopción internacional de menores.</v>
      </c>
    </row>
    <row r="1124" spans="1:5" x14ac:dyDescent="0.25">
      <c r="A1124">
        <v>1123</v>
      </c>
      <c r="B1124" t="s">
        <v>514</v>
      </c>
      <c r="C1124">
        <v>0</v>
      </c>
      <c r="D1124" t="str">
        <f t="shared" ref="D1124:D1187" si="36">+MID(B1124,1,1)</f>
        <v>b</v>
      </c>
      <c r="E1124" t="str">
        <f t="shared" si="35"/>
        <v>b) Planificación familiar y procreación reponsable.</v>
      </c>
    </row>
    <row r="1125" spans="1:5" x14ac:dyDescent="0.25">
      <c r="A1125">
        <v>1124</v>
      </c>
      <c r="B1125" t="s">
        <v>515</v>
      </c>
      <c r="C1125">
        <v>0</v>
      </c>
      <c r="D1125" t="str">
        <f t="shared" si="36"/>
        <v>*</v>
      </c>
      <c r="E1125" t="str">
        <f t="shared" si="35"/>
        <v>c) Restitución internacional de menores</v>
      </c>
    </row>
    <row r="1126" spans="1:5" x14ac:dyDescent="0.25">
      <c r="A1126">
        <v>1125</v>
      </c>
      <c r="B1126" t="s">
        <v>516</v>
      </c>
      <c r="C1126">
        <v>0</v>
      </c>
      <c r="D1126" t="str">
        <f t="shared" si="36"/>
        <v>d</v>
      </c>
      <c r="E1126" t="str">
        <f t="shared" si="35"/>
        <v>d) Utilización de los niños en conflictos armados.</v>
      </c>
    </row>
    <row r="1127" spans="1:5" x14ac:dyDescent="0.25">
      <c r="A1127">
        <v>1126</v>
      </c>
      <c r="B1127" s="1" t="s">
        <v>1739</v>
      </c>
      <c r="C1127">
        <v>1</v>
      </c>
      <c r="D1127" t="str">
        <f t="shared" si="36"/>
        <v>S</v>
      </c>
      <c r="E1127" t="str">
        <f t="shared" si="35"/>
        <v>Según el artículo 43 de la Ley 114, ante el conocimiento de una situación de carencia económica (necesidades básicas insatisfechas) que amenace el cumplimiento de los Derechos de los Niños, Niñas y Adolescentes.¿Cúales son las medidas de protección a aplicar?</v>
      </c>
    </row>
    <row r="1128" spans="1:5" x14ac:dyDescent="0.25">
      <c r="A1128">
        <v>1127</v>
      </c>
      <c r="B1128" t="s">
        <v>517</v>
      </c>
      <c r="C1128">
        <v>0</v>
      </c>
      <c r="D1128" t="str">
        <f t="shared" si="36"/>
        <v>a</v>
      </c>
      <c r="E1128" t="str">
        <f t="shared" si="35"/>
        <v>a) Asesorar sobre las organizaciones intermedias de atención en la zona que vive el niño.</v>
      </c>
    </row>
    <row r="1129" spans="1:5" x14ac:dyDescent="0.25">
      <c r="A1129">
        <v>1128</v>
      </c>
      <c r="B1129" t="s">
        <v>518</v>
      </c>
      <c r="C1129">
        <v>0</v>
      </c>
      <c r="D1129" t="str">
        <f t="shared" si="36"/>
        <v>*</v>
      </c>
      <c r="E1129" t="str">
        <f t="shared" si="35"/>
        <v>b) Articular con los programas sociales establecidos por las políticas públicas.</v>
      </c>
    </row>
    <row r="1130" spans="1:5" x14ac:dyDescent="0.25">
      <c r="A1130">
        <v>1129</v>
      </c>
      <c r="B1130" t="s">
        <v>519</v>
      </c>
      <c r="C1130">
        <v>0</v>
      </c>
      <c r="D1130" t="str">
        <f t="shared" si="36"/>
        <v>c</v>
      </c>
      <c r="E1130" t="str">
        <f t="shared" si="35"/>
        <v>c) Derivar al Consejo de Niñas, Niños y Adolescentes para su inmediata intervención.</v>
      </c>
    </row>
    <row r="1131" spans="1:5" x14ac:dyDescent="0.25">
      <c r="A1131">
        <v>1130</v>
      </c>
      <c r="B1131" t="s">
        <v>520</v>
      </c>
      <c r="C1131">
        <v>0</v>
      </c>
      <c r="D1131" t="str">
        <f t="shared" si="36"/>
        <v>d</v>
      </c>
      <c r="E1131" t="str">
        <f t="shared" si="35"/>
        <v>d) Solicitar la intervención judicial en el fuero de familia.</v>
      </c>
    </row>
    <row r="1132" spans="1:5" x14ac:dyDescent="0.25">
      <c r="A1132">
        <v>1131</v>
      </c>
      <c r="B1132" t="s">
        <v>1740</v>
      </c>
      <c r="C1132">
        <v>1</v>
      </c>
      <c r="D1132" t="str">
        <f t="shared" si="36"/>
        <v>J</v>
      </c>
      <c r="E1132" t="str">
        <f t="shared" si="35"/>
        <v>Juana no tiene documentos, tuvo un hijo en un Hospital de la Ciudad de Buenos Aires. Desea inscribir y documentar a su hijo. Según la Ley 114: ¿En qué caso la indocumentación de Juana sería un obstáculo para que se identifique al recién nacido?</v>
      </c>
    </row>
    <row r="1133" spans="1:5" x14ac:dyDescent="0.25">
      <c r="A1133">
        <v>1132</v>
      </c>
      <c r="B1133" t="s">
        <v>521</v>
      </c>
      <c r="C1133">
        <v>0</v>
      </c>
      <c r="D1133" t="str">
        <f t="shared" si="36"/>
        <v>a</v>
      </c>
      <c r="E1133" t="str">
        <f t="shared" si="35"/>
        <v>a) En caso que no pueda acreditar domicilio.</v>
      </c>
    </row>
    <row r="1134" spans="1:5" x14ac:dyDescent="0.25">
      <c r="A1134">
        <v>1133</v>
      </c>
      <c r="B1134" t="s">
        <v>522</v>
      </c>
      <c r="C1134">
        <v>0</v>
      </c>
      <c r="D1134" t="str">
        <f t="shared" si="36"/>
        <v>b</v>
      </c>
      <c r="E1134" t="str">
        <f t="shared" si="35"/>
        <v>b) En caso de que la madre sea extranjera.</v>
      </c>
    </row>
    <row r="1135" spans="1:5" x14ac:dyDescent="0.25">
      <c r="A1135">
        <v>1134</v>
      </c>
      <c r="B1135" t="s">
        <v>523</v>
      </c>
      <c r="C1135">
        <v>0</v>
      </c>
      <c r="D1135" t="str">
        <f t="shared" si="36"/>
        <v>c</v>
      </c>
      <c r="E1135" t="str">
        <f t="shared" si="35"/>
        <v>c) En caso de que la madre sea menor de edad.</v>
      </c>
    </row>
    <row r="1136" spans="1:5" x14ac:dyDescent="0.25">
      <c r="A1136">
        <v>1135</v>
      </c>
      <c r="B1136" t="s">
        <v>524</v>
      </c>
      <c r="C1136">
        <v>0</v>
      </c>
      <c r="D1136" t="str">
        <f t="shared" si="36"/>
        <v>*</v>
      </c>
      <c r="E1136" t="str">
        <f t="shared" si="35"/>
        <v>d) En ningún caso.</v>
      </c>
    </row>
    <row r="1137" spans="1:5" x14ac:dyDescent="0.25">
      <c r="A1137">
        <v>1136</v>
      </c>
      <c r="B1137" s="1" t="s">
        <v>1741</v>
      </c>
      <c r="C1137">
        <v>1</v>
      </c>
      <c r="D1137" t="str">
        <f t="shared" si="36"/>
        <v>U</v>
      </c>
      <c r="E1137" t="str">
        <f t="shared" si="35"/>
        <v>Un hombre de 25 años se encuentra internado en el Hospital Argerich en la sala de clínica médica. El paciente no acepta las indicaciones diagnóstico terapéuticas transmitidas por los médicos de la sala para su recuperación y egreso hospitalario. Según la Ley 153: ¿Qué debe hacer el paciente para cumplir su objetivo?</v>
      </c>
    </row>
    <row r="1138" spans="1:5" x14ac:dyDescent="0.25">
      <c r="A1138">
        <v>1137</v>
      </c>
      <c r="B1138" t="s">
        <v>525</v>
      </c>
      <c r="C1138">
        <v>0</v>
      </c>
      <c r="D1138" t="str">
        <f t="shared" si="36"/>
        <v>a</v>
      </c>
      <c r="E1138" t="str">
        <f t="shared" si="35"/>
        <v>a) Delegar la decisión al sistema judicial.</v>
      </c>
    </row>
    <row r="1139" spans="1:5" x14ac:dyDescent="0.25">
      <c r="A1139">
        <v>1138</v>
      </c>
      <c r="B1139" t="s">
        <v>526</v>
      </c>
      <c r="C1139">
        <v>0</v>
      </c>
      <c r="D1139" t="str">
        <f t="shared" si="36"/>
        <v>*</v>
      </c>
      <c r="E1139" t="str">
        <f t="shared" si="35"/>
        <v>b) Firmar la historia clínica y el alta voluntaria.</v>
      </c>
    </row>
    <row r="1140" spans="1:5" x14ac:dyDescent="0.25">
      <c r="A1140">
        <v>1139</v>
      </c>
      <c r="B1140" t="s">
        <v>527</v>
      </c>
      <c r="C1140">
        <v>0</v>
      </c>
      <c r="D1140" t="str">
        <f t="shared" si="36"/>
        <v>c</v>
      </c>
      <c r="E1140" t="str">
        <f t="shared" si="35"/>
        <v>c) Solicitar el traslado a otro efector público.</v>
      </c>
    </row>
    <row r="1141" spans="1:5" x14ac:dyDescent="0.25">
      <c r="A1141">
        <v>1140</v>
      </c>
      <c r="B1141" t="s">
        <v>528</v>
      </c>
      <c r="C1141">
        <v>0</v>
      </c>
      <c r="D1141" t="str">
        <f t="shared" si="36"/>
        <v>d</v>
      </c>
      <c r="E1141" t="str">
        <f t="shared" si="35"/>
        <v>d) Someterse igualmente al tratamiento indicado.</v>
      </c>
    </row>
    <row r="1142" spans="1:5" x14ac:dyDescent="0.25">
      <c r="A1142">
        <v>1141</v>
      </c>
      <c r="B1142" t="s">
        <v>1742</v>
      </c>
      <c r="C1142">
        <v>1</v>
      </c>
      <c r="D1142" t="str">
        <f t="shared" si="36"/>
        <v>S</v>
      </c>
      <c r="E1142" t="str">
        <f t="shared" si="35"/>
        <v xml:space="preserve">Segun la Ley 153: Una mujer de 50 años sin cobertura social y afiliada al Plan Médico de Cabecera sufre un accidente en la via pública y debe recibir atención médica de urgencia. ¿En que efector podra recibir los primeros auxilios? </v>
      </c>
    </row>
    <row r="1143" spans="1:5" x14ac:dyDescent="0.25">
      <c r="A1143">
        <v>1142</v>
      </c>
      <c r="B1143" t="s">
        <v>529</v>
      </c>
      <c r="C1143">
        <v>0</v>
      </c>
      <c r="D1143" t="str">
        <f t="shared" si="36"/>
        <v>a</v>
      </c>
      <c r="E1143" t="str">
        <f t="shared" si="35"/>
        <v>a) Exclusivamente en el sub-sector público.</v>
      </c>
    </row>
    <row r="1144" spans="1:5" x14ac:dyDescent="0.25">
      <c r="A1144">
        <v>1143</v>
      </c>
      <c r="B1144" t="s">
        <v>530</v>
      </c>
      <c r="C1144">
        <v>0</v>
      </c>
      <c r="D1144" t="str">
        <f t="shared" si="36"/>
        <v>b</v>
      </c>
      <c r="E1144" t="str">
        <f t="shared" si="35"/>
        <v>b) Exclusivamente en el sub-sector de la seguridad social.</v>
      </c>
    </row>
    <row r="1145" spans="1:5" x14ac:dyDescent="0.25">
      <c r="A1145">
        <v>1144</v>
      </c>
      <c r="B1145" t="s">
        <v>531</v>
      </c>
      <c r="C1145">
        <v>0</v>
      </c>
      <c r="D1145" t="str">
        <f t="shared" si="36"/>
        <v>*</v>
      </c>
      <c r="E1145" t="str">
        <f t="shared" si="35"/>
        <v>c) En el mas cercano de cualquiera de los sectores.</v>
      </c>
    </row>
    <row r="1146" spans="1:5" x14ac:dyDescent="0.25">
      <c r="A1146">
        <v>1145</v>
      </c>
      <c r="B1146" t="s">
        <v>532</v>
      </c>
      <c r="C1146">
        <v>0</v>
      </c>
      <c r="D1146" t="str">
        <f t="shared" si="36"/>
        <v>d</v>
      </c>
      <c r="E1146" t="str">
        <f t="shared" si="35"/>
        <v>d) Unicamente a través del Plan Médico de Cabecera.</v>
      </c>
    </row>
    <row r="1147" spans="1:5" x14ac:dyDescent="0.25">
      <c r="A1147">
        <v>1146</v>
      </c>
      <c r="B1147" t="s">
        <v>1743</v>
      </c>
      <c r="C1147">
        <v>1</v>
      </c>
      <c r="D1147" t="str">
        <f t="shared" si="36"/>
        <v>M</v>
      </c>
      <c r="E1147" t="str">
        <f t="shared" si="35"/>
        <v>Marcos de 17 años concurre a un Centro de salud y Atención Comunitaria solicitando información sobre métodos anticonceptivos. Según la Ley 418: ¿Qué debe hacer el profesional que interviene?</v>
      </c>
    </row>
    <row r="1148" spans="1:5" x14ac:dyDescent="0.25">
      <c r="A1148">
        <v>1147</v>
      </c>
      <c r="B1148" t="s">
        <v>533</v>
      </c>
      <c r="C1148">
        <v>0</v>
      </c>
      <c r="D1148" t="str">
        <f t="shared" si="36"/>
        <v>*</v>
      </c>
      <c r="E1148" t="str">
        <f t="shared" si="35"/>
        <v>a) Brindar asesoramiento sobre los métodos anticonceptivos y sus características.</v>
      </c>
    </row>
    <row r="1149" spans="1:5" x14ac:dyDescent="0.25">
      <c r="A1149">
        <v>1148</v>
      </c>
      <c r="B1149" t="s">
        <v>534</v>
      </c>
      <c r="C1149">
        <v>0</v>
      </c>
      <c r="D1149" t="str">
        <f t="shared" si="36"/>
        <v>b</v>
      </c>
      <c r="E1149" t="str">
        <f t="shared" si="35"/>
        <v>b) Indicar que concurra con un adulto responsable para poder ser atendido.</v>
      </c>
    </row>
    <row r="1150" spans="1:5" x14ac:dyDescent="0.25">
      <c r="A1150">
        <v>1149</v>
      </c>
      <c r="B1150" t="s">
        <v>535</v>
      </c>
      <c r="C1150">
        <v>0</v>
      </c>
      <c r="D1150" t="str">
        <f t="shared" si="36"/>
        <v>c</v>
      </c>
      <c r="E1150" t="str">
        <f t="shared" si="35"/>
        <v>c) Derivar al Hospital base para que consulte con profesionales especializados.</v>
      </c>
    </row>
    <row r="1151" spans="1:5" x14ac:dyDescent="0.25">
      <c r="A1151">
        <v>1150</v>
      </c>
      <c r="B1151" t="s">
        <v>536</v>
      </c>
      <c r="C1151">
        <v>0</v>
      </c>
      <c r="D1151" t="str">
        <f t="shared" si="36"/>
        <v>d</v>
      </c>
      <c r="E1151" t="str">
        <f t="shared" si="35"/>
        <v>d) Solicitar que concurra con su pareja para poder asesorarlos a ambos.</v>
      </c>
    </row>
    <row r="1152" spans="1:5" x14ac:dyDescent="0.25">
      <c r="A1152">
        <v>1151</v>
      </c>
      <c r="B1152" s="1" t="s">
        <v>1744</v>
      </c>
      <c r="C1152">
        <v>1</v>
      </c>
      <c r="D1152" t="str">
        <f t="shared" si="36"/>
        <v>U</v>
      </c>
      <c r="E1152" t="str">
        <f t="shared" si="35"/>
        <v>Una adolescente de 16 años de edad concurre al consultorio de obstetricia para iniciar el control prenatal. Luego de la consulta médica se acerca al Servicio Social del Hospital Fernández y mantiene una entrevista con la trabajadora social referente del Programa de Embarazo Adolescente. Durante el encuentro la joven plantea dudas e inquietudes sobre el virus VIH - SIDA. Según la Ley 418: ¿Que intervención debería realizar la trabajadora social?</v>
      </c>
    </row>
    <row r="1153" spans="1:5" x14ac:dyDescent="0.25">
      <c r="A1153">
        <v>1152</v>
      </c>
      <c r="B1153" t="s">
        <v>537</v>
      </c>
      <c r="C1153">
        <v>0</v>
      </c>
      <c r="D1153" t="str">
        <f t="shared" si="36"/>
        <v>a</v>
      </c>
      <c r="E1153" t="str">
        <f t="shared" si="35"/>
        <v>a) Solicitar autorización por escrito de padre - madre o tutor para brindar la respectiva información.</v>
      </c>
    </row>
    <row r="1154" spans="1:5" x14ac:dyDescent="0.25">
      <c r="A1154">
        <v>1153</v>
      </c>
      <c r="B1154" t="s">
        <v>538</v>
      </c>
      <c r="C1154">
        <v>0</v>
      </c>
      <c r="D1154" t="str">
        <f t="shared" si="36"/>
        <v>*</v>
      </c>
      <c r="E1154" t="str">
        <f t="shared" si="35"/>
        <v>b) Brindar información relacionada con la prevención y transmisión del virus VIH - SIDA.</v>
      </c>
    </row>
    <row r="1155" spans="1:5" x14ac:dyDescent="0.25">
      <c r="A1155">
        <v>1154</v>
      </c>
      <c r="B1155" t="s">
        <v>539</v>
      </c>
      <c r="C1155">
        <v>0</v>
      </c>
      <c r="D1155" t="str">
        <f t="shared" si="36"/>
        <v>c</v>
      </c>
      <c r="E1155" t="str">
        <f t="shared" ref="E1155:E1218" si="37">+IF(D1155="*",MID(B1155,3,500),B1155)</f>
        <v>c) Derivar al médico obstetra para que le brinde toda la información correpondiente sobre el VIH - SIDA.</v>
      </c>
    </row>
    <row r="1156" spans="1:5" x14ac:dyDescent="0.25">
      <c r="A1156">
        <v>1155</v>
      </c>
      <c r="B1156" t="s">
        <v>540</v>
      </c>
      <c r="C1156">
        <v>0</v>
      </c>
      <c r="D1156" t="str">
        <f t="shared" si="36"/>
        <v>d</v>
      </c>
      <c r="E1156" t="str">
        <f t="shared" si="37"/>
        <v xml:space="preserve">d) Solicitar siempre la presencia de un adulto para tratar el tema de VIH - SIDA. </v>
      </c>
    </row>
    <row r="1157" spans="1:5" x14ac:dyDescent="0.25">
      <c r="A1157">
        <v>1156</v>
      </c>
      <c r="B1157" s="1" t="s">
        <v>1745</v>
      </c>
      <c r="C1157">
        <v>1</v>
      </c>
      <c r="D1157" t="str">
        <f t="shared" si="36"/>
        <v>V</v>
      </c>
      <c r="E1157" t="str">
        <f t="shared" si="37"/>
        <v>Victoria de 23 años de edad fue internada en un Hospital Psiquiátrico de la GCBA a raíz de haber padecido un episodio psicótico agudo. Se encuentra desvinculada de su red familiar y vincular que habitan en la Provincia de Salta. Compensada en el cuadro que motivo su internación, al momento de la externación no cuenta con un grupo familiar continente ni con los recursos que le posibiliten vivir de forma autónoma. Según la ley 448: ¿Quién será el responsable de garantizar el albergue de esta persona?</v>
      </c>
    </row>
    <row r="1158" spans="1:5" x14ac:dyDescent="0.25">
      <c r="A1158">
        <v>1157</v>
      </c>
      <c r="B1158" t="s">
        <v>541</v>
      </c>
      <c r="C1158">
        <v>0</v>
      </c>
      <c r="D1158" t="str">
        <f t="shared" si="36"/>
        <v>a</v>
      </c>
      <c r="E1158" t="str">
        <f t="shared" si="37"/>
        <v>a) Asociaciones Civiles organizadas a tal efecto.</v>
      </c>
    </row>
    <row r="1159" spans="1:5" x14ac:dyDescent="0.25">
      <c r="A1159">
        <v>1158</v>
      </c>
      <c r="B1159" t="s">
        <v>542</v>
      </c>
      <c r="C1159">
        <v>0</v>
      </c>
      <c r="D1159" t="str">
        <f t="shared" si="36"/>
        <v>b</v>
      </c>
      <c r="E1159" t="str">
        <f t="shared" si="37"/>
        <v>b) El Ministerio de Desarrollo Social Nacional.</v>
      </c>
    </row>
    <row r="1160" spans="1:5" x14ac:dyDescent="0.25">
      <c r="A1160">
        <v>1159</v>
      </c>
      <c r="B1160" t="s">
        <v>543</v>
      </c>
      <c r="C1160">
        <v>0</v>
      </c>
      <c r="D1160" t="str">
        <f t="shared" si="36"/>
        <v>*</v>
      </c>
      <c r="E1160" t="str">
        <f t="shared" si="37"/>
        <v>c) El área de Promoción Social del GCBA.</v>
      </c>
    </row>
    <row r="1161" spans="1:5" x14ac:dyDescent="0.25">
      <c r="A1161">
        <v>1160</v>
      </c>
      <c r="B1161" t="s">
        <v>544</v>
      </c>
      <c r="C1161">
        <v>0</v>
      </c>
      <c r="D1161" t="str">
        <f t="shared" si="36"/>
        <v>d</v>
      </c>
      <c r="E1161" t="str">
        <f t="shared" si="37"/>
        <v>d) El área social de la Casa de la Provincia de Salta.</v>
      </c>
    </row>
    <row r="1162" spans="1:5" x14ac:dyDescent="0.25">
      <c r="A1162">
        <v>1161</v>
      </c>
      <c r="B1162" t="s">
        <v>1746</v>
      </c>
      <c r="C1162">
        <v>1</v>
      </c>
      <c r="D1162" t="str">
        <f t="shared" si="36"/>
        <v>S</v>
      </c>
      <c r="E1162" t="str">
        <f t="shared" si="37"/>
        <v>Según el Art.2 de la Ley 448 de la Ciudad de Buenos Aires: ¿Qué debe evitar la garantía del derecho a la Salud Mental?</v>
      </c>
    </row>
    <row r="1163" spans="1:5" x14ac:dyDescent="0.25">
      <c r="A1163">
        <v>1162</v>
      </c>
      <c r="B1163" t="s">
        <v>545</v>
      </c>
      <c r="C1163">
        <v>0</v>
      </c>
      <c r="D1163" t="str">
        <f t="shared" si="36"/>
        <v>a</v>
      </c>
      <c r="E1163" t="str">
        <f t="shared" si="37"/>
        <v>a) La articulación con las Organizaciones no Gubernamentales.</v>
      </c>
    </row>
    <row r="1164" spans="1:5" x14ac:dyDescent="0.25">
      <c r="A1164">
        <v>1163</v>
      </c>
      <c r="B1164" t="s">
        <v>546</v>
      </c>
      <c r="C1164">
        <v>0</v>
      </c>
      <c r="D1164" t="str">
        <f t="shared" si="36"/>
        <v>b</v>
      </c>
      <c r="E1164" t="str">
        <f t="shared" si="37"/>
        <v>b) La internación como una modalidad de atención, cuando no sean posibles otro abordajes.</v>
      </c>
    </row>
    <row r="1165" spans="1:5" x14ac:dyDescent="0.25">
      <c r="A1165">
        <v>1164</v>
      </c>
      <c r="B1165" t="s">
        <v>547</v>
      </c>
      <c r="C1165">
        <v>0</v>
      </c>
      <c r="D1165" t="str">
        <f t="shared" si="36"/>
        <v>c</v>
      </c>
      <c r="E1165" t="str">
        <f t="shared" si="37"/>
        <v>c) La pluralidad de concepciones teóricas en Salud Mental.</v>
      </c>
    </row>
    <row r="1166" spans="1:5" x14ac:dyDescent="0.25">
      <c r="A1166">
        <v>1165</v>
      </c>
      <c r="B1166" t="s">
        <v>548</v>
      </c>
      <c r="C1166">
        <v>0</v>
      </c>
      <c r="D1166" t="str">
        <f t="shared" si="36"/>
        <v>*</v>
      </c>
      <c r="E1166" t="str">
        <f t="shared" si="37"/>
        <v>d) Las políticas, técnicas y prácticas que tengan como fin el control social.</v>
      </c>
    </row>
    <row r="1167" spans="1:5" x14ac:dyDescent="0.25">
      <c r="A1167">
        <v>1166</v>
      </c>
      <c r="B1167" s="1" t="s">
        <v>1747</v>
      </c>
      <c r="C1167">
        <v>1</v>
      </c>
      <c r="D1167" t="str">
        <f t="shared" si="36"/>
        <v>U</v>
      </c>
      <c r="E1167" t="str">
        <f t="shared" si="37"/>
        <v>Un joven de 18 años de edad presenta una discapacidad motora y por su situación debe asistir periódicamente a un Hospital público para realizar un tratamiento ambulatorio. Al respecto realiza una consulta con Trabajo Social, ya que por su discapacidad no puede movilizarse en transporte público. Según lo mencionado en el Art.2 de la Ley 22.431: ¿Qué indicación le dará la Trabajadora Social?</v>
      </c>
    </row>
    <row r="1168" spans="1:5" x14ac:dyDescent="0.25">
      <c r="A1168">
        <v>1167</v>
      </c>
      <c r="B1168" t="s">
        <v>549</v>
      </c>
      <c r="C1168">
        <v>0</v>
      </c>
      <c r="D1168" t="str">
        <f t="shared" si="36"/>
        <v>*</v>
      </c>
      <c r="E1168" t="str">
        <f t="shared" si="37"/>
        <v>a) Que puede acceder a un transporte especial si ya cuenta con el certificado de discapacidad.</v>
      </c>
    </row>
    <row r="1169" spans="1:5" x14ac:dyDescent="0.25">
      <c r="A1169">
        <v>1168</v>
      </c>
      <c r="B1169" t="s">
        <v>550</v>
      </c>
      <c r="C1169">
        <v>0</v>
      </c>
      <c r="D1169" t="str">
        <f t="shared" si="36"/>
        <v>b</v>
      </c>
      <c r="E1169" t="str">
        <f t="shared" si="37"/>
        <v>b) Que solicite al médico tratante un informe para acceder al transporte especial que requiere.</v>
      </c>
    </row>
    <row r="1170" spans="1:5" x14ac:dyDescent="0.25">
      <c r="A1170">
        <v>1169</v>
      </c>
      <c r="B1170" t="s">
        <v>551</v>
      </c>
      <c r="C1170">
        <v>0</v>
      </c>
      <c r="D1170" t="str">
        <f t="shared" si="36"/>
        <v>c</v>
      </c>
      <c r="E1170" t="str">
        <f t="shared" si="37"/>
        <v>c) Que mediante informe social podrá suvencionarse el 50% del costo del traslado.</v>
      </c>
    </row>
    <row r="1171" spans="1:5" x14ac:dyDescent="0.25">
      <c r="A1171">
        <v>1170</v>
      </c>
      <c r="B1171" t="s">
        <v>552</v>
      </c>
      <c r="C1171">
        <v>0</v>
      </c>
      <c r="D1171" t="str">
        <f t="shared" si="36"/>
        <v>d</v>
      </c>
      <c r="E1171" t="str">
        <f t="shared" si="37"/>
        <v>d) Que existe la posibilidad de llegar a un acuerdo con SAME para que ponga a disposición una ambulancia para dichos traslados.</v>
      </c>
    </row>
    <row r="1172" spans="1:5" x14ac:dyDescent="0.25">
      <c r="A1172">
        <v>1171</v>
      </c>
      <c r="B1172" t="s">
        <v>1748</v>
      </c>
      <c r="C1172">
        <v>1</v>
      </c>
      <c r="D1172" t="str">
        <f t="shared" si="36"/>
        <v>S</v>
      </c>
      <c r="E1172" t="str">
        <f t="shared" si="37"/>
        <v>Según el artículo 22 de la Ley 22.431, tanto en la construcción como en la remodelación de los edificios públicos como en los de empresas privadas destinadas a servicios públicos y en los que se exhiban espectaculos públicos: ¿Qué deberá preveerse?</v>
      </c>
    </row>
    <row r="1173" spans="1:5" x14ac:dyDescent="0.25">
      <c r="A1173">
        <v>1172</v>
      </c>
      <c r="B1173" t="s">
        <v>553</v>
      </c>
      <c r="C1173">
        <v>0</v>
      </c>
      <c r="D1173" t="str">
        <f t="shared" si="36"/>
        <v>a</v>
      </c>
      <c r="E1173" t="str">
        <f t="shared" si="37"/>
        <v>a) Ascensores con señal sonora y botonera al alcance de personas en silla de ruedas.</v>
      </c>
    </row>
    <row r="1174" spans="1:5" x14ac:dyDescent="0.25">
      <c r="A1174">
        <v>1173</v>
      </c>
      <c r="B1174" t="s">
        <v>554</v>
      </c>
      <c r="C1174">
        <v>0</v>
      </c>
      <c r="D1174" t="str">
        <f t="shared" si="36"/>
        <v>b</v>
      </c>
      <c r="E1174" t="str">
        <f t="shared" si="37"/>
        <v>b) Carteleras indicadoras de todos los servicios que se brindan en el edificio exhibidas en sistema braile.</v>
      </c>
    </row>
    <row r="1175" spans="1:5" x14ac:dyDescent="0.25">
      <c r="A1175">
        <v>1174</v>
      </c>
      <c r="B1175" t="s">
        <v>555</v>
      </c>
      <c r="C1175">
        <v>0</v>
      </c>
      <c r="D1175" t="str">
        <f t="shared" si="36"/>
        <v>*</v>
      </c>
      <c r="E1175" t="str">
        <f t="shared" si="37"/>
        <v>c) Instalaciones adecuadas para acceso de personas discapacitadas que utilicen sillas de ruedas.</v>
      </c>
    </row>
    <row r="1176" spans="1:5" x14ac:dyDescent="0.25">
      <c r="A1176">
        <v>1175</v>
      </c>
      <c r="B1176" t="s">
        <v>556</v>
      </c>
      <c r="C1176">
        <v>0</v>
      </c>
      <c r="D1176" t="str">
        <f t="shared" si="36"/>
        <v>d</v>
      </c>
      <c r="E1176" t="str">
        <f t="shared" si="37"/>
        <v>d) Personal capacitado e idoneo que domine el lenguaje de señas.</v>
      </c>
    </row>
    <row r="1177" spans="1:5" x14ac:dyDescent="0.25">
      <c r="A1177">
        <v>1176</v>
      </c>
      <c r="B1177" s="1" t="s">
        <v>1749</v>
      </c>
      <c r="C1177">
        <v>1</v>
      </c>
      <c r="D1177" t="str">
        <f t="shared" si="36"/>
        <v>R</v>
      </c>
      <c r="E1177" t="str">
        <f t="shared" si="37"/>
        <v>Roberto de 45 años de edad concurre a la guardia de un hospital psiquiátrico de la Ciudad de Buenos Aires por primera vez en su vida, solicitando atención urgente a raíz de una crisis emocional. Luego de la evaluación realizada por el personal de la guardia, se decide la internación de Roberto bajo la modalidad : "a pedido del propio interesado o su representante legal". Según el art. 2 de la Ley 22.914: ¿En qué momento deberá el Director del hospital formular la comunicación al Ministerio de Menores e Incapaces sobre la internación efectuada?</v>
      </c>
    </row>
    <row r="1178" spans="1:5" x14ac:dyDescent="0.25">
      <c r="A1178">
        <v>1177</v>
      </c>
      <c r="B1178" t="s">
        <v>557</v>
      </c>
      <c r="C1178">
        <v>0</v>
      </c>
      <c r="D1178" t="str">
        <f t="shared" si="36"/>
        <v>a</v>
      </c>
      <c r="E1178" t="str">
        <f t="shared" si="37"/>
        <v>a) Al día siguiente de la internación.</v>
      </c>
    </row>
    <row r="1179" spans="1:5" x14ac:dyDescent="0.25">
      <c r="A1179">
        <v>1178</v>
      </c>
      <c r="B1179" t="s">
        <v>558</v>
      </c>
      <c r="C1179">
        <v>0</v>
      </c>
      <c r="D1179" t="str">
        <f t="shared" si="36"/>
        <v>b</v>
      </c>
      <c r="E1179" t="str">
        <f t="shared" si="37"/>
        <v>b) Al momento del traslado a otra institución.</v>
      </c>
    </row>
    <row r="1180" spans="1:5" x14ac:dyDescent="0.25">
      <c r="A1180">
        <v>1179</v>
      </c>
      <c r="B1180" t="s">
        <v>559</v>
      </c>
      <c r="C1180">
        <v>0</v>
      </c>
      <c r="D1180" t="str">
        <f t="shared" si="36"/>
        <v>*</v>
      </c>
      <c r="E1180" t="str">
        <f t="shared" si="37"/>
        <v>c) Cuando la internación supere los 20 días</v>
      </c>
    </row>
    <row r="1181" spans="1:5" x14ac:dyDescent="0.25">
      <c r="A1181">
        <v>1180</v>
      </c>
      <c r="B1181" t="s">
        <v>560</v>
      </c>
      <c r="C1181">
        <v>0</v>
      </c>
      <c r="D1181" t="str">
        <f t="shared" si="36"/>
        <v>d</v>
      </c>
      <c r="E1181" t="str">
        <f t="shared" si="37"/>
        <v>d) Cuando la familia firme el consentimiento informado.</v>
      </c>
    </row>
    <row r="1182" spans="1:5" x14ac:dyDescent="0.25">
      <c r="A1182">
        <v>1181</v>
      </c>
      <c r="B1182" s="1" t="s">
        <v>1750</v>
      </c>
      <c r="C1182">
        <v>1</v>
      </c>
      <c r="D1182" t="str">
        <f t="shared" si="36"/>
        <v>J</v>
      </c>
      <c r="E1182" t="str">
        <f t="shared" si="37"/>
        <v>Juan esta preocupado porque su ex-esposa y madre de su hijo, obstaculiza el cumplimiento del régimen de visita, acordado en una instancia de mediación, argumentando que el juez le asignó a ella el ejercicio de la tenencia del niño. Además del derecho de Juan a supervisar la educación de su hijo, ¿Qué otro derecho manifestado expresamente en la Ley 23.264 de Filiación y Patria potestad se esta vulnerando?</v>
      </c>
    </row>
    <row r="1183" spans="1:5" x14ac:dyDescent="0.25">
      <c r="A1183">
        <v>1182</v>
      </c>
      <c r="B1183" t="s">
        <v>561</v>
      </c>
      <c r="C1183">
        <v>0</v>
      </c>
      <c r="D1183" t="str">
        <f t="shared" si="36"/>
        <v>*</v>
      </c>
      <c r="E1183" t="str">
        <f t="shared" si="37"/>
        <v>a) Adecuada comunicación con el hijo.</v>
      </c>
    </row>
    <row r="1184" spans="1:5" x14ac:dyDescent="0.25">
      <c r="A1184">
        <v>1183</v>
      </c>
      <c r="B1184" t="s">
        <v>562</v>
      </c>
      <c r="C1184">
        <v>0</v>
      </c>
      <c r="D1184" t="str">
        <f t="shared" si="36"/>
        <v>b</v>
      </c>
      <c r="E1184" t="str">
        <f t="shared" si="37"/>
        <v>b) Contacto con la familia extensa paterna.</v>
      </c>
    </row>
    <row r="1185" spans="1:5" x14ac:dyDescent="0.25">
      <c r="A1185">
        <v>1184</v>
      </c>
      <c r="B1185" t="s">
        <v>563</v>
      </c>
      <c r="C1185">
        <v>0</v>
      </c>
      <c r="D1185" t="str">
        <f t="shared" si="36"/>
        <v>c</v>
      </c>
      <c r="E1185" t="str">
        <f t="shared" si="37"/>
        <v>c) Control de la salud del hijo.</v>
      </c>
    </row>
    <row r="1186" spans="1:5" x14ac:dyDescent="0.25">
      <c r="A1186">
        <v>1185</v>
      </c>
      <c r="B1186" t="s">
        <v>564</v>
      </c>
      <c r="C1186">
        <v>0</v>
      </c>
      <c r="D1186" t="str">
        <f t="shared" si="36"/>
        <v>d</v>
      </c>
      <c r="E1186" t="str">
        <f t="shared" si="37"/>
        <v>d) Conocimiento de las amistades del niño.</v>
      </c>
    </row>
    <row r="1187" spans="1:5" x14ac:dyDescent="0.25">
      <c r="A1187">
        <v>1186</v>
      </c>
      <c r="B1187" s="1" t="s">
        <v>1751</v>
      </c>
      <c r="C1187">
        <v>1</v>
      </c>
      <c r="D1187" t="str">
        <f t="shared" si="36"/>
        <v>G</v>
      </c>
      <c r="E1187" t="str">
        <f t="shared" si="37"/>
        <v>Guadalupe tiene 17 años, convive con su mamá quien se divorcio de su padre cuando Guadalupe tenía 8 años. A los 15 años su madre le confiesa que  quién figura como su padre no lo es verdaderamente.Actualmente Guadalupe, tiene deseos de impugnar la paternidad de la persona que figura en los documentos como su padre.De acuerdo a lo estipulado por la Ley 23.264 ¿Qué podrá hacer Guadalupe?</v>
      </c>
    </row>
    <row r="1188" spans="1:5" x14ac:dyDescent="0.25">
      <c r="A1188">
        <v>1187</v>
      </c>
      <c r="B1188" t="s">
        <v>565</v>
      </c>
      <c r="C1188">
        <v>0</v>
      </c>
      <c r="D1188" t="str">
        <f t="shared" ref="D1188:D1251" si="38">+MID(B1188,1,1)</f>
        <v>a</v>
      </c>
      <c r="E1188" t="str">
        <f t="shared" si="37"/>
        <v>a) Deberá contar con el consentimiento expreso de su madre para llevar a cabo la acción de impugnación.</v>
      </c>
    </row>
    <row r="1189" spans="1:5" x14ac:dyDescent="0.25">
      <c r="A1189">
        <v>1188</v>
      </c>
      <c r="B1189" t="s">
        <v>566</v>
      </c>
      <c r="C1189">
        <v>0</v>
      </c>
      <c r="D1189" t="str">
        <f t="shared" si="38"/>
        <v>b</v>
      </c>
      <c r="E1189" t="str">
        <f t="shared" si="37"/>
        <v>b) El registro en calidad de hija matrimonial es irrevocable</v>
      </c>
    </row>
    <row r="1190" spans="1:5" x14ac:dyDescent="0.25">
      <c r="A1190">
        <v>1189</v>
      </c>
      <c r="B1190" t="s">
        <v>567</v>
      </c>
      <c r="C1190">
        <v>0</v>
      </c>
      <c r="D1190" t="str">
        <f t="shared" si="38"/>
        <v>*</v>
      </c>
      <c r="E1190" t="str">
        <f t="shared" si="37"/>
        <v>c) Realizar la acción de impugnación en cualquier tiempo.</v>
      </c>
    </row>
    <row r="1191" spans="1:5" x14ac:dyDescent="0.25">
      <c r="A1191">
        <v>1190</v>
      </c>
      <c r="B1191" t="s">
        <v>568</v>
      </c>
      <c r="C1191">
        <v>0</v>
      </c>
      <c r="D1191" t="str">
        <f t="shared" si="38"/>
        <v>d</v>
      </c>
      <c r="E1191" t="str">
        <f t="shared" si="37"/>
        <v>d) Solicitar la intervención de un Juez, para impugnar la paternidad , antes de cumplir los 21 años.</v>
      </c>
    </row>
    <row r="1192" spans="1:5" x14ac:dyDescent="0.25">
      <c r="A1192">
        <v>1191</v>
      </c>
      <c r="B1192" s="1" t="s">
        <v>1752</v>
      </c>
      <c r="C1192">
        <v>1</v>
      </c>
      <c r="D1192" t="str">
        <f t="shared" si="38"/>
        <v>U</v>
      </c>
      <c r="E1192" t="str">
        <f t="shared" si="37"/>
        <v>Una nueva Agrupación aspira a presentarse a las elecciones de autoridades del Consejo Profesional de Graduados en Servcicio Social o Trabajo Social de la Ciudad de Buenos Aires, para ello deberá ser oficializada como tal. Sus candidatos cumplimentan lo previsto por los artículos 13, 14 y 15 de la Ley 23.377 además se requiere el apoyo por escrito de por lo menos:¿Cuántos matriculados?</v>
      </c>
    </row>
    <row r="1193" spans="1:5" x14ac:dyDescent="0.25">
      <c r="A1193">
        <v>1192</v>
      </c>
      <c r="B1193" t="s">
        <v>569</v>
      </c>
      <c r="C1193">
        <v>0</v>
      </c>
      <c r="D1193" t="str">
        <f t="shared" si="38"/>
        <v>a</v>
      </c>
      <c r="E1193" t="str">
        <f t="shared" si="37"/>
        <v>a) Del 50% de los integrantes de la Asamblea.</v>
      </c>
    </row>
    <row r="1194" spans="1:5" x14ac:dyDescent="0.25">
      <c r="A1194">
        <v>1193</v>
      </c>
      <c r="B1194" t="s">
        <v>570</v>
      </c>
      <c r="C1194">
        <v>0</v>
      </c>
      <c r="D1194" t="str">
        <f t="shared" si="38"/>
        <v>b</v>
      </c>
      <c r="E1194" t="str">
        <f t="shared" si="37"/>
        <v>b) Del 15% de los matriculados a la fecha del llamado a elecciones</v>
      </c>
    </row>
    <row r="1195" spans="1:5" x14ac:dyDescent="0.25">
      <c r="A1195">
        <v>1194</v>
      </c>
      <c r="B1195" t="s">
        <v>571</v>
      </c>
      <c r="C1195">
        <v>0</v>
      </c>
      <c r="D1195" t="str">
        <f t="shared" si="38"/>
        <v>*</v>
      </c>
      <c r="E1195" t="str">
        <f t="shared" si="37"/>
        <v>c) De no menos de 50 matriculados</v>
      </c>
    </row>
    <row r="1196" spans="1:5" x14ac:dyDescent="0.25">
      <c r="A1196">
        <v>1195</v>
      </c>
      <c r="B1196" t="s">
        <v>572</v>
      </c>
      <c r="C1196">
        <v>0</v>
      </c>
      <c r="D1196" t="str">
        <f t="shared" si="38"/>
        <v>d</v>
      </c>
      <c r="E1196" t="str">
        <f t="shared" si="37"/>
        <v>d) Del total de los miembros de la Comisión Directiva</v>
      </c>
    </row>
    <row r="1197" spans="1:5" x14ac:dyDescent="0.25">
      <c r="A1197">
        <v>1196</v>
      </c>
      <c r="B1197" s="1" t="s">
        <v>1753</v>
      </c>
      <c r="C1197">
        <v>1</v>
      </c>
      <c r="D1197" t="str">
        <f t="shared" si="38"/>
        <v>S</v>
      </c>
      <c r="E1197" t="str">
        <f t="shared" si="37"/>
        <v>Sofía, de 35 años se presenta en el servicio social de un Centro de Salud. Plantea que desde hace siete años está casada con Sebastián de 40 años. Refiere que se encuentra separada de hecho desde hace mas de tres años, y que no tiene contacto ni voluntad de reanudar la cohabitación. Manifiesta tener deseos de divorciarse, pero las vecinas del barrio le han comentado que para ello necesita el consentimiento de su ex -pareja. Según la Ley 23.515 ¿Qué respuesta debería darle el trabajador social considerando su separación de hecho sin voluntad de unirse por un tiempo continuo mayor de tres años?</v>
      </c>
    </row>
    <row r="1198" spans="1:5" x14ac:dyDescent="0.25">
      <c r="A1198">
        <v>1197</v>
      </c>
      <c r="B1198" t="s">
        <v>573</v>
      </c>
      <c r="C1198">
        <v>0</v>
      </c>
      <c r="D1198" t="str">
        <f t="shared" si="38"/>
        <v>*</v>
      </c>
      <c r="E1198" t="str">
        <f t="shared" si="37"/>
        <v>a) Cualquiera de los cónyuges podrá peticionar el divorcio.</v>
      </c>
    </row>
    <row r="1199" spans="1:5" x14ac:dyDescent="0.25">
      <c r="A1199">
        <v>1198</v>
      </c>
      <c r="B1199" t="s">
        <v>574</v>
      </c>
      <c r="C1199">
        <v>0</v>
      </c>
      <c r="D1199" t="str">
        <f t="shared" si="38"/>
        <v>b</v>
      </c>
      <c r="E1199" t="str">
        <f t="shared" si="37"/>
        <v>b) No podrá iniciar acciones legales unilateralmente.</v>
      </c>
    </row>
    <row r="1200" spans="1:5" x14ac:dyDescent="0.25">
      <c r="A1200">
        <v>1199</v>
      </c>
      <c r="B1200" t="s">
        <v>575</v>
      </c>
      <c r="C1200">
        <v>0</v>
      </c>
      <c r="D1200" t="str">
        <f t="shared" si="38"/>
        <v>c</v>
      </c>
      <c r="E1200" t="str">
        <f t="shared" si="37"/>
        <v>c) Previamente deberá realizar una denuncia por abandono de hogar.</v>
      </c>
    </row>
    <row r="1201" spans="1:5" x14ac:dyDescent="0.25">
      <c r="A1201">
        <v>1200</v>
      </c>
      <c r="B1201" t="s">
        <v>576</v>
      </c>
      <c r="C1201">
        <v>0</v>
      </c>
      <c r="D1201" t="str">
        <f t="shared" si="38"/>
        <v>d</v>
      </c>
      <c r="E1201" t="str">
        <f t="shared" si="37"/>
        <v>d) Previo a toda tramitación se deberá solicitar una audiencia de mediación.</v>
      </c>
    </row>
    <row r="1202" spans="1:5" x14ac:dyDescent="0.25">
      <c r="A1202">
        <v>1201</v>
      </c>
      <c r="B1202" s="1" t="s">
        <v>1754</v>
      </c>
      <c r="C1202">
        <v>1</v>
      </c>
      <c r="D1202" t="str">
        <f t="shared" si="38"/>
        <v>O</v>
      </c>
      <c r="E1202" t="str">
        <f t="shared" si="37"/>
        <v>Olivia y Ramiro de 35 y 40 años respectivamente se encuentran casados desde hace 10 años y tienen dos hijos, los últimos años de convivencia resultaron muy difíciles debido a sus frecuentes depresiones y reacciones violentas aparentemente inmotivadas de Ramiro. Agotada por la situación Olivia se acerca al servicio social del centro de salud de su barrio para solicitar asesoramiento a fin de iniciar una separación. Considerando la situación de este matrimonio, según Ley 23.515 ¿Con qué razón uno de los cónyuges puede pedir la separación personal?</v>
      </c>
    </row>
    <row r="1203" spans="1:5" x14ac:dyDescent="0.25">
      <c r="A1203">
        <v>1202</v>
      </c>
      <c r="B1203" t="s">
        <v>577</v>
      </c>
      <c r="C1203">
        <v>0</v>
      </c>
      <c r="D1203" t="str">
        <f t="shared" si="38"/>
        <v>*</v>
      </c>
      <c r="E1203" t="str">
        <f t="shared" si="37"/>
        <v>a) Alteraciones mentales graves de carácter permanente, alcoholismo o adicciones a la droga del otro cónyuge.</v>
      </c>
    </row>
    <row r="1204" spans="1:5" x14ac:dyDescent="0.25">
      <c r="A1204">
        <v>1203</v>
      </c>
      <c r="B1204" t="s">
        <v>578</v>
      </c>
      <c r="C1204">
        <v>0</v>
      </c>
      <c r="D1204" t="str">
        <f t="shared" si="38"/>
        <v>b</v>
      </c>
      <c r="E1204" t="str">
        <f t="shared" si="37"/>
        <v>b) Desorden general, inmoralidad o falta de medios económicos del otro cónyuge.</v>
      </c>
    </row>
    <row r="1205" spans="1:5" x14ac:dyDescent="0.25">
      <c r="A1205">
        <v>1204</v>
      </c>
      <c r="B1205" t="s">
        <v>579</v>
      </c>
      <c r="C1205">
        <v>0</v>
      </c>
      <c r="D1205" t="str">
        <f t="shared" si="38"/>
        <v>c</v>
      </c>
      <c r="E1205" t="str">
        <f t="shared" si="37"/>
        <v>c) Inestabilidad e inadecuación en el ejercicio de la patria potestad del otro cónyuge.</v>
      </c>
    </row>
    <row r="1206" spans="1:5" x14ac:dyDescent="0.25">
      <c r="A1206">
        <v>1205</v>
      </c>
      <c r="B1206" t="s">
        <v>580</v>
      </c>
      <c r="C1206">
        <v>0</v>
      </c>
      <c r="D1206" t="str">
        <f t="shared" si="38"/>
        <v>d</v>
      </c>
      <c r="E1206" t="str">
        <f t="shared" si="37"/>
        <v>d) Interrupción de la cohabitación por el término de tres meses de cualquier cónyuge.</v>
      </c>
    </row>
    <row r="1207" spans="1:5" x14ac:dyDescent="0.25">
      <c r="A1207">
        <v>1206</v>
      </c>
      <c r="B1207" s="1" t="s">
        <v>1755</v>
      </c>
      <c r="C1207">
        <v>1</v>
      </c>
      <c r="D1207" t="str">
        <f t="shared" si="38"/>
        <v>M</v>
      </c>
      <c r="E1207" t="str">
        <f t="shared" si="37"/>
        <v>Mónica concurre al servicio de guardia de un efector público de salud acompañando a su madre de 67 años con severos trastornos ocasionados por el consumo inadecuado de psicofarmacos. Refiere que la señora los obtiene en una farmacia de la zona sin contar con prescripción médica. Según la Ley 23.737 ¿Cómo será reprimido quién estando autorizado para la venta de sustancias medicinales lo haga sin exigir la presentación y archivo de la receta de aquellos productos que según las reglamentaciones vigentes no pueden ser comercializados sin ese requisito?</v>
      </c>
    </row>
    <row r="1208" spans="1:5" x14ac:dyDescent="0.25">
      <c r="A1208">
        <v>1207</v>
      </c>
      <c r="B1208" t="s">
        <v>581</v>
      </c>
      <c r="C1208">
        <v>0</v>
      </c>
      <c r="D1208" t="str">
        <f t="shared" si="38"/>
        <v>a</v>
      </c>
      <c r="E1208" t="str">
        <f t="shared" si="37"/>
        <v>a) Con multa de 6.000 a 12.000 pesos</v>
      </c>
    </row>
    <row r="1209" spans="1:5" x14ac:dyDescent="0.25">
      <c r="A1209">
        <v>1208</v>
      </c>
      <c r="B1209" t="s">
        <v>582</v>
      </c>
      <c r="C1209">
        <v>0</v>
      </c>
      <c r="D1209" t="str">
        <f t="shared" si="38"/>
        <v>b</v>
      </c>
      <c r="E1209" t="str">
        <f t="shared" si="37"/>
        <v>b) Con multa de 2.000 a 5.000 pesos y reclusión de un año</v>
      </c>
    </row>
    <row r="1210" spans="1:5" x14ac:dyDescent="0.25">
      <c r="A1210">
        <v>1209</v>
      </c>
      <c r="B1210" t="s">
        <v>583</v>
      </c>
      <c r="C1210">
        <v>0</v>
      </c>
      <c r="D1210" t="str">
        <f t="shared" si="38"/>
        <v>*</v>
      </c>
      <c r="E1210" t="str">
        <f t="shared" si="37"/>
        <v>c) Con prisión de seis meses a tres años</v>
      </c>
    </row>
    <row r="1211" spans="1:5" x14ac:dyDescent="0.25">
      <c r="A1211">
        <v>1210</v>
      </c>
      <c r="B1211" t="s">
        <v>584</v>
      </c>
      <c r="C1211">
        <v>0</v>
      </c>
      <c r="D1211" t="str">
        <f t="shared" si="38"/>
        <v>d</v>
      </c>
      <c r="E1211" t="str">
        <f t="shared" si="37"/>
        <v>d) Con obligación de trabajo comunitario por el término de un año</v>
      </c>
    </row>
    <row r="1212" spans="1:5" x14ac:dyDescent="0.25">
      <c r="A1212">
        <v>1211</v>
      </c>
      <c r="B1212" t="s">
        <v>1756</v>
      </c>
      <c r="C1212">
        <v>1</v>
      </c>
      <c r="D1212" t="str">
        <f t="shared" si="38"/>
        <v>E</v>
      </c>
      <c r="E1212" t="str">
        <f t="shared" si="37"/>
        <v>En la sala de Clínica Médica se encuentra internada una paciente declarada insana. Durante la internación se realiza Test de HIV, previo consentimiento del curador. Según la LEY nª 23.798 ¿A quién deberá informar el resultado el equipo de salud?</v>
      </c>
    </row>
    <row r="1213" spans="1:5" x14ac:dyDescent="0.25">
      <c r="A1213">
        <v>1212</v>
      </c>
      <c r="B1213" t="s">
        <v>585</v>
      </c>
      <c r="C1213">
        <v>0</v>
      </c>
      <c r="D1213" t="str">
        <f t="shared" si="38"/>
        <v>a</v>
      </c>
      <c r="E1213" t="str">
        <f t="shared" si="37"/>
        <v>a) A la paciente y su grupo familiar</v>
      </c>
    </row>
    <row r="1214" spans="1:5" x14ac:dyDescent="0.25">
      <c r="A1214">
        <v>1213</v>
      </c>
      <c r="B1214" t="s">
        <v>586</v>
      </c>
      <c r="C1214">
        <v>0</v>
      </c>
      <c r="D1214" t="str">
        <f t="shared" si="38"/>
        <v>*</v>
      </c>
      <c r="E1214" t="str">
        <f t="shared" si="37"/>
        <v>b) A la paciente y a su curador oficial</v>
      </c>
    </row>
    <row r="1215" spans="1:5" x14ac:dyDescent="0.25">
      <c r="A1215">
        <v>1214</v>
      </c>
      <c r="B1215" t="s">
        <v>587</v>
      </c>
      <c r="C1215">
        <v>0</v>
      </c>
      <c r="D1215" t="str">
        <f t="shared" si="38"/>
        <v>c</v>
      </c>
      <c r="E1215" t="str">
        <f t="shared" si="37"/>
        <v>c) Solo a la paciente</v>
      </c>
    </row>
    <row r="1216" spans="1:5" x14ac:dyDescent="0.25">
      <c r="A1216">
        <v>1215</v>
      </c>
      <c r="B1216" t="s">
        <v>588</v>
      </c>
      <c r="C1216">
        <v>0</v>
      </c>
      <c r="D1216" t="str">
        <f t="shared" si="38"/>
        <v>d</v>
      </c>
      <c r="E1216" t="str">
        <f t="shared" si="37"/>
        <v>d) Solo al director del Hospital</v>
      </c>
    </row>
    <row r="1217" spans="1:5" x14ac:dyDescent="0.25">
      <c r="A1217">
        <v>1216</v>
      </c>
      <c r="B1217" s="1" t="s">
        <v>1757</v>
      </c>
      <c r="C1217">
        <v>1</v>
      </c>
      <c r="D1217" t="str">
        <f t="shared" si="38"/>
        <v>A</v>
      </c>
      <c r="E1217" t="str">
        <f t="shared" si="37"/>
        <v>A la señora X. le diagnosticaron VIH positivo. Al carecer de Obra Social debe gestionar la medicación en el Ministerio de Salud. Su hijo es quién está colaborando con dichos trámites por el estado de salud de la madre. El mismo desconoce el diagnostico y la Sra X quiere mantenerlo en reserva. Según la Ley 23.798 ¿Qué debería hacer el equipo tratante al respecto?</v>
      </c>
    </row>
    <row r="1218" spans="1:5" x14ac:dyDescent="0.25">
      <c r="A1218">
        <v>1217</v>
      </c>
      <c r="B1218" t="s">
        <v>589</v>
      </c>
      <c r="C1218">
        <v>0</v>
      </c>
      <c r="D1218" t="str">
        <f t="shared" si="38"/>
        <v>a</v>
      </c>
      <c r="E1218" t="str">
        <f t="shared" si="37"/>
        <v>a) Informar al hijo sobre el diagnóstico.</v>
      </c>
    </row>
    <row r="1219" spans="1:5" x14ac:dyDescent="0.25">
      <c r="A1219">
        <v>1218</v>
      </c>
      <c r="B1219" t="s">
        <v>590</v>
      </c>
      <c r="C1219">
        <v>0</v>
      </c>
      <c r="D1219" t="str">
        <f t="shared" si="38"/>
        <v>b</v>
      </c>
      <c r="E1219" t="str">
        <f t="shared" ref="E1219:E1282" si="39">+IF(D1219="*",MID(B1219,3,500),B1219)</f>
        <v>b) Informar a todo el grupo conviviente sobre el diagnóstico.</v>
      </c>
    </row>
    <row r="1220" spans="1:5" x14ac:dyDescent="0.25">
      <c r="A1220">
        <v>1219</v>
      </c>
      <c r="B1220" t="s">
        <v>591</v>
      </c>
      <c r="C1220">
        <v>0</v>
      </c>
      <c r="D1220" t="str">
        <f t="shared" si="38"/>
        <v>c</v>
      </c>
      <c r="E1220" t="str">
        <f t="shared" si="39"/>
        <v>c) Responsabilizar al equipo de psicopatología sobre la decisión de a quién informar.</v>
      </c>
    </row>
    <row r="1221" spans="1:5" x14ac:dyDescent="0.25">
      <c r="A1221">
        <v>1220</v>
      </c>
      <c r="B1221" t="s">
        <v>592</v>
      </c>
      <c r="C1221">
        <v>0</v>
      </c>
      <c r="D1221" t="str">
        <f t="shared" si="38"/>
        <v>*</v>
      </c>
      <c r="E1221" t="str">
        <f t="shared" si="39"/>
        <v>d) Respetar el secreto médico.</v>
      </c>
    </row>
    <row r="1222" spans="1:5" x14ac:dyDescent="0.25">
      <c r="A1222">
        <v>1221</v>
      </c>
      <c r="B1222" s="1" t="s">
        <v>1758</v>
      </c>
      <c r="C1222">
        <v>1</v>
      </c>
      <c r="D1222" t="str">
        <f t="shared" si="38"/>
        <v>J</v>
      </c>
      <c r="E1222" t="str">
        <f t="shared" si="39"/>
        <v>Julieta de 29 años concurre a la guardia de un hospital general bastante nerviosa. En la entrevista con la Trabajadora Social de Guardia, Julieta le comenta que su marido la ha golpeado en numerosas oportunidades y con mucha fuerza. Según la Ley 24.417 de Violencia Familiar. ¿Cuál es la orientación correcta que podrá darle la Trabajadora Social?</v>
      </c>
    </row>
    <row r="1223" spans="1:5" x14ac:dyDescent="0.25">
      <c r="A1223">
        <v>1222</v>
      </c>
      <c r="B1223" t="s">
        <v>593</v>
      </c>
      <c r="C1223">
        <v>0</v>
      </c>
      <c r="D1223" t="str">
        <f t="shared" si="38"/>
        <v>a</v>
      </c>
      <c r="E1223" t="str">
        <f t="shared" si="39"/>
        <v>a) Asentar la denuncia en la Comisaría mas cercana a su domicilio.</v>
      </c>
    </row>
    <row r="1224" spans="1:5" x14ac:dyDescent="0.25">
      <c r="A1224">
        <v>1223</v>
      </c>
      <c r="B1224" t="s">
        <v>594</v>
      </c>
      <c r="C1224">
        <v>0</v>
      </c>
      <c r="D1224" t="str">
        <f t="shared" si="38"/>
        <v>*</v>
      </c>
      <c r="E1224" t="str">
        <f t="shared" si="39"/>
        <v>b) Denunciar los hechos en forma verbal o escrita ante el Juez con competencia en asuntos de familia.</v>
      </c>
    </row>
    <row r="1225" spans="1:5" x14ac:dyDescent="0.25">
      <c r="A1225">
        <v>1224</v>
      </c>
      <c r="B1225" t="s">
        <v>595</v>
      </c>
      <c r="C1225">
        <v>0</v>
      </c>
      <c r="D1225" t="str">
        <f t="shared" si="38"/>
        <v>c</v>
      </c>
      <c r="E1225" t="str">
        <f t="shared" si="39"/>
        <v>c) Dirigirse a la Dirección General del Hospital con el informe social elaborado por la Trabajadora Social.</v>
      </c>
    </row>
    <row r="1226" spans="1:5" x14ac:dyDescent="0.25">
      <c r="A1226">
        <v>1225</v>
      </c>
      <c r="B1226" t="s">
        <v>596</v>
      </c>
      <c r="C1226">
        <v>0</v>
      </c>
      <c r="D1226" t="str">
        <f t="shared" si="38"/>
        <v>d</v>
      </c>
      <c r="E1226" t="str">
        <f t="shared" si="39"/>
        <v>d) Realizar una interconsulta con el equipo de Psicopatología debido a su estado nervioso.</v>
      </c>
    </row>
    <row r="1227" spans="1:5" x14ac:dyDescent="0.25">
      <c r="A1227">
        <v>1226</v>
      </c>
      <c r="B1227" t="s">
        <v>1759</v>
      </c>
      <c r="C1227">
        <v>1</v>
      </c>
      <c r="D1227" t="str">
        <f t="shared" si="38"/>
        <v>W</v>
      </c>
      <c r="E1227" t="str">
        <f t="shared" si="39"/>
        <v>Walter y Susana tienen 27 y 25 años respectivamente. Desean adoptar un bebé. De acuerdo a lo que estipula la Ley 24.779: ¿Con qué requisitos deberán contar para hacerlo?</v>
      </c>
    </row>
    <row r="1228" spans="1:5" x14ac:dyDescent="0.25">
      <c r="A1228">
        <v>1227</v>
      </c>
      <c r="B1228" t="s">
        <v>597</v>
      </c>
      <c r="C1228">
        <v>0</v>
      </c>
      <c r="D1228" t="str">
        <f t="shared" si="38"/>
        <v>*</v>
      </c>
      <c r="E1228" t="str">
        <f t="shared" si="39"/>
        <v>a) Estar casados legalmente desde hace tres años.</v>
      </c>
    </row>
    <row r="1229" spans="1:5" x14ac:dyDescent="0.25">
      <c r="A1229">
        <v>1228</v>
      </c>
      <c r="B1229" t="s">
        <v>598</v>
      </c>
      <c r="C1229">
        <v>0</v>
      </c>
      <c r="D1229" t="str">
        <f t="shared" si="38"/>
        <v>b</v>
      </c>
      <c r="E1229" t="str">
        <f t="shared" si="39"/>
        <v>b) Deberán contar con la aprobación de la familia ampliada.</v>
      </c>
    </row>
    <row r="1230" spans="1:5" x14ac:dyDescent="0.25">
      <c r="A1230">
        <v>1229</v>
      </c>
      <c r="B1230" t="s">
        <v>599</v>
      </c>
      <c r="C1230">
        <v>0</v>
      </c>
      <c r="D1230" t="str">
        <f t="shared" si="38"/>
        <v>c</v>
      </c>
      <c r="E1230" t="str">
        <f t="shared" si="39"/>
        <v>c) Demostrar la madurez suficiente para asumir la crianza del niño mediante una entrevista psicológica.</v>
      </c>
    </row>
    <row r="1231" spans="1:5" x14ac:dyDescent="0.25">
      <c r="A1231">
        <v>1230</v>
      </c>
      <c r="B1231" t="s">
        <v>600</v>
      </c>
      <c r="C1231">
        <v>0</v>
      </c>
      <c r="D1231" t="str">
        <f t="shared" si="38"/>
        <v>d</v>
      </c>
      <c r="E1231" t="str">
        <f t="shared" si="39"/>
        <v>d) Confirmar mediante un informe socio-ambiental de un trabajador o trabajodora social que cuentan con la solvencia económica para asumir la crianza.</v>
      </c>
    </row>
    <row r="1232" spans="1:5" x14ac:dyDescent="0.25">
      <c r="A1232">
        <v>1231</v>
      </c>
      <c r="B1232" s="1" t="s">
        <v>1760</v>
      </c>
      <c r="C1232">
        <v>1</v>
      </c>
      <c r="D1232" t="str">
        <f t="shared" si="38"/>
        <v>M</v>
      </c>
      <c r="E1232" t="str">
        <f t="shared" si="39"/>
        <v>Mariana tiene 28 años, vive en la Villa 31 junto a sus dos hermanos de 8 y 13 años. Desde hace 3 años, luego del fallecimiento de sus padres asumió la crianza de sus hermanos. No tiene empleo estable, realiza changas, siendo este el único ingreso del hogar. En ocasión de un control de salud escolar de los niños, Mariana consulta en el Servicio Social sobre la posibilidad de adoptar a sus hermanos. Se le informa que según la Ley 24779 esto no será posible dado que:</v>
      </c>
    </row>
    <row r="1233" spans="1:5" x14ac:dyDescent="0.25">
      <c r="A1233">
        <v>1232</v>
      </c>
      <c r="B1233" t="s">
        <v>601</v>
      </c>
      <c r="C1233">
        <v>0</v>
      </c>
      <c r="D1233" t="str">
        <f t="shared" si="38"/>
        <v>a</v>
      </c>
      <c r="E1233" t="str">
        <f t="shared" si="39"/>
        <v>a) No cuenta con una vivienda apropiada.</v>
      </c>
    </row>
    <row r="1234" spans="1:5" x14ac:dyDescent="0.25">
      <c r="A1234">
        <v>1233</v>
      </c>
      <c r="B1234" t="s">
        <v>602</v>
      </c>
      <c r="C1234">
        <v>0</v>
      </c>
      <c r="D1234" t="str">
        <f t="shared" si="38"/>
        <v>b</v>
      </c>
      <c r="E1234" t="str">
        <f t="shared" si="39"/>
        <v>b) No cumple en el momento con el requisito de la edad necesaria.</v>
      </c>
    </row>
    <row r="1235" spans="1:5" x14ac:dyDescent="0.25">
      <c r="A1235">
        <v>1234</v>
      </c>
      <c r="B1235" t="s">
        <v>603</v>
      </c>
      <c r="C1235">
        <v>0</v>
      </c>
      <c r="D1235" t="str">
        <f t="shared" si="38"/>
        <v>c</v>
      </c>
      <c r="E1235" t="str">
        <f t="shared" si="39"/>
        <v>c) No demuestra un ingreso económico estable.</v>
      </c>
    </row>
    <row r="1236" spans="1:5" x14ac:dyDescent="0.25">
      <c r="A1236">
        <v>1235</v>
      </c>
      <c r="B1236" t="s">
        <v>604</v>
      </c>
      <c r="C1236">
        <v>0</v>
      </c>
      <c r="D1236" t="str">
        <f t="shared" si="38"/>
        <v>*</v>
      </c>
      <c r="E1236" t="str">
        <f t="shared" si="39"/>
        <v xml:space="preserve">d) No puede adoptar un hermano a sus hermanos o medio hermanos. </v>
      </c>
    </row>
    <row r="1237" spans="1:5" x14ac:dyDescent="0.25">
      <c r="A1237">
        <v>1236</v>
      </c>
      <c r="B1237" t="s">
        <v>1761</v>
      </c>
      <c r="C1237">
        <v>1</v>
      </c>
      <c r="D1237" t="str">
        <f t="shared" si="38"/>
        <v>S</v>
      </c>
      <c r="E1237" t="str">
        <f t="shared" si="39"/>
        <v>Según la Ley 24.901: ¿Qué tipo de cobertura odontológica tendrán garantizada las personas con algun tipo de discapacidad que se encuentren comprendidas dentro de esta ley?</v>
      </c>
    </row>
    <row r="1238" spans="1:5" x14ac:dyDescent="0.25">
      <c r="A1238">
        <v>1237</v>
      </c>
      <c r="B1238" t="s">
        <v>605</v>
      </c>
      <c r="C1238">
        <v>0</v>
      </c>
      <c r="D1238" t="str">
        <f t="shared" si="38"/>
        <v>a</v>
      </c>
      <c r="E1238" t="str">
        <f t="shared" si="39"/>
        <v>a) Arreglo y extracción de piezas dentales.</v>
      </c>
    </row>
    <row r="1239" spans="1:5" x14ac:dyDescent="0.25">
      <c r="A1239">
        <v>1238</v>
      </c>
      <c r="B1239" t="s">
        <v>606</v>
      </c>
      <c r="C1239">
        <v>0</v>
      </c>
      <c r="D1239" t="str">
        <f t="shared" si="38"/>
        <v>*</v>
      </c>
      <c r="E1239" t="str">
        <f t="shared" si="39"/>
        <v>b) Una atención integral.</v>
      </c>
    </row>
    <row r="1240" spans="1:5" x14ac:dyDescent="0.25">
      <c r="A1240">
        <v>1239</v>
      </c>
      <c r="B1240" t="s">
        <v>607</v>
      </c>
      <c r="C1240">
        <v>0</v>
      </c>
      <c r="D1240" t="str">
        <f t="shared" si="38"/>
        <v>c</v>
      </c>
      <c r="E1240" t="str">
        <f t="shared" si="39"/>
        <v>c) Unicamente técnicas quirúrgicas complejas.</v>
      </c>
    </row>
    <row r="1241" spans="1:5" x14ac:dyDescent="0.25">
      <c r="A1241">
        <v>1240</v>
      </c>
      <c r="B1241" t="s">
        <v>608</v>
      </c>
      <c r="C1241">
        <v>0</v>
      </c>
      <c r="D1241" t="str">
        <f t="shared" si="38"/>
        <v>d</v>
      </c>
      <c r="E1241" t="str">
        <f t="shared" si="39"/>
        <v>d) Solamente servicio de radiología domiciliaria.</v>
      </c>
    </row>
    <row r="1242" spans="1:5" x14ac:dyDescent="0.25">
      <c r="A1242">
        <v>1241</v>
      </c>
      <c r="B1242" s="1" t="s">
        <v>1762</v>
      </c>
      <c r="C1242">
        <v>1</v>
      </c>
      <c r="D1242" t="str">
        <f t="shared" si="38"/>
        <v>B</v>
      </c>
      <c r="E1242" t="str">
        <f t="shared" si="39"/>
        <v>Brian tiene diez años de edad y ha llegado con su familia de Bolivia hace tres meses. Su madre Stefani se acerco a un colegio cercano a su domicilio para inscribir a Brian para que pueda asistir a clases el próximo año. En el colegio no lo inscribieron porque el niño no posee documento. La madre le comenta esta situación a la Trabajadora Social del Centro de Salud de su barrio para que este la oriente. La profesional asesora a Stefani de acuerdo a lo explicitado en el artículo 7 de la Ley 25.871 que indica:</v>
      </c>
    </row>
    <row r="1243" spans="1:5" x14ac:dyDescent="0.25">
      <c r="A1243">
        <v>1242</v>
      </c>
      <c r="B1243" t="s">
        <v>609</v>
      </c>
      <c r="C1243">
        <v>0</v>
      </c>
      <c r="D1243" t="str">
        <f t="shared" si="38"/>
        <v>a</v>
      </c>
      <c r="E1243" t="str">
        <f t="shared" si="39"/>
        <v>a) Debe acercarse al Consulado de su país para comenzar el tramite de documentación del menor.</v>
      </c>
    </row>
    <row r="1244" spans="1:5" x14ac:dyDescent="0.25">
      <c r="A1244">
        <v>1243</v>
      </c>
      <c r="B1244" t="s">
        <v>610</v>
      </c>
      <c r="C1244">
        <v>0</v>
      </c>
      <c r="D1244" t="str">
        <f t="shared" si="38"/>
        <v>b</v>
      </c>
      <c r="E1244" t="str">
        <f t="shared" si="39"/>
        <v>b) En el colegio deberían asesorarla para iniciar el tramite e incribirlo con la constancia del DNI en tramite.</v>
      </c>
    </row>
    <row r="1245" spans="1:5" x14ac:dyDescent="0.25">
      <c r="A1245">
        <v>1244</v>
      </c>
      <c r="B1245" t="s">
        <v>611</v>
      </c>
      <c r="C1245">
        <v>0</v>
      </c>
      <c r="D1245" t="str">
        <f t="shared" si="38"/>
        <v>*</v>
      </c>
      <c r="E1245" t="str">
        <f t="shared" si="39"/>
        <v>c) En el colegio deben inscribir al niño tenga o no documento.</v>
      </c>
    </row>
    <row r="1246" spans="1:5" x14ac:dyDescent="0.25">
      <c r="A1246">
        <v>1245</v>
      </c>
      <c r="B1246" t="s">
        <v>612</v>
      </c>
      <c r="C1246">
        <v>0</v>
      </c>
      <c r="D1246" t="str">
        <f t="shared" si="38"/>
        <v>d</v>
      </c>
      <c r="E1246" t="str">
        <f t="shared" si="39"/>
        <v>d) Deberán inscribirlo provisoriamente y darle un plazo para tramitar el documento.</v>
      </c>
    </row>
    <row r="1247" spans="1:5" x14ac:dyDescent="0.25">
      <c r="A1247">
        <v>1246</v>
      </c>
      <c r="B1247" s="1" t="s">
        <v>1763</v>
      </c>
      <c r="C1247">
        <v>1</v>
      </c>
      <c r="D1247" t="str">
        <f t="shared" si="38"/>
        <v>U</v>
      </c>
      <c r="E1247" t="str">
        <f t="shared" si="39"/>
        <v>Una niña de 6 años llega a un servicio de pediatría de la Ciudad de Buenos Aires acompañada por su hermana mayor. La niña presenta hematomas en todo el cuerpo y refiere que ha sido fuertemente golpeada por su madre, no siendo la primera vez que esto ocurre. De acuerdo a lo estipulado en la Resolución Nº 1956: ¿Qué debe hacer el equipo de salud?</v>
      </c>
    </row>
    <row r="1248" spans="1:5" x14ac:dyDescent="0.25">
      <c r="A1248">
        <v>1247</v>
      </c>
      <c r="B1248" t="s">
        <v>613</v>
      </c>
      <c r="C1248">
        <v>0</v>
      </c>
      <c r="D1248" t="str">
        <f t="shared" si="38"/>
        <v>a</v>
      </c>
      <c r="E1248" t="str">
        <f t="shared" si="39"/>
        <v>a) Atenderla y una vez superada la situación que dió origen a la consulta darle el alta.</v>
      </c>
    </row>
    <row r="1249" spans="1:5" x14ac:dyDescent="0.25">
      <c r="A1249">
        <v>1248</v>
      </c>
      <c r="B1249" t="s">
        <v>614</v>
      </c>
      <c r="C1249">
        <v>0</v>
      </c>
      <c r="D1249" t="str">
        <f t="shared" si="38"/>
        <v>b</v>
      </c>
      <c r="E1249" t="str">
        <f t="shared" si="39"/>
        <v>b) Atenderla y denunciar la situación al juzgado de menores de turno.</v>
      </c>
    </row>
    <row r="1250" spans="1:5" x14ac:dyDescent="0.25">
      <c r="A1250">
        <v>1249</v>
      </c>
      <c r="B1250" t="s">
        <v>615</v>
      </c>
      <c r="C1250">
        <v>0</v>
      </c>
      <c r="D1250" t="str">
        <f t="shared" si="38"/>
        <v>c</v>
      </c>
      <c r="E1250" t="str">
        <f t="shared" si="39"/>
        <v>c) Atenderla y una vez resuelta la situación médica solicitar la intervención del Servicio Social donde se cita a los padres para que firmen el acuerdo de externación.</v>
      </c>
    </row>
    <row r="1251" spans="1:5" x14ac:dyDescent="0.25">
      <c r="A1251">
        <v>1250</v>
      </c>
      <c r="B1251" t="s">
        <v>616</v>
      </c>
      <c r="C1251">
        <v>0</v>
      </c>
      <c r="D1251" t="str">
        <f t="shared" si="38"/>
        <v>*</v>
      </c>
      <c r="E1251" t="str">
        <f t="shared" si="39"/>
        <v>d) Garantizar la atención de la salud integral de la niña y notificar la situación a la Guardia Permanente de Abogados del Consejo de Derechos de Niños, Niñas y Adolescentes.</v>
      </c>
    </row>
    <row r="1252" spans="1:5" x14ac:dyDescent="0.25">
      <c r="A1252">
        <v>1251</v>
      </c>
      <c r="B1252" s="1" t="s">
        <v>1764</v>
      </c>
      <c r="C1252">
        <v>1</v>
      </c>
      <c r="D1252" t="str">
        <f t="shared" ref="D1252:D1315" si="40">+MID(B1252,1,1)</f>
        <v>E</v>
      </c>
      <c r="E1252" t="str">
        <f t="shared" si="39"/>
        <v xml:space="preserve">En una escuela pública comenzó la campaña educativa de vacunación gratuita para la prevención de Hepatitis B. Morena tiene 9 años y va a 4to grado de dicha escuela. Su tía Nora, quien esta a cargo de su cuidado, no autoriza la vacunación de Morena. De acuerdo al dictamen de inmunizaciones Nº 104: ¿Cómo podría resolverse esta situación? </v>
      </c>
    </row>
    <row r="1253" spans="1:5" x14ac:dyDescent="0.25">
      <c r="A1253">
        <v>1252</v>
      </c>
      <c r="B1253" t="s">
        <v>617</v>
      </c>
      <c r="C1253">
        <v>0</v>
      </c>
      <c r="D1253" t="str">
        <f t="shared" si="40"/>
        <v>a</v>
      </c>
      <c r="E1253" t="str">
        <f t="shared" si="39"/>
        <v>a) Ante la falta de autorización formal de Nora, Morena no podrá vacunarse.</v>
      </c>
    </row>
    <row r="1254" spans="1:5" x14ac:dyDescent="0.25">
      <c r="A1254">
        <v>1253</v>
      </c>
      <c r="B1254" t="s">
        <v>618</v>
      </c>
      <c r="C1254">
        <v>0</v>
      </c>
      <c r="D1254" t="str">
        <f t="shared" si="40"/>
        <v>*</v>
      </c>
      <c r="E1254" t="str">
        <f t="shared" si="39"/>
        <v>b) La inmunización es obligatoria en el ámbito escolar, no requiere consentimiento de Nora como adulto responsable del cuidado de Morena. Por lo tanto la niña puede vacunarse.</v>
      </c>
    </row>
    <row r="1255" spans="1:5" x14ac:dyDescent="0.25">
      <c r="A1255">
        <v>1254</v>
      </c>
      <c r="B1255" t="s">
        <v>619</v>
      </c>
      <c r="C1255">
        <v>0</v>
      </c>
      <c r="D1255" t="str">
        <f t="shared" si="40"/>
        <v>c</v>
      </c>
      <c r="E1255" t="str">
        <f t="shared" si="39"/>
        <v>c) La falta de autorización de Nora para la vacunación de Morena habilita recibir sólo alguna vacunas, no la de Hepatitis B.</v>
      </c>
    </row>
    <row r="1256" spans="1:5" x14ac:dyDescent="0.25">
      <c r="A1256">
        <v>1255</v>
      </c>
      <c r="B1256" t="s">
        <v>620</v>
      </c>
      <c r="C1256">
        <v>0</v>
      </c>
      <c r="D1256" t="str">
        <f t="shared" si="40"/>
        <v>d</v>
      </c>
      <c r="E1256" t="str">
        <f t="shared" si="39"/>
        <v xml:space="preserve">d) Morena podrá vacunarse para prevenir la Hepatitis B una vez cumplidos sus 14 años. </v>
      </c>
    </row>
    <row r="1257" spans="1:5" x14ac:dyDescent="0.25">
      <c r="A1257">
        <v>1256</v>
      </c>
      <c r="B1257" t="s">
        <v>1765</v>
      </c>
      <c r="C1257">
        <v>1</v>
      </c>
      <c r="D1257" t="str">
        <f t="shared" si="40"/>
        <v>C</v>
      </c>
      <c r="E1257" t="str">
        <f t="shared" si="39"/>
        <v>Cuando Aguilar Idañez enuncia los principios básicos de la supervisión y dice, "la experiencia ha mostrado que su aplicación hace la supervisión mas satisfactoria y eficaz" : ¿A qué principio alude?</v>
      </c>
    </row>
    <row r="1258" spans="1:5" x14ac:dyDescent="0.25">
      <c r="A1258">
        <v>1257</v>
      </c>
      <c r="B1258" t="s">
        <v>621</v>
      </c>
      <c r="C1258">
        <v>0</v>
      </c>
      <c r="D1258" t="str">
        <f t="shared" si="40"/>
        <v>a</v>
      </c>
      <c r="E1258" t="str">
        <f t="shared" si="39"/>
        <v>a) Adoptar las estrategias de supervisión a las necesidades del supervisado y la población.</v>
      </c>
    </row>
    <row r="1259" spans="1:5" x14ac:dyDescent="0.25">
      <c r="A1259">
        <v>1258</v>
      </c>
      <c r="B1259" t="s">
        <v>622</v>
      </c>
      <c r="C1259">
        <v>0</v>
      </c>
      <c r="D1259" t="str">
        <f t="shared" si="40"/>
        <v>*</v>
      </c>
      <c r="E1259" t="str">
        <f t="shared" si="39"/>
        <v>b) Criticar constructivamente en un proceso de retroalimentación permanente.</v>
      </c>
    </row>
    <row r="1260" spans="1:5" x14ac:dyDescent="0.25">
      <c r="A1260">
        <v>1259</v>
      </c>
      <c r="B1260" t="s">
        <v>623</v>
      </c>
      <c r="C1260">
        <v>0</v>
      </c>
      <c r="D1260" t="str">
        <f t="shared" si="40"/>
        <v>c</v>
      </c>
      <c r="E1260" t="str">
        <f t="shared" si="39"/>
        <v>c) Mantener continuamente el encuadre que da estabilidad y contención al supervisado.</v>
      </c>
    </row>
    <row r="1261" spans="1:5" x14ac:dyDescent="0.25">
      <c r="A1261">
        <v>1260</v>
      </c>
      <c r="B1261" t="s">
        <v>624</v>
      </c>
      <c r="C1261">
        <v>0</v>
      </c>
      <c r="D1261" t="str">
        <f t="shared" si="40"/>
        <v>d</v>
      </c>
      <c r="E1261" t="str">
        <f t="shared" si="39"/>
        <v>d) Potenciar la necesidad de capacitación del supervisado para elevarlo de nivel.</v>
      </c>
    </row>
    <row r="1262" spans="1:5" x14ac:dyDescent="0.25">
      <c r="A1262">
        <v>1261</v>
      </c>
      <c r="B1262" s="1" t="s">
        <v>1766</v>
      </c>
      <c r="C1262">
        <v>1</v>
      </c>
      <c r="D1262" t="str">
        <f t="shared" si="40"/>
        <v>D</v>
      </c>
      <c r="E1262" t="str">
        <f t="shared" si="39"/>
        <v>Desde el punto de vista del aprendizaje:¿Cómo denomina Aguilar Idañez a la etapa del proceso de supervisión en la que cuando lo que antes era realmente nuevo, ahora ya es parte de la persona y el trabajador puede criticar su enfoque y cambiarlo si la situación asi lo exige?</v>
      </c>
    </row>
    <row r="1263" spans="1:5" x14ac:dyDescent="0.25">
      <c r="A1263">
        <v>1262</v>
      </c>
      <c r="B1263" t="s">
        <v>625</v>
      </c>
      <c r="C1263">
        <v>0</v>
      </c>
      <c r="D1263" t="str">
        <f t="shared" si="40"/>
        <v>a</v>
      </c>
      <c r="E1263" t="str">
        <f t="shared" si="39"/>
        <v>a) De aprender a enseñar lo que se ha dominado.</v>
      </c>
    </row>
    <row r="1264" spans="1:5" x14ac:dyDescent="0.25">
      <c r="A1264">
        <v>1263</v>
      </c>
      <c r="B1264" t="s">
        <v>626</v>
      </c>
      <c r="C1264">
        <v>0</v>
      </c>
      <c r="D1264" t="str">
        <f t="shared" si="40"/>
        <v>b</v>
      </c>
      <c r="E1264" t="str">
        <f t="shared" si="39"/>
        <v>b) De comprender la situación sin ser totalmente capaz de manejarse en ella.</v>
      </c>
    </row>
    <row r="1265" spans="1:5" x14ac:dyDescent="0.25">
      <c r="A1265">
        <v>1264</v>
      </c>
      <c r="B1265" t="s">
        <v>627</v>
      </c>
      <c r="C1265">
        <v>0</v>
      </c>
      <c r="D1265" t="str">
        <f t="shared" si="40"/>
        <v>*</v>
      </c>
      <c r="E1265" t="str">
        <f t="shared" si="39"/>
        <v>c) Del dominio positivo.</v>
      </c>
    </row>
    <row r="1266" spans="1:5" x14ac:dyDescent="0.25">
      <c r="A1266">
        <v>1265</v>
      </c>
      <c r="B1266" t="s">
        <v>628</v>
      </c>
      <c r="C1266">
        <v>0</v>
      </c>
      <c r="D1266" t="str">
        <f t="shared" si="40"/>
        <v>d</v>
      </c>
      <c r="E1266" t="str">
        <f t="shared" si="39"/>
        <v>d) De nadar o ahogarse.</v>
      </c>
    </row>
    <row r="1267" spans="1:5" x14ac:dyDescent="0.25">
      <c r="A1267">
        <v>1266</v>
      </c>
      <c r="B1267" t="s">
        <v>1767</v>
      </c>
      <c r="C1267">
        <v>1</v>
      </c>
      <c r="D1267" t="str">
        <f t="shared" si="40"/>
        <v>P</v>
      </c>
      <c r="E1267" t="str">
        <f t="shared" si="39"/>
        <v>Para Nora Aquin, los procesos de vinculación entre necesidades y carencias por un lado y satisfacciones por el otro, tienen una dimensión material y una no material. ¿Qué incorpora esta última?</v>
      </c>
    </row>
    <row r="1268" spans="1:5" x14ac:dyDescent="0.25">
      <c r="A1268">
        <v>1267</v>
      </c>
      <c r="B1268" t="s">
        <v>629</v>
      </c>
      <c r="C1268">
        <v>0</v>
      </c>
      <c r="D1268" t="str">
        <f t="shared" si="40"/>
        <v>a</v>
      </c>
      <c r="E1268" t="str">
        <f t="shared" si="39"/>
        <v>a) Emociones o afectos y la vinculación interpersonal entre individuos.</v>
      </c>
    </row>
    <row r="1269" spans="1:5" x14ac:dyDescent="0.25">
      <c r="A1269">
        <v>1268</v>
      </c>
      <c r="B1269" t="s">
        <v>630</v>
      </c>
      <c r="C1269">
        <v>0</v>
      </c>
      <c r="D1269" t="str">
        <f t="shared" si="40"/>
        <v>b</v>
      </c>
      <c r="E1269" t="str">
        <f t="shared" si="39"/>
        <v>b) Ideas o teorías y las construcciones entre paradigmas.</v>
      </c>
    </row>
    <row r="1270" spans="1:5" x14ac:dyDescent="0.25">
      <c r="A1270">
        <v>1269</v>
      </c>
      <c r="B1270" t="s">
        <v>631</v>
      </c>
      <c r="C1270">
        <v>0</v>
      </c>
      <c r="D1270" t="str">
        <f t="shared" si="40"/>
        <v>c</v>
      </c>
      <c r="E1270" t="str">
        <f t="shared" si="39"/>
        <v>c) Los usos o costumbres y las ideas de una época.</v>
      </c>
    </row>
    <row r="1271" spans="1:5" x14ac:dyDescent="0.25">
      <c r="A1271">
        <v>1270</v>
      </c>
      <c r="B1271" t="s">
        <v>632</v>
      </c>
      <c r="C1271">
        <v>0</v>
      </c>
      <c r="D1271" t="str">
        <f t="shared" si="40"/>
        <v>*</v>
      </c>
      <c r="E1271" t="str">
        <f t="shared" si="39"/>
        <v>d) Representaciones o saberes y las relaciones entre los sujetos.</v>
      </c>
    </row>
    <row r="1272" spans="1:5" x14ac:dyDescent="0.25">
      <c r="A1272">
        <v>1271</v>
      </c>
      <c r="B1272" s="1" t="s">
        <v>1768</v>
      </c>
      <c r="C1272">
        <v>1</v>
      </c>
      <c r="D1272" t="str">
        <f t="shared" si="40"/>
        <v>P</v>
      </c>
      <c r="E1272" t="str">
        <f t="shared" si="39"/>
        <v>Para Cáceres y Otros el entrevistador debe dar a conocer la reglas y el papel que cumple desde el inicio. Precisar el tiempo, las limitaciones y las posibilidades que tiene para enfrentar la situción evitando crear expectativas en el entrevistado. Según las autoras: ¿Cúal de estas expresiones  es correcta a utilizar?</v>
      </c>
    </row>
    <row r="1273" spans="1:5" x14ac:dyDescent="0.25">
      <c r="A1273">
        <v>1272</v>
      </c>
      <c r="B1273" t="s">
        <v>633</v>
      </c>
      <c r="C1273">
        <v>0</v>
      </c>
      <c r="D1273" t="str">
        <f t="shared" si="40"/>
        <v>a</v>
      </c>
      <c r="E1273" t="str">
        <f t="shared" si="39"/>
        <v>a) Enseguida solucionaremos su situación . . .</v>
      </c>
    </row>
    <row r="1274" spans="1:5" x14ac:dyDescent="0.25">
      <c r="A1274">
        <v>1273</v>
      </c>
      <c r="B1274" t="s">
        <v>634</v>
      </c>
      <c r="C1274">
        <v>0</v>
      </c>
      <c r="D1274" t="str">
        <f t="shared" si="40"/>
        <v>*</v>
      </c>
      <c r="E1274" t="str">
        <f t="shared" si="39"/>
        <v>b) Le pedí que viniera porque . . .</v>
      </c>
    </row>
    <row r="1275" spans="1:5" x14ac:dyDescent="0.25">
      <c r="A1275">
        <v>1274</v>
      </c>
      <c r="B1275" t="s">
        <v>635</v>
      </c>
      <c r="C1275">
        <v>0</v>
      </c>
      <c r="D1275" t="str">
        <f t="shared" si="40"/>
        <v>c</v>
      </c>
      <c r="E1275" t="str">
        <f t="shared" si="39"/>
        <v>c) ¿Que necesita que le consiga?</v>
      </c>
    </row>
    <row r="1276" spans="1:5" x14ac:dyDescent="0.25">
      <c r="A1276">
        <v>1275</v>
      </c>
      <c r="B1276" t="s">
        <v>636</v>
      </c>
      <c r="C1276">
        <v>0</v>
      </c>
      <c r="D1276" t="str">
        <f t="shared" si="40"/>
        <v>d</v>
      </c>
      <c r="E1276" t="str">
        <f t="shared" si="39"/>
        <v>d) ¿Porque no me cuenta todo desde el principio?</v>
      </c>
    </row>
    <row r="1277" spans="1:5" x14ac:dyDescent="0.25">
      <c r="A1277">
        <v>1276</v>
      </c>
      <c r="B1277" t="s">
        <v>1769</v>
      </c>
      <c r="C1277">
        <v>1</v>
      </c>
      <c r="D1277" t="str">
        <f t="shared" si="40"/>
        <v>P</v>
      </c>
      <c r="E1277" t="str">
        <f t="shared" si="39"/>
        <v>Para Cáceres y Otros: ¿Dónde se da la validación del conocimiento?</v>
      </c>
    </row>
    <row r="1278" spans="1:5" x14ac:dyDescent="0.25">
      <c r="A1278">
        <v>1277</v>
      </c>
      <c r="B1278" t="s">
        <v>637</v>
      </c>
      <c r="C1278">
        <v>0</v>
      </c>
      <c r="D1278" t="str">
        <f t="shared" si="40"/>
        <v>a</v>
      </c>
      <c r="E1278" t="str">
        <f t="shared" si="39"/>
        <v>a) En la base del método científico y su aplicación.</v>
      </c>
    </row>
    <row r="1279" spans="1:5" x14ac:dyDescent="0.25">
      <c r="A1279">
        <v>1278</v>
      </c>
      <c r="B1279" t="s">
        <v>638</v>
      </c>
      <c r="C1279">
        <v>0</v>
      </c>
      <c r="D1279" t="str">
        <f t="shared" si="40"/>
        <v>*</v>
      </c>
      <c r="E1279" t="str">
        <f t="shared" si="39"/>
        <v>b) En el contexto social y en relación con los otros.</v>
      </c>
    </row>
    <row r="1280" spans="1:5" x14ac:dyDescent="0.25">
      <c r="A1280">
        <v>1279</v>
      </c>
      <c r="B1280" t="s">
        <v>639</v>
      </c>
      <c r="C1280">
        <v>0</v>
      </c>
      <c r="D1280" t="str">
        <f t="shared" si="40"/>
        <v>c</v>
      </c>
      <c r="E1280" t="str">
        <f t="shared" si="39"/>
        <v>c) En las experiencias comunitarias y su relación con lo formulado.</v>
      </c>
    </row>
    <row r="1281" spans="1:5" x14ac:dyDescent="0.25">
      <c r="A1281">
        <v>1280</v>
      </c>
      <c r="B1281" t="s">
        <v>640</v>
      </c>
      <c r="C1281">
        <v>0</v>
      </c>
      <c r="D1281" t="str">
        <f t="shared" si="40"/>
        <v>d</v>
      </c>
      <c r="E1281" t="str">
        <f t="shared" si="39"/>
        <v>d) En los trabajos realizados y su aprobación científica.</v>
      </c>
    </row>
    <row r="1282" spans="1:5" x14ac:dyDescent="0.25">
      <c r="A1282">
        <v>1281</v>
      </c>
      <c r="B1282" s="1" t="s">
        <v>1770</v>
      </c>
      <c r="C1282">
        <v>1</v>
      </c>
      <c r="D1282" t="str">
        <f t="shared" si="40"/>
        <v>P</v>
      </c>
      <c r="E1282" t="str">
        <f t="shared" si="39"/>
        <v>Para Carballeda, un hospital, un centro de salud y una escuela pueden ser analizados partiendo de diferentes aspectos a partir de la reflexión acerca del tipo de relación social que construyen y las formas de relación predominante entre los diferentes actores y dispositivos institucionales.  ¿Cómo los considera el autor?</v>
      </c>
    </row>
    <row r="1283" spans="1:5" x14ac:dyDescent="0.25">
      <c r="A1283">
        <v>1282</v>
      </c>
      <c r="B1283" t="s">
        <v>641</v>
      </c>
      <c r="C1283">
        <v>0</v>
      </c>
      <c r="D1283" t="str">
        <f t="shared" si="40"/>
        <v>a</v>
      </c>
      <c r="E1283" t="str">
        <f t="shared" ref="E1283:E1346" si="41">+IF(D1283="*",MID(B1283,3,500),B1283)</f>
        <v>a) Campos de disputas simbólicas.</v>
      </c>
    </row>
    <row r="1284" spans="1:5" x14ac:dyDescent="0.25">
      <c r="A1284">
        <v>1283</v>
      </c>
      <c r="B1284" t="s">
        <v>642</v>
      </c>
      <c r="C1284">
        <v>0</v>
      </c>
      <c r="D1284" t="str">
        <f t="shared" si="40"/>
        <v>b</v>
      </c>
      <c r="E1284" t="str">
        <f t="shared" si="41"/>
        <v>b) Cartografías sociales.</v>
      </c>
    </row>
    <row r="1285" spans="1:5" x14ac:dyDescent="0.25">
      <c r="A1285">
        <v>1284</v>
      </c>
      <c r="B1285" t="s">
        <v>643</v>
      </c>
      <c r="C1285">
        <v>0</v>
      </c>
      <c r="D1285" t="str">
        <f t="shared" si="40"/>
        <v>*</v>
      </c>
      <c r="E1285" t="str">
        <f t="shared" si="41"/>
        <v>c) Espacios micro sociales.</v>
      </c>
    </row>
    <row r="1286" spans="1:5" x14ac:dyDescent="0.25">
      <c r="A1286">
        <v>1285</v>
      </c>
      <c r="B1286" t="s">
        <v>644</v>
      </c>
      <c r="C1286">
        <v>0</v>
      </c>
      <c r="D1286" t="str">
        <f t="shared" si="40"/>
        <v>d</v>
      </c>
      <c r="E1286" t="str">
        <f t="shared" si="41"/>
        <v>d) Campos de disputas simbólicas</v>
      </c>
    </row>
    <row r="1287" spans="1:5" x14ac:dyDescent="0.25">
      <c r="A1287">
        <v>1286</v>
      </c>
      <c r="B1287" t="s">
        <v>1771</v>
      </c>
      <c r="C1287">
        <v>1</v>
      </c>
      <c r="D1287" t="str">
        <f t="shared" si="40"/>
        <v>¿</v>
      </c>
      <c r="E1287" t="str">
        <f t="shared" si="41"/>
        <v>¿Cómo denomina Carballeda a la existencia de comunidades de interventores en lo social que manejan ciertos niveles de acuerdos apoyados en los paradigmas preponderantes que orientan el sentido de la intervención?</v>
      </c>
    </row>
    <row r="1288" spans="1:5" x14ac:dyDescent="0.25">
      <c r="A1288">
        <v>1287</v>
      </c>
      <c r="B1288" t="s">
        <v>645</v>
      </c>
      <c r="C1288">
        <v>0</v>
      </c>
      <c r="D1288" t="str">
        <f t="shared" si="40"/>
        <v>a</v>
      </c>
      <c r="E1288" t="str">
        <f t="shared" si="41"/>
        <v>a) Colegios Científicos.</v>
      </c>
    </row>
    <row r="1289" spans="1:5" x14ac:dyDescent="0.25">
      <c r="A1289">
        <v>1288</v>
      </c>
      <c r="B1289" t="s">
        <v>646</v>
      </c>
      <c r="C1289">
        <v>0</v>
      </c>
      <c r="D1289" t="str">
        <f t="shared" si="40"/>
        <v>b</v>
      </c>
      <c r="E1289" t="str">
        <f t="shared" si="41"/>
        <v>b) Consejos Profesionales.</v>
      </c>
    </row>
    <row r="1290" spans="1:5" x14ac:dyDescent="0.25">
      <c r="A1290">
        <v>1289</v>
      </c>
      <c r="B1290" t="s">
        <v>647</v>
      </c>
      <c r="C1290">
        <v>0</v>
      </c>
      <c r="D1290" t="str">
        <f t="shared" si="40"/>
        <v>c</v>
      </c>
      <c r="E1290" t="str">
        <f t="shared" si="41"/>
        <v>c) Escuelas Teóricas.</v>
      </c>
    </row>
    <row r="1291" spans="1:5" x14ac:dyDescent="0.25">
      <c r="A1291">
        <v>1290</v>
      </c>
      <c r="B1291" t="s">
        <v>648</v>
      </c>
      <c r="C1291">
        <v>0</v>
      </c>
      <c r="D1291" t="str">
        <f t="shared" si="40"/>
        <v>*</v>
      </c>
      <c r="E1291" t="str">
        <f t="shared" si="41"/>
        <v>d) Grupos de Consenso.</v>
      </c>
    </row>
    <row r="1292" spans="1:5" x14ac:dyDescent="0.25">
      <c r="A1292">
        <v>1291</v>
      </c>
      <c r="B1292" t="s">
        <v>1772</v>
      </c>
      <c r="C1292">
        <v>1</v>
      </c>
      <c r="D1292" t="str">
        <f t="shared" si="40"/>
        <v>P</v>
      </c>
      <c r="E1292" t="str">
        <f t="shared" si="41"/>
        <v>Para Carballeda en la supervisión como proceso de análisis: ¿Qué implica la mirada hacia la noción de sujeto?</v>
      </c>
    </row>
    <row r="1293" spans="1:5" x14ac:dyDescent="0.25">
      <c r="A1293">
        <v>1292</v>
      </c>
      <c r="B1293" t="s">
        <v>649</v>
      </c>
      <c r="C1293">
        <v>0</v>
      </c>
      <c r="D1293" t="str">
        <f t="shared" si="40"/>
        <v>*</v>
      </c>
      <c r="E1293" t="str">
        <f t="shared" si="41"/>
        <v>a) Analizar cómo es concebido ese otro en el escenario de la intervención.</v>
      </c>
    </row>
    <row r="1294" spans="1:5" x14ac:dyDescent="0.25">
      <c r="A1294">
        <v>1293</v>
      </c>
      <c r="B1294" t="s">
        <v>650</v>
      </c>
      <c r="C1294">
        <v>0</v>
      </c>
      <c r="D1294" t="str">
        <f t="shared" si="40"/>
        <v>b</v>
      </c>
      <c r="E1294" t="str">
        <f t="shared" si="41"/>
        <v>b) Escuchar la historia de vida para una devolución adecuada.</v>
      </c>
    </row>
    <row r="1295" spans="1:5" x14ac:dyDescent="0.25">
      <c r="A1295">
        <v>1294</v>
      </c>
      <c r="B1295" t="s">
        <v>651</v>
      </c>
      <c r="C1295">
        <v>0</v>
      </c>
      <c r="D1295" t="str">
        <f t="shared" si="40"/>
        <v>c</v>
      </c>
      <c r="E1295" t="str">
        <f t="shared" si="41"/>
        <v>c) Pensar como desarrolla el individuo su proceso de cambio.</v>
      </c>
    </row>
    <row r="1296" spans="1:5" x14ac:dyDescent="0.25">
      <c r="A1296">
        <v>1295</v>
      </c>
      <c r="B1296" t="s">
        <v>652</v>
      </c>
      <c r="C1296">
        <v>0</v>
      </c>
      <c r="D1296" t="str">
        <f t="shared" si="40"/>
        <v>d</v>
      </c>
      <c r="E1296" t="str">
        <f t="shared" si="41"/>
        <v>d) Reflexionar sobre la idiosincracia del usuario dentro de la institución.</v>
      </c>
    </row>
    <row r="1297" spans="1:5" x14ac:dyDescent="0.25">
      <c r="A1297">
        <v>1296</v>
      </c>
      <c r="B1297" s="1" t="s">
        <v>1773</v>
      </c>
      <c r="C1297">
        <v>1</v>
      </c>
      <c r="D1297" t="str">
        <f t="shared" si="40"/>
        <v>E</v>
      </c>
      <c r="E1297" t="str">
        <f t="shared" si="41"/>
        <v>En Buenos Aires un grupo de planificadores en salud diseña una campaña de prevención del cólera, que incluye carteles y spots televisivos sobre la potabilización y el uso correcto del agua a través del uso de lavandina y el hervor a altas temperaturas. La misma va dirigida a los miembros de los pueblos originarios del NOA. Desde el enfoque de la teoría de la acción que explicita Ricardo Costa: ¿Cómo denominaremos esta formulación?</v>
      </c>
    </row>
    <row r="1298" spans="1:5" x14ac:dyDescent="0.25">
      <c r="A1298">
        <v>1297</v>
      </c>
      <c r="B1298" t="s">
        <v>653</v>
      </c>
      <c r="C1298">
        <v>0</v>
      </c>
      <c r="D1298" t="str">
        <f t="shared" si="40"/>
        <v>a</v>
      </c>
      <c r="E1298" t="str">
        <f t="shared" si="41"/>
        <v>a) Planificación centralizada.</v>
      </c>
    </row>
    <row r="1299" spans="1:5" x14ac:dyDescent="0.25">
      <c r="A1299">
        <v>1298</v>
      </c>
      <c r="B1299" t="s">
        <v>654</v>
      </c>
      <c r="C1299">
        <v>0</v>
      </c>
      <c r="D1299" t="str">
        <f t="shared" si="40"/>
        <v>b</v>
      </c>
      <c r="E1299" t="str">
        <f t="shared" si="41"/>
        <v>b) Planificación participativa.</v>
      </c>
    </row>
    <row r="1300" spans="1:5" x14ac:dyDescent="0.25">
      <c r="A1300">
        <v>1299</v>
      </c>
      <c r="B1300" t="s">
        <v>655</v>
      </c>
      <c r="C1300">
        <v>0</v>
      </c>
      <c r="D1300" t="str">
        <f t="shared" si="40"/>
        <v>*</v>
      </c>
      <c r="E1300" t="str">
        <f t="shared" si="41"/>
        <v>c) Programas como si.</v>
      </c>
    </row>
    <row r="1301" spans="1:5" x14ac:dyDescent="0.25">
      <c r="A1301">
        <v>1300</v>
      </c>
      <c r="B1301" t="s">
        <v>656</v>
      </c>
      <c r="C1301">
        <v>0</v>
      </c>
      <c r="D1301" t="str">
        <f t="shared" si="40"/>
        <v>d</v>
      </c>
      <c r="E1301" t="str">
        <f t="shared" si="41"/>
        <v>d) Programas enlatados.</v>
      </c>
    </row>
    <row r="1302" spans="1:5" x14ac:dyDescent="0.25">
      <c r="A1302">
        <v>1301</v>
      </c>
      <c r="B1302" t="s">
        <v>1774</v>
      </c>
      <c r="C1302">
        <v>1</v>
      </c>
      <c r="D1302" t="str">
        <f t="shared" si="40"/>
        <v>P</v>
      </c>
      <c r="E1302" t="str">
        <f t="shared" si="41"/>
        <v>Para Del Cueto y Fernandez: ¿Cómo se denomina al dispositivo por el cual una relación privada se tamiza por las convenciones públicas y viceversa?</v>
      </c>
    </row>
    <row r="1303" spans="1:5" x14ac:dyDescent="0.25">
      <c r="A1303">
        <v>1302</v>
      </c>
      <c r="B1303" t="s">
        <v>657</v>
      </c>
      <c r="C1303">
        <v>0</v>
      </c>
      <c r="D1303" t="str">
        <f t="shared" si="40"/>
        <v>a</v>
      </c>
      <c r="E1303" t="str">
        <f t="shared" si="41"/>
        <v>a) Acuerdo.</v>
      </c>
    </row>
    <row r="1304" spans="1:5" x14ac:dyDescent="0.25">
      <c r="A1304">
        <v>1303</v>
      </c>
      <c r="B1304" t="s">
        <v>658</v>
      </c>
      <c r="C1304">
        <v>0</v>
      </c>
      <c r="D1304" t="str">
        <f t="shared" si="40"/>
        <v>*</v>
      </c>
      <c r="E1304" t="str">
        <f t="shared" si="41"/>
        <v>b) Contrato.</v>
      </c>
    </row>
    <row r="1305" spans="1:5" x14ac:dyDescent="0.25">
      <c r="A1305">
        <v>1304</v>
      </c>
      <c r="B1305" t="s">
        <v>659</v>
      </c>
      <c r="C1305">
        <v>0</v>
      </c>
      <c r="D1305" t="str">
        <f t="shared" si="40"/>
        <v>c</v>
      </c>
      <c r="E1305" t="str">
        <f t="shared" si="41"/>
        <v>c) Estructura.</v>
      </c>
    </row>
    <row r="1306" spans="1:5" x14ac:dyDescent="0.25">
      <c r="A1306">
        <v>1305</v>
      </c>
      <c r="B1306" t="s">
        <v>660</v>
      </c>
      <c r="C1306">
        <v>0</v>
      </c>
      <c r="D1306" t="str">
        <f t="shared" si="40"/>
        <v>d</v>
      </c>
      <c r="E1306" t="str">
        <f t="shared" si="41"/>
        <v>d) Pacto.</v>
      </c>
    </row>
    <row r="1307" spans="1:5" x14ac:dyDescent="0.25">
      <c r="A1307">
        <v>1306</v>
      </c>
      <c r="B1307" t="s">
        <v>1775</v>
      </c>
      <c r="C1307">
        <v>1</v>
      </c>
      <c r="D1307" t="str">
        <f t="shared" si="40"/>
        <v>S</v>
      </c>
      <c r="E1307" t="str">
        <f t="shared" si="41"/>
        <v>Según Del Cueto y Fernandez: ¿Cómo se denomina al miembro del grupo que denuncia al acontecer grupal?</v>
      </c>
    </row>
    <row r="1308" spans="1:5" x14ac:dyDescent="0.25">
      <c r="A1308">
        <v>1307</v>
      </c>
      <c r="B1308" t="s">
        <v>661</v>
      </c>
      <c r="C1308">
        <v>0</v>
      </c>
      <c r="D1308" t="str">
        <f t="shared" si="40"/>
        <v>a</v>
      </c>
      <c r="E1308" t="str">
        <f t="shared" si="41"/>
        <v>a) Chivo emisario</v>
      </c>
    </row>
    <row r="1309" spans="1:5" x14ac:dyDescent="0.25">
      <c r="A1309">
        <v>1308</v>
      </c>
      <c r="B1309" t="s">
        <v>662</v>
      </c>
      <c r="C1309">
        <v>0</v>
      </c>
      <c r="D1309" t="str">
        <f t="shared" si="40"/>
        <v>b</v>
      </c>
      <c r="E1309" t="str">
        <f t="shared" si="41"/>
        <v>b) Lider</v>
      </c>
    </row>
    <row r="1310" spans="1:5" x14ac:dyDescent="0.25">
      <c r="A1310">
        <v>1309</v>
      </c>
      <c r="B1310" t="s">
        <v>663</v>
      </c>
      <c r="C1310">
        <v>0</v>
      </c>
      <c r="D1310" t="str">
        <f t="shared" si="40"/>
        <v>*</v>
      </c>
      <c r="E1310" t="str">
        <f t="shared" si="41"/>
        <v>c) Portavoz</v>
      </c>
    </row>
    <row r="1311" spans="1:5" x14ac:dyDescent="0.25">
      <c r="A1311">
        <v>1310</v>
      </c>
      <c r="B1311" t="s">
        <v>664</v>
      </c>
      <c r="C1311">
        <v>0</v>
      </c>
      <c r="D1311" t="str">
        <f t="shared" si="40"/>
        <v>d</v>
      </c>
      <c r="E1311" t="str">
        <f t="shared" si="41"/>
        <v>d) Saboteador</v>
      </c>
    </row>
    <row r="1312" spans="1:5" x14ac:dyDescent="0.25">
      <c r="A1312">
        <v>1311</v>
      </c>
      <c r="B1312" t="s">
        <v>1776</v>
      </c>
      <c r="C1312">
        <v>1</v>
      </c>
      <c r="D1312" t="str">
        <f t="shared" si="40"/>
        <v>¿</v>
      </c>
      <c r="E1312" t="str">
        <f t="shared" si="41"/>
        <v>¿Qué otra denominación le da Rosana Guber a la entrevista antropológica o etnográfica?</v>
      </c>
    </row>
    <row r="1313" spans="1:5" x14ac:dyDescent="0.25">
      <c r="A1313">
        <v>1312</v>
      </c>
      <c r="B1313" t="s">
        <v>665</v>
      </c>
      <c r="C1313">
        <v>0</v>
      </c>
      <c r="D1313" t="str">
        <f t="shared" si="40"/>
        <v>a</v>
      </c>
      <c r="E1313" t="str">
        <f t="shared" si="41"/>
        <v>a) No formal.</v>
      </c>
    </row>
    <row r="1314" spans="1:5" x14ac:dyDescent="0.25">
      <c r="A1314">
        <v>1313</v>
      </c>
      <c r="B1314" t="s">
        <v>666</v>
      </c>
      <c r="C1314">
        <v>0</v>
      </c>
      <c r="D1314" t="str">
        <f t="shared" si="40"/>
        <v>b</v>
      </c>
      <c r="E1314" t="str">
        <f t="shared" si="41"/>
        <v>b) No estructurada.</v>
      </c>
    </row>
    <row r="1315" spans="1:5" x14ac:dyDescent="0.25">
      <c r="A1315">
        <v>1314</v>
      </c>
      <c r="B1315" t="s">
        <v>667</v>
      </c>
      <c r="C1315">
        <v>0</v>
      </c>
      <c r="D1315" t="str">
        <f t="shared" si="40"/>
        <v>*</v>
      </c>
      <c r="E1315" t="str">
        <f t="shared" si="41"/>
        <v>c) No directiva.</v>
      </c>
    </row>
    <row r="1316" spans="1:5" x14ac:dyDescent="0.25">
      <c r="A1316">
        <v>1315</v>
      </c>
      <c r="B1316" t="s">
        <v>668</v>
      </c>
      <c r="C1316">
        <v>0</v>
      </c>
      <c r="D1316" t="str">
        <f t="shared" ref="D1316:D1379" si="42">+MID(B1316,1,1)</f>
        <v>d</v>
      </c>
      <c r="E1316" t="str">
        <f t="shared" si="41"/>
        <v>d) No establecida.</v>
      </c>
    </row>
    <row r="1317" spans="1:5" x14ac:dyDescent="0.25">
      <c r="A1317">
        <v>1316</v>
      </c>
      <c r="B1317" t="s">
        <v>1777</v>
      </c>
      <c r="C1317">
        <v>1</v>
      </c>
      <c r="D1317" t="str">
        <f t="shared" si="42"/>
        <v>¿</v>
      </c>
      <c r="E1317" t="str">
        <f t="shared" si="41"/>
        <v>¿Cómo denomina Rosana Guber al procedimiento utilizado en la entrevista antropológica que consiste en no privilegiar de antemano ningún punto del discurso?</v>
      </c>
    </row>
    <row r="1318" spans="1:5" x14ac:dyDescent="0.25">
      <c r="A1318">
        <v>1317</v>
      </c>
      <c r="B1318" t="s">
        <v>669</v>
      </c>
      <c r="C1318">
        <v>0</v>
      </c>
      <c r="D1318" t="str">
        <f t="shared" si="42"/>
        <v>a</v>
      </c>
      <c r="E1318" t="str">
        <f t="shared" si="41"/>
        <v>a) Asociación difusa.</v>
      </c>
    </row>
    <row r="1319" spans="1:5" x14ac:dyDescent="0.25">
      <c r="A1319">
        <v>1318</v>
      </c>
      <c r="B1319" t="s">
        <v>670</v>
      </c>
      <c r="C1319">
        <v>0</v>
      </c>
      <c r="D1319" t="str">
        <f t="shared" si="42"/>
        <v>*</v>
      </c>
      <c r="E1319" t="str">
        <f t="shared" si="41"/>
        <v>b) Atención flotante.</v>
      </c>
    </row>
    <row r="1320" spans="1:5" x14ac:dyDescent="0.25">
      <c r="A1320">
        <v>1319</v>
      </c>
      <c r="B1320" t="s">
        <v>671</v>
      </c>
      <c r="C1320">
        <v>0</v>
      </c>
      <c r="D1320" t="str">
        <f t="shared" si="42"/>
        <v>c</v>
      </c>
      <c r="E1320" t="str">
        <f t="shared" si="41"/>
        <v>c) Categorización inespecífica.</v>
      </c>
    </row>
    <row r="1321" spans="1:5" x14ac:dyDescent="0.25">
      <c r="A1321">
        <v>1320</v>
      </c>
      <c r="B1321" t="s">
        <v>672</v>
      </c>
      <c r="C1321">
        <v>0</v>
      </c>
      <c r="D1321" t="str">
        <f t="shared" si="42"/>
        <v>d</v>
      </c>
      <c r="E1321" t="str">
        <f t="shared" si="41"/>
        <v>d) Focalización general.</v>
      </c>
    </row>
    <row r="1322" spans="1:5" x14ac:dyDescent="0.25">
      <c r="A1322">
        <v>1321</v>
      </c>
      <c r="B1322" t="s">
        <v>1778</v>
      </c>
      <c r="C1322">
        <v>1</v>
      </c>
      <c r="D1322" t="str">
        <f t="shared" si="42"/>
        <v>S</v>
      </c>
      <c r="E1322" t="str">
        <f t="shared" si="41"/>
        <v>Según Kisnerman: ¿Cómo debe ser entendida la objetividad que nos planteamos en un proceso de intervención y supervisión?</v>
      </c>
    </row>
    <row r="1323" spans="1:5" x14ac:dyDescent="0.25">
      <c r="A1323">
        <v>1322</v>
      </c>
      <c r="B1323" t="s">
        <v>673</v>
      </c>
      <c r="C1323">
        <v>0</v>
      </c>
      <c r="D1323" t="str">
        <f t="shared" si="42"/>
        <v>*</v>
      </c>
      <c r="E1323" t="str">
        <f t="shared" si="41"/>
        <v>a) Como el compromiso de que los deseos o preferencias no distorsionen o interfieran en el trabajo.</v>
      </c>
    </row>
    <row r="1324" spans="1:5" x14ac:dyDescent="0.25">
      <c r="A1324">
        <v>1323</v>
      </c>
      <c r="B1324" t="s">
        <v>674</v>
      </c>
      <c r="C1324">
        <v>0</v>
      </c>
      <c r="D1324" t="str">
        <f t="shared" si="42"/>
        <v>b</v>
      </c>
      <c r="E1324" t="str">
        <f t="shared" si="41"/>
        <v>b) Como el proceso de racionalizar las emociones y direccionar la práctica profesional de acuerdo a las pautas culturales de los atendidos.</v>
      </c>
    </row>
    <row r="1325" spans="1:5" x14ac:dyDescent="0.25">
      <c r="A1325">
        <v>1324</v>
      </c>
      <c r="B1325" t="s">
        <v>675</v>
      </c>
      <c r="C1325">
        <v>0</v>
      </c>
      <c r="D1325" t="str">
        <f t="shared" si="42"/>
        <v>c</v>
      </c>
      <c r="E1325" t="str">
        <f t="shared" si="41"/>
        <v>c) Como la acción profesional de no permitir que nuetras prácticas se vean impactadas por los prejuicios.</v>
      </c>
    </row>
    <row r="1326" spans="1:5" x14ac:dyDescent="0.25">
      <c r="A1326">
        <v>1325</v>
      </c>
      <c r="B1326" t="s">
        <v>676</v>
      </c>
      <c r="C1326">
        <v>0</v>
      </c>
      <c r="D1326" t="str">
        <f t="shared" si="42"/>
        <v>d</v>
      </c>
      <c r="E1326" t="str">
        <f t="shared" si="41"/>
        <v>d) Como la actitud de no permitir que las propias emociones modifiquen las intervenciones institucionalizadas.</v>
      </c>
    </row>
    <row r="1327" spans="1:5" x14ac:dyDescent="0.25">
      <c r="A1327">
        <v>1326</v>
      </c>
      <c r="B1327" t="s">
        <v>1779</v>
      </c>
      <c r="C1327">
        <v>1</v>
      </c>
      <c r="D1327" t="str">
        <f t="shared" si="42"/>
        <v>P</v>
      </c>
      <c r="E1327" t="str">
        <f t="shared" si="41"/>
        <v>Para Kisnerman, en toda iniciación de un proceso, surgen gestos, actitudes que constituyen un sistema de significados. Para el autor: ¿Cómo se llama lo que conforman?</v>
      </c>
    </row>
    <row r="1328" spans="1:5" x14ac:dyDescent="0.25">
      <c r="A1328">
        <v>1327</v>
      </c>
      <c r="B1328" t="s">
        <v>677</v>
      </c>
      <c r="C1328">
        <v>0</v>
      </c>
      <c r="D1328" t="str">
        <f t="shared" si="42"/>
        <v>a</v>
      </c>
      <c r="E1328" t="str">
        <f t="shared" si="41"/>
        <v>a) Consolidación del encuadre.</v>
      </c>
    </row>
    <row r="1329" spans="1:5" x14ac:dyDescent="0.25">
      <c r="A1329">
        <v>1328</v>
      </c>
      <c r="B1329" t="s">
        <v>678</v>
      </c>
      <c r="C1329">
        <v>0</v>
      </c>
      <c r="D1329" t="str">
        <f t="shared" si="42"/>
        <v>*</v>
      </c>
      <c r="E1329" t="str">
        <f t="shared" si="41"/>
        <v>b) Emergente de apertura.</v>
      </c>
    </row>
    <row r="1330" spans="1:5" x14ac:dyDescent="0.25">
      <c r="A1330">
        <v>1329</v>
      </c>
      <c r="B1330" t="s">
        <v>679</v>
      </c>
      <c r="C1330">
        <v>0</v>
      </c>
      <c r="D1330" t="str">
        <f t="shared" si="42"/>
        <v>c</v>
      </c>
      <c r="E1330" t="str">
        <f t="shared" si="41"/>
        <v>c) Fantasía grupal.</v>
      </c>
    </row>
    <row r="1331" spans="1:5" x14ac:dyDescent="0.25">
      <c r="A1331">
        <v>1330</v>
      </c>
      <c r="B1331" t="s">
        <v>680</v>
      </c>
      <c r="C1331">
        <v>0</v>
      </c>
      <c r="D1331" t="str">
        <f t="shared" si="42"/>
        <v>d</v>
      </c>
      <c r="E1331" t="str">
        <f t="shared" si="41"/>
        <v>d) Perfil del grupo.</v>
      </c>
    </row>
    <row r="1332" spans="1:5" x14ac:dyDescent="0.25">
      <c r="A1332">
        <v>1331</v>
      </c>
      <c r="B1332" t="s">
        <v>1780</v>
      </c>
      <c r="C1332">
        <v>1</v>
      </c>
      <c r="D1332" t="str">
        <f t="shared" si="42"/>
        <v>P</v>
      </c>
      <c r="E1332" t="str">
        <f t="shared" si="41"/>
        <v>Para Rosa Mastrangelo de Pamphilis, dentro de la corriente etnográfica la recolección de datos y el desarrollo de éstos constituyen actividades diferentes. ¿Cómo considera la autora que son los procesos mencionados?</v>
      </c>
    </row>
    <row r="1333" spans="1:5" x14ac:dyDescent="0.25">
      <c r="A1333">
        <v>1332</v>
      </c>
      <c r="B1333" t="s">
        <v>681</v>
      </c>
      <c r="C1333">
        <v>0</v>
      </c>
      <c r="D1333" t="str">
        <f t="shared" si="42"/>
        <v>a</v>
      </c>
      <c r="E1333" t="str">
        <f t="shared" si="41"/>
        <v>a) Autónomos.</v>
      </c>
    </row>
    <row r="1334" spans="1:5" x14ac:dyDescent="0.25">
      <c r="A1334">
        <v>1333</v>
      </c>
      <c r="B1334" t="s">
        <v>682</v>
      </c>
      <c r="C1334">
        <v>0</v>
      </c>
      <c r="D1334" t="str">
        <f t="shared" si="42"/>
        <v>b</v>
      </c>
      <c r="E1334" t="str">
        <f t="shared" si="41"/>
        <v>b) Desvinculados.</v>
      </c>
    </row>
    <row r="1335" spans="1:5" x14ac:dyDescent="0.25">
      <c r="A1335">
        <v>1334</v>
      </c>
      <c r="B1335" t="s">
        <v>683</v>
      </c>
      <c r="C1335">
        <v>0</v>
      </c>
      <c r="D1335" t="str">
        <f t="shared" si="42"/>
        <v>c</v>
      </c>
      <c r="E1335" t="str">
        <f t="shared" si="41"/>
        <v>c) Independientes.</v>
      </c>
    </row>
    <row r="1336" spans="1:5" x14ac:dyDescent="0.25">
      <c r="A1336">
        <v>1335</v>
      </c>
      <c r="B1336" t="s">
        <v>684</v>
      </c>
      <c r="C1336">
        <v>0</v>
      </c>
      <c r="D1336" t="str">
        <f t="shared" si="42"/>
        <v>*</v>
      </c>
      <c r="E1336" t="str">
        <f t="shared" si="41"/>
        <v>d) Interdependientes.</v>
      </c>
    </row>
    <row r="1337" spans="1:5" x14ac:dyDescent="0.25">
      <c r="A1337">
        <v>1336</v>
      </c>
      <c r="B1337" s="1" t="s">
        <v>1781</v>
      </c>
      <c r="C1337">
        <v>1</v>
      </c>
      <c r="D1337" t="str">
        <f t="shared" si="42"/>
        <v>S</v>
      </c>
      <c r="E1337" t="str">
        <f t="shared" si="41"/>
        <v>Según Mastrangelo de Pamphilis, dentro de la corriente etnográfica: ¿Qué etapa sigue a la teorización y consiste en operaciones para integrar el análisis de los datos con la elaboración de constructos y el grado de validez de éstos en determinadas condiciones?</v>
      </c>
    </row>
    <row r="1338" spans="1:5" x14ac:dyDescent="0.25">
      <c r="A1338">
        <v>1337</v>
      </c>
      <c r="B1338" t="s">
        <v>685</v>
      </c>
      <c r="C1338">
        <v>0</v>
      </c>
      <c r="D1338" t="str">
        <f t="shared" si="42"/>
        <v>a</v>
      </c>
      <c r="E1338" t="str">
        <f t="shared" si="41"/>
        <v>a) Análisis de variables combinadas.</v>
      </c>
    </row>
    <row r="1339" spans="1:5" x14ac:dyDescent="0.25">
      <c r="A1339">
        <v>1338</v>
      </c>
      <c r="B1339" t="s">
        <v>686</v>
      </c>
      <c r="C1339">
        <v>0</v>
      </c>
      <c r="D1339" t="str">
        <f t="shared" si="42"/>
        <v>*</v>
      </c>
      <c r="E1339" t="str">
        <f t="shared" si="41"/>
        <v>b) Estrategias de selección secuencial.</v>
      </c>
    </row>
    <row r="1340" spans="1:5" x14ac:dyDescent="0.25">
      <c r="A1340">
        <v>1339</v>
      </c>
      <c r="B1340" t="s">
        <v>687</v>
      </c>
      <c r="C1340">
        <v>0</v>
      </c>
      <c r="D1340" t="str">
        <f t="shared" si="42"/>
        <v>c</v>
      </c>
      <c r="E1340" t="str">
        <f t="shared" si="41"/>
        <v>c) Organización analítica de datos secundarios.</v>
      </c>
    </row>
    <row r="1341" spans="1:5" x14ac:dyDescent="0.25">
      <c r="A1341">
        <v>1340</v>
      </c>
      <c r="B1341" t="s">
        <v>688</v>
      </c>
      <c r="C1341">
        <v>0</v>
      </c>
      <c r="D1341" t="str">
        <f t="shared" si="42"/>
        <v>d</v>
      </c>
      <c r="E1341" t="str">
        <f t="shared" si="41"/>
        <v>d) Operación de datos blandos.</v>
      </c>
    </row>
    <row r="1342" spans="1:5" x14ac:dyDescent="0.25">
      <c r="A1342">
        <v>1341</v>
      </c>
      <c r="B1342" t="s">
        <v>1782</v>
      </c>
      <c r="C1342">
        <v>1</v>
      </c>
      <c r="D1342" t="str">
        <f t="shared" si="42"/>
        <v>M</v>
      </c>
      <c r="E1342" t="str">
        <f t="shared" si="41"/>
        <v>Martinelli citado por Gustavo Parra, refería la existencia de tres elementos esenciales en los cuales era preciso acrecentar la preparación técnica para el adecuado ejercicio de la práctica social. ¿Cúales son dichos elementos?</v>
      </c>
    </row>
    <row r="1343" spans="1:5" x14ac:dyDescent="0.25">
      <c r="A1343">
        <v>1342</v>
      </c>
      <c r="B1343" t="s">
        <v>689</v>
      </c>
      <c r="C1343">
        <v>0</v>
      </c>
      <c r="D1343" t="str">
        <f t="shared" si="42"/>
        <v>a</v>
      </c>
      <c r="E1343" t="str">
        <f t="shared" si="41"/>
        <v>a) Aptitud vocacional, la virtud, eficiencia en el trabajo.</v>
      </c>
    </row>
    <row r="1344" spans="1:5" x14ac:dyDescent="0.25">
      <c r="A1344">
        <v>1343</v>
      </c>
      <c r="B1344" t="s">
        <v>690</v>
      </c>
      <c r="C1344">
        <v>0</v>
      </c>
      <c r="D1344" t="str">
        <f t="shared" si="42"/>
        <v>*</v>
      </c>
      <c r="E1344" t="str">
        <f t="shared" si="41"/>
        <v>b) Cualidades personales, la vocación, la predisposición para el trabajo.</v>
      </c>
    </row>
    <row r="1345" spans="1:5" x14ac:dyDescent="0.25">
      <c r="A1345">
        <v>1344</v>
      </c>
      <c r="B1345" t="s">
        <v>691</v>
      </c>
      <c r="C1345">
        <v>0</v>
      </c>
      <c r="D1345" t="str">
        <f t="shared" si="42"/>
        <v>c</v>
      </c>
      <c r="E1345" t="str">
        <f t="shared" si="41"/>
        <v>c) Habilidades prácticas, idoneidad, ser proactivo.</v>
      </c>
    </row>
    <row r="1346" spans="1:5" x14ac:dyDescent="0.25">
      <c r="A1346">
        <v>1345</v>
      </c>
      <c r="B1346" t="s">
        <v>692</v>
      </c>
      <c r="C1346">
        <v>0</v>
      </c>
      <c r="D1346" t="str">
        <f t="shared" si="42"/>
        <v>d</v>
      </c>
      <c r="E1346" t="str">
        <f t="shared" si="41"/>
        <v>d) Valores morales, la fe, el compromiso con los pobres.</v>
      </c>
    </row>
    <row r="1347" spans="1:5" x14ac:dyDescent="0.25">
      <c r="A1347">
        <v>1346</v>
      </c>
      <c r="B1347" t="s">
        <v>1783</v>
      </c>
      <c r="C1347">
        <v>1</v>
      </c>
      <c r="D1347" t="str">
        <f t="shared" si="42"/>
        <v>G</v>
      </c>
      <c r="E1347" t="str">
        <f t="shared" ref="E1347:E1410" si="43">+IF(D1347="*",MID(B1347,3,500),B1347)</f>
        <v>Gustavo Parra refiere que existen diferentes grupos hegemónicos que reconocen la existencia de la cuestión social, niegan sus verdaderas causas de aparición, justificando el sistema. Según el autor:¿Cómo ubican ellos el problema?</v>
      </c>
    </row>
    <row r="1348" spans="1:5" x14ac:dyDescent="0.25">
      <c r="A1348">
        <v>1347</v>
      </c>
      <c r="B1348" t="s">
        <v>693</v>
      </c>
      <c r="C1348">
        <v>0</v>
      </c>
      <c r="D1348" t="str">
        <f t="shared" si="42"/>
        <v>*</v>
      </c>
      <c r="E1348" t="str">
        <f t="shared" si="43"/>
        <v>a) Un asunto de ajuste y de adaptación.</v>
      </c>
    </row>
    <row r="1349" spans="1:5" x14ac:dyDescent="0.25">
      <c r="A1349">
        <v>1348</v>
      </c>
      <c r="B1349" t="s">
        <v>694</v>
      </c>
      <c r="C1349">
        <v>0</v>
      </c>
      <c r="D1349" t="str">
        <f t="shared" si="42"/>
        <v>b</v>
      </c>
      <c r="E1349" t="str">
        <f t="shared" si="43"/>
        <v>b) Un atentado a la cohesión política y social.</v>
      </c>
    </row>
    <row r="1350" spans="1:5" x14ac:dyDescent="0.25">
      <c r="A1350">
        <v>1349</v>
      </c>
      <c r="B1350" t="s">
        <v>695</v>
      </c>
      <c r="C1350">
        <v>0</v>
      </c>
      <c r="D1350" t="str">
        <f t="shared" si="42"/>
        <v>c</v>
      </c>
      <c r="E1350" t="str">
        <f t="shared" si="43"/>
        <v>c) Una disputa de valores y sus símbolos culturales.</v>
      </c>
    </row>
    <row r="1351" spans="1:5" x14ac:dyDescent="0.25">
      <c r="A1351">
        <v>1350</v>
      </c>
      <c r="B1351" t="s">
        <v>696</v>
      </c>
      <c r="C1351">
        <v>0</v>
      </c>
      <c r="D1351" t="str">
        <f t="shared" si="42"/>
        <v>d</v>
      </c>
      <c r="E1351" t="str">
        <f t="shared" si="43"/>
        <v>d) Una problemática del individuo y su familia.</v>
      </c>
    </row>
    <row r="1352" spans="1:5" x14ac:dyDescent="0.25">
      <c r="A1352">
        <v>1351</v>
      </c>
      <c r="B1352" t="s">
        <v>1784</v>
      </c>
      <c r="C1352">
        <v>1</v>
      </c>
      <c r="D1352" t="str">
        <f t="shared" si="42"/>
        <v>S</v>
      </c>
      <c r="E1352" t="str">
        <f t="shared" si="43"/>
        <v>Según Pichardo Muñiz: ¿Cómo se denomina a la evaluación que se realiza durante la ejecución?</v>
      </c>
    </row>
    <row r="1353" spans="1:5" x14ac:dyDescent="0.25">
      <c r="A1353">
        <v>1352</v>
      </c>
      <c r="B1353" t="s">
        <v>697</v>
      </c>
      <c r="C1353">
        <v>0</v>
      </c>
      <c r="D1353" t="str">
        <f t="shared" si="42"/>
        <v>*</v>
      </c>
      <c r="E1353" t="str">
        <f t="shared" si="43"/>
        <v>a) Concomitante</v>
      </c>
    </row>
    <row r="1354" spans="1:5" x14ac:dyDescent="0.25">
      <c r="A1354">
        <v>1353</v>
      </c>
      <c r="B1354" t="s">
        <v>698</v>
      </c>
      <c r="C1354">
        <v>0</v>
      </c>
      <c r="D1354" t="str">
        <f t="shared" si="42"/>
        <v>b</v>
      </c>
      <c r="E1354" t="str">
        <f t="shared" si="43"/>
        <v>b) Concurrente</v>
      </c>
    </row>
    <row r="1355" spans="1:5" x14ac:dyDescent="0.25">
      <c r="A1355">
        <v>1354</v>
      </c>
      <c r="B1355" t="s">
        <v>699</v>
      </c>
      <c r="C1355">
        <v>0</v>
      </c>
      <c r="D1355" t="str">
        <f t="shared" si="42"/>
        <v>c</v>
      </c>
      <c r="E1355" t="str">
        <f t="shared" si="43"/>
        <v>c) Específica</v>
      </c>
    </row>
    <row r="1356" spans="1:5" x14ac:dyDescent="0.25">
      <c r="A1356">
        <v>1355</v>
      </c>
      <c r="B1356" t="s">
        <v>700</v>
      </c>
      <c r="C1356">
        <v>0</v>
      </c>
      <c r="D1356" t="str">
        <f t="shared" si="42"/>
        <v>d</v>
      </c>
      <c r="E1356" t="str">
        <f t="shared" si="43"/>
        <v>d) Paralela</v>
      </c>
    </row>
    <row r="1357" spans="1:5" x14ac:dyDescent="0.25">
      <c r="A1357">
        <v>1356</v>
      </c>
      <c r="B1357" t="s">
        <v>1785</v>
      </c>
      <c r="C1357">
        <v>1</v>
      </c>
      <c r="D1357" t="str">
        <f t="shared" si="42"/>
        <v>P</v>
      </c>
      <c r="E1357" t="str">
        <f t="shared" si="43"/>
        <v>Para Mario Rovere, cuando los profesionales de dos instituciones son solidarios, comparten actividades y/o recursos: ¿En qué nivel de la construcción de redes podemos ubicarlos?</v>
      </c>
    </row>
    <row r="1358" spans="1:5" x14ac:dyDescent="0.25">
      <c r="A1358">
        <v>1357</v>
      </c>
      <c r="B1358" t="s">
        <v>701</v>
      </c>
      <c r="C1358">
        <v>0</v>
      </c>
      <c r="D1358" t="str">
        <f t="shared" si="42"/>
        <v>a</v>
      </c>
      <c r="E1358" t="str">
        <f t="shared" si="43"/>
        <v>a) Asociación</v>
      </c>
    </row>
    <row r="1359" spans="1:5" x14ac:dyDescent="0.25">
      <c r="A1359">
        <v>1358</v>
      </c>
      <c r="B1359" t="s">
        <v>702</v>
      </c>
      <c r="C1359">
        <v>0</v>
      </c>
      <c r="D1359" t="str">
        <f t="shared" si="42"/>
        <v>b</v>
      </c>
      <c r="E1359" t="str">
        <f t="shared" si="43"/>
        <v>b) Colaboración</v>
      </c>
    </row>
    <row r="1360" spans="1:5" x14ac:dyDescent="0.25">
      <c r="A1360">
        <v>1359</v>
      </c>
      <c r="B1360" t="s">
        <v>703</v>
      </c>
      <c r="C1360">
        <v>0</v>
      </c>
      <c r="D1360" t="str">
        <f t="shared" si="42"/>
        <v>*</v>
      </c>
      <c r="E1360" t="str">
        <f t="shared" si="43"/>
        <v>c) Cooperación</v>
      </c>
    </row>
    <row r="1361" spans="1:5" x14ac:dyDescent="0.25">
      <c r="A1361">
        <v>1360</v>
      </c>
      <c r="B1361" t="s">
        <v>704</v>
      </c>
      <c r="C1361">
        <v>0</v>
      </c>
      <c r="D1361" t="str">
        <f t="shared" si="42"/>
        <v>d</v>
      </c>
      <c r="E1361" t="str">
        <f t="shared" si="43"/>
        <v>d) Reconocimiento</v>
      </c>
    </row>
    <row r="1362" spans="1:5" x14ac:dyDescent="0.25">
      <c r="A1362">
        <v>1361</v>
      </c>
      <c r="B1362" t="s">
        <v>1786</v>
      </c>
      <c r="C1362">
        <v>1</v>
      </c>
      <c r="D1362" t="str">
        <f t="shared" si="42"/>
        <v>¿</v>
      </c>
      <c r="E1362" t="str">
        <f t="shared" si="43"/>
        <v>¿Cómo denomina Margarita Rozas al saber instrumental validado en la práctica que ve al sujeto como algo dado y estructurado?</v>
      </c>
    </row>
    <row r="1363" spans="1:5" x14ac:dyDescent="0.25">
      <c r="A1363">
        <v>1362</v>
      </c>
      <c r="B1363" t="s">
        <v>705</v>
      </c>
      <c r="C1363">
        <v>0</v>
      </c>
      <c r="D1363" t="str">
        <f t="shared" si="42"/>
        <v>a</v>
      </c>
      <c r="E1363" t="str">
        <f t="shared" si="43"/>
        <v>a) Abstracto.</v>
      </c>
    </row>
    <row r="1364" spans="1:5" x14ac:dyDescent="0.25">
      <c r="A1364">
        <v>1363</v>
      </c>
      <c r="B1364" t="s">
        <v>706</v>
      </c>
      <c r="C1364">
        <v>0</v>
      </c>
      <c r="D1364" t="str">
        <f t="shared" si="42"/>
        <v>*</v>
      </c>
      <c r="E1364" t="str">
        <f t="shared" si="43"/>
        <v>b) Cotidiano.</v>
      </c>
    </row>
    <row r="1365" spans="1:5" x14ac:dyDescent="0.25">
      <c r="A1365">
        <v>1364</v>
      </c>
      <c r="B1365" t="s">
        <v>707</v>
      </c>
      <c r="C1365">
        <v>0</v>
      </c>
      <c r="D1365" t="str">
        <f t="shared" si="42"/>
        <v>c</v>
      </c>
      <c r="E1365" t="str">
        <f t="shared" si="43"/>
        <v>c) Intelectual.</v>
      </c>
    </row>
    <row r="1366" spans="1:5" x14ac:dyDescent="0.25">
      <c r="A1366">
        <v>1365</v>
      </c>
      <c r="B1366" t="s">
        <v>708</v>
      </c>
      <c r="C1366">
        <v>0</v>
      </c>
      <c r="D1366" t="str">
        <f t="shared" si="42"/>
        <v>d</v>
      </c>
      <c r="E1366" t="str">
        <f t="shared" si="43"/>
        <v>d) Sentido común.</v>
      </c>
    </row>
    <row r="1367" spans="1:5" x14ac:dyDescent="0.25">
      <c r="A1367">
        <v>1366</v>
      </c>
      <c r="B1367" t="s">
        <v>1787</v>
      </c>
      <c r="C1367">
        <v>1</v>
      </c>
      <c r="D1367" t="str">
        <f t="shared" si="42"/>
        <v>M</v>
      </c>
      <c r="E1367" t="str">
        <f t="shared" si="43"/>
        <v>Margarita Rozas refiere que la nueva cuestión social no pasa solamente por el enfrentamiento de la exclusión. ¿Cúal es el nudo de esta situación en la que acuerda con Castell?</v>
      </c>
    </row>
    <row r="1368" spans="1:5" x14ac:dyDescent="0.25">
      <c r="A1368">
        <v>1367</v>
      </c>
      <c r="B1368" t="s">
        <v>709</v>
      </c>
      <c r="C1368">
        <v>0</v>
      </c>
      <c r="D1368" t="str">
        <f t="shared" si="42"/>
        <v>a</v>
      </c>
      <c r="E1368" t="str">
        <f t="shared" si="43"/>
        <v>a) Concentración excesiva de la riqueza.</v>
      </c>
    </row>
    <row r="1369" spans="1:5" x14ac:dyDescent="0.25">
      <c r="A1369">
        <v>1368</v>
      </c>
      <c r="B1369" t="s">
        <v>710</v>
      </c>
      <c r="C1369">
        <v>0</v>
      </c>
      <c r="D1369" t="str">
        <f t="shared" si="42"/>
        <v>b</v>
      </c>
      <c r="E1369" t="str">
        <f t="shared" si="43"/>
        <v>b) Contradicciones de la clase dominante.</v>
      </c>
    </row>
    <row r="1370" spans="1:5" x14ac:dyDescent="0.25">
      <c r="A1370">
        <v>1369</v>
      </c>
      <c r="B1370" t="s">
        <v>711</v>
      </c>
      <c r="C1370">
        <v>0</v>
      </c>
      <c r="D1370" t="str">
        <f t="shared" si="42"/>
        <v>*</v>
      </c>
      <c r="E1370" t="str">
        <f t="shared" si="43"/>
        <v>c) Fragmentación del soporte salarial.</v>
      </c>
    </row>
    <row r="1371" spans="1:5" x14ac:dyDescent="0.25">
      <c r="A1371">
        <v>1370</v>
      </c>
      <c r="B1371" t="s">
        <v>712</v>
      </c>
      <c r="C1371">
        <v>0</v>
      </c>
      <c r="D1371" t="str">
        <f t="shared" si="42"/>
        <v>d</v>
      </c>
      <c r="E1371" t="str">
        <f t="shared" si="43"/>
        <v>d) Proletarización de la clase intelectual.</v>
      </c>
    </row>
    <row r="1372" spans="1:5" x14ac:dyDescent="0.25">
      <c r="A1372">
        <v>1371</v>
      </c>
      <c r="B1372" s="1" t="s">
        <v>1788</v>
      </c>
      <c r="C1372">
        <v>1</v>
      </c>
      <c r="D1372" t="str">
        <f t="shared" si="42"/>
        <v>P</v>
      </c>
      <c r="E1372" t="str">
        <f t="shared" si="43"/>
        <v>Para Graciela Tonon son necesarias las producciones escritas que interpretan las interacciones entre personas y que a la vez confluyen a reconceptualizar constantemente las teorias del trabajo social. ¿De qué forman parte los informes sociales que reflejan estas interacciones?</v>
      </c>
    </row>
    <row r="1373" spans="1:5" x14ac:dyDescent="0.25">
      <c r="A1373">
        <v>1372</v>
      </c>
      <c r="B1373" t="s">
        <v>713</v>
      </c>
      <c r="C1373">
        <v>0</v>
      </c>
      <c r="D1373" t="str">
        <f t="shared" si="42"/>
        <v>*</v>
      </c>
      <c r="E1373" t="str">
        <f t="shared" si="43"/>
        <v>a) De la tranformación de conceptos y categorías.</v>
      </c>
    </row>
    <row r="1374" spans="1:5" x14ac:dyDescent="0.25">
      <c r="A1374">
        <v>1373</v>
      </c>
      <c r="B1374" t="s">
        <v>714</v>
      </c>
      <c r="C1374">
        <v>0</v>
      </c>
      <c r="D1374" t="str">
        <f t="shared" si="42"/>
        <v>b</v>
      </c>
      <c r="E1374" t="str">
        <f t="shared" si="43"/>
        <v>b) De la divergencia ideológica de los distintos colegas.</v>
      </c>
    </row>
    <row r="1375" spans="1:5" x14ac:dyDescent="0.25">
      <c r="A1375">
        <v>1374</v>
      </c>
      <c r="B1375" t="s">
        <v>715</v>
      </c>
      <c r="C1375">
        <v>0</v>
      </c>
      <c r="D1375" t="str">
        <f t="shared" si="42"/>
        <v>c</v>
      </c>
      <c r="E1375" t="str">
        <f t="shared" si="43"/>
        <v>c) De los soportes afectivos de las redes sociales.</v>
      </c>
    </row>
    <row r="1376" spans="1:5" x14ac:dyDescent="0.25">
      <c r="A1376">
        <v>1375</v>
      </c>
      <c r="B1376" t="s">
        <v>716</v>
      </c>
      <c r="C1376">
        <v>0</v>
      </c>
      <c r="D1376" t="str">
        <f t="shared" si="42"/>
        <v>d</v>
      </c>
      <c r="E1376" t="str">
        <f t="shared" si="43"/>
        <v>d) Del proceso de ruptura del estado de bienestar.</v>
      </c>
    </row>
    <row r="1377" spans="1:5" x14ac:dyDescent="0.25">
      <c r="A1377">
        <v>1376</v>
      </c>
      <c r="B1377" t="s">
        <v>1789</v>
      </c>
      <c r="C1377">
        <v>1</v>
      </c>
      <c r="D1377" t="str">
        <f t="shared" si="42"/>
        <v>S</v>
      </c>
      <c r="E1377" t="str">
        <f t="shared" si="43"/>
        <v>Según Torcigliani y Campana: ¿Qué garantiza la relación sujeto- sujeto?</v>
      </c>
    </row>
    <row r="1378" spans="1:5" x14ac:dyDescent="0.25">
      <c r="A1378">
        <v>1377</v>
      </c>
      <c r="B1378" t="s">
        <v>717</v>
      </c>
      <c r="C1378">
        <v>0</v>
      </c>
      <c r="D1378" t="str">
        <f t="shared" si="42"/>
        <v>a</v>
      </c>
      <c r="E1378" t="str">
        <f t="shared" si="43"/>
        <v>a) La actitud crítica.</v>
      </c>
    </row>
    <row r="1379" spans="1:5" x14ac:dyDescent="0.25">
      <c r="A1379">
        <v>1378</v>
      </c>
      <c r="B1379" t="s">
        <v>718</v>
      </c>
      <c r="C1379">
        <v>0</v>
      </c>
      <c r="D1379" t="str">
        <f t="shared" si="42"/>
        <v>b</v>
      </c>
      <c r="E1379" t="str">
        <f t="shared" si="43"/>
        <v>b) La concientización.</v>
      </c>
    </row>
    <row r="1380" spans="1:5" x14ac:dyDescent="0.25">
      <c r="A1380">
        <v>1379</v>
      </c>
      <c r="B1380" t="s">
        <v>719</v>
      </c>
      <c r="C1380">
        <v>0</v>
      </c>
      <c r="D1380" t="str">
        <f t="shared" ref="D1380:D1443" si="44">+MID(B1380,1,1)</f>
        <v>*</v>
      </c>
      <c r="E1380" t="str">
        <f t="shared" si="43"/>
        <v>c) La dialoguicidad.</v>
      </c>
    </row>
    <row r="1381" spans="1:5" x14ac:dyDescent="0.25">
      <c r="A1381">
        <v>1380</v>
      </c>
      <c r="B1381" t="s">
        <v>720</v>
      </c>
      <c r="C1381">
        <v>0</v>
      </c>
      <c r="D1381" t="str">
        <f t="shared" si="44"/>
        <v>d</v>
      </c>
      <c r="E1381" t="str">
        <f t="shared" si="43"/>
        <v>d) La cooperación.</v>
      </c>
    </row>
    <row r="1382" spans="1:5" x14ac:dyDescent="0.25">
      <c r="A1382">
        <v>1381</v>
      </c>
      <c r="B1382" s="1" t="s">
        <v>1790</v>
      </c>
      <c r="C1382">
        <v>1</v>
      </c>
      <c r="D1382" t="str">
        <f t="shared" si="44"/>
        <v>E</v>
      </c>
      <c r="E1382" t="str">
        <f t="shared" si="43"/>
        <v>En su artículo sobre la investigación diagnóstica en Trabajo Social, Bibiana Travi refiere que cuando la intervención profesional tiene lugar a partir de una demanda nos encontramos frente a un pedido. El discurso a través del cual se enuncia incluye: la evidencia de un problema o situación adversa, un pedido de solución y ¿Qué otro contenido?</v>
      </c>
    </row>
    <row r="1383" spans="1:5" x14ac:dyDescent="0.25">
      <c r="A1383">
        <v>1382</v>
      </c>
      <c r="B1383" t="s">
        <v>721</v>
      </c>
      <c r="C1383">
        <v>0</v>
      </c>
      <c r="D1383" t="str">
        <f t="shared" si="44"/>
        <v>a</v>
      </c>
      <c r="E1383" t="str">
        <f t="shared" si="43"/>
        <v>a) Los datos que hacen al diagnóstico de la situación.</v>
      </c>
    </row>
    <row r="1384" spans="1:5" x14ac:dyDescent="0.25">
      <c r="A1384">
        <v>1383</v>
      </c>
      <c r="B1384" t="s">
        <v>722</v>
      </c>
      <c r="C1384">
        <v>0</v>
      </c>
      <c r="D1384" t="str">
        <f t="shared" si="44"/>
        <v>b</v>
      </c>
      <c r="E1384" t="str">
        <f t="shared" si="43"/>
        <v>b) La información sobre el contexto de quien demanda.</v>
      </c>
    </row>
    <row r="1385" spans="1:5" x14ac:dyDescent="0.25">
      <c r="A1385">
        <v>1384</v>
      </c>
      <c r="B1385" t="s">
        <v>723</v>
      </c>
      <c r="C1385">
        <v>0</v>
      </c>
      <c r="D1385" t="str">
        <f t="shared" si="44"/>
        <v>*</v>
      </c>
      <c r="E1385" t="str">
        <f t="shared" si="43"/>
        <v>c) Una interpretación respecto del problema.</v>
      </c>
    </row>
    <row r="1386" spans="1:5" x14ac:dyDescent="0.25">
      <c r="A1386">
        <v>1385</v>
      </c>
      <c r="B1386" t="s">
        <v>724</v>
      </c>
      <c r="C1386">
        <v>0</v>
      </c>
      <c r="D1386" t="str">
        <f t="shared" si="44"/>
        <v>d</v>
      </c>
      <c r="E1386" t="str">
        <f t="shared" si="43"/>
        <v>d) Los recursos psicológicos para el abordaje profesional.</v>
      </c>
    </row>
    <row r="1387" spans="1:5" x14ac:dyDescent="0.25">
      <c r="A1387">
        <v>1386</v>
      </c>
      <c r="B1387" t="s">
        <v>1791</v>
      </c>
      <c r="C1387">
        <v>1</v>
      </c>
      <c r="D1387" t="str">
        <f t="shared" si="44"/>
        <v>S</v>
      </c>
      <c r="E1387" t="str">
        <f t="shared" si="43"/>
        <v>Según Bibiana Travi: ¿Cuál es para Mary Richmond, la técnica fundamental a la que podemos acudir en el proceso de conocimiento- intervención ante la imposibilidad de utlizar "métodos de laboratorio"?</v>
      </c>
    </row>
    <row r="1388" spans="1:5" x14ac:dyDescent="0.25">
      <c r="A1388">
        <v>1387</v>
      </c>
      <c r="B1388" t="s">
        <v>725</v>
      </c>
      <c r="C1388">
        <v>0</v>
      </c>
      <c r="D1388" t="str">
        <f t="shared" si="44"/>
        <v>a</v>
      </c>
      <c r="E1388" t="str">
        <f t="shared" si="43"/>
        <v>a) Conversación prolongada y amena.</v>
      </c>
    </row>
    <row r="1389" spans="1:5" x14ac:dyDescent="0.25">
      <c r="A1389">
        <v>1388</v>
      </c>
      <c r="B1389" t="s">
        <v>726</v>
      </c>
      <c r="C1389">
        <v>0</v>
      </c>
      <c r="D1389" t="str">
        <f t="shared" si="44"/>
        <v>b</v>
      </c>
      <c r="E1389" t="str">
        <f t="shared" si="43"/>
        <v>b) Entrevista en profundidad.</v>
      </c>
    </row>
    <row r="1390" spans="1:5" x14ac:dyDescent="0.25">
      <c r="A1390">
        <v>1389</v>
      </c>
      <c r="B1390" t="s">
        <v>727</v>
      </c>
      <c r="C1390">
        <v>0</v>
      </c>
      <c r="D1390" t="str">
        <f t="shared" si="44"/>
        <v>c</v>
      </c>
      <c r="E1390" t="str">
        <f t="shared" si="43"/>
        <v>c) Escucha atenta y flotante.</v>
      </c>
    </row>
    <row r="1391" spans="1:5" x14ac:dyDescent="0.25">
      <c r="A1391">
        <v>1390</v>
      </c>
      <c r="B1391" t="s">
        <v>728</v>
      </c>
      <c r="C1391">
        <v>0</v>
      </c>
      <c r="D1391" t="str">
        <f t="shared" si="44"/>
        <v>*</v>
      </c>
      <c r="E1391" t="str">
        <f t="shared" si="43"/>
        <v>d) Observación experta y precisa.</v>
      </c>
    </row>
    <row r="1392" spans="1:5" x14ac:dyDescent="0.25">
      <c r="A1392">
        <v>1391</v>
      </c>
      <c r="B1392" t="s">
        <v>1792</v>
      </c>
      <c r="C1392">
        <v>1</v>
      </c>
      <c r="D1392" t="str">
        <f t="shared" si="44"/>
        <v>E</v>
      </c>
      <c r="E1392" t="str">
        <f t="shared" si="43"/>
        <v>En la dimensión técnico-instrumental, Bibiana Travi señala acciones que son parte ineludible del registro y el análisis de la intervención profesional y sus resultados. Para Mary Richmond: ¿Cúales son estas acciones?</v>
      </c>
    </row>
    <row r="1393" spans="1:5" x14ac:dyDescent="0.25">
      <c r="A1393">
        <v>1392</v>
      </c>
      <c r="B1393" t="s">
        <v>729</v>
      </c>
      <c r="C1393">
        <v>0</v>
      </c>
      <c r="D1393" t="str">
        <f t="shared" si="44"/>
        <v>a</v>
      </c>
      <c r="E1393" t="str">
        <f t="shared" si="43"/>
        <v>a) El análisis y la enumeración detallada de las alteraciones que producen los señalamientos sobre los individuos y sus familiares.</v>
      </c>
    </row>
    <row r="1394" spans="1:5" x14ac:dyDescent="0.25">
      <c r="A1394">
        <v>1393</v>
      </c>
      <c r="B1394" t="s">
        <v>730</v>
      </c>
      <c r="C1394">
        <v>0</v>
      </c>
      <c r="D1394" t="str">
        <f t="shared" si="44"/>
        <v>*</v>
      </c>
      <c r="E1394" t="str">
        <f t="shared" si="43"/>
        <v>b) La descripción y reflexión de las modificaciones que se van produciendo en el entorno, en los sujetos y en el propio hacer.</v>
      </c>
    </row>
    <row r="1395" spans="1:5" x14ac:dyDescent="0.25">
      <c r="A1395">
        <v>1394</v>
      </c>
      <c r="B1395" t="s">
        <v>731</v>
      </c>
      <c r="C1395">
        <v>0</v>
      </c>
      <c r="D1395" t="str">
        <f t="shared" si="44"/>
        <v>c</v>
      </c>
      <c r="E1395" t="str">
        <f t="shared" si="43"/>
        <v>c) Los indicadores cuya valoración permiten apreciar la eficiencia de las acciones en los individuos y comunidades.</v>
      </c>
    </row>
    <row r="1396" spans="1:5" x14ac:dyDescent="0.25">
      <c r="A1396">
        <v>1395</v>
      </c>
      <c r="B1396" t="s">
        <v>732</v>
      </c>
      <c r="C1396">
        <v>0</v>
      </c>
      <c r="D1396" t="str">
        <f t="shared" si="44"/>
        <v>d</v>
      </c>
      <c r="E1396" t="str">
        <f t="shared" si="43"/>
        <v>d) La transferencia de conocimientos apreciados tanto por los grupos comunitarios como por los individuos en su privacidad.</v>
      </c>
    </row>
    <row r="1397" spans="1:5" x14ac:dyDescent="0.25">
      <c r="A1397">
        <v>1396</v>
      </c>
      <c r="B1397" t="s">
        <v>1793</v>
      </c>
      <c r="C1397">
        <v>1</v>
      </c>
      <c r="D1397" t="str">
        <f t="shared" si="44"/>
        <v>S</v>
      </c>
      <c r="E1397" t="str">
        <f t="shared" si="43"/>
        <v>Según Travi ¿Cómo llamó Gordon Hamilton a la tarea de comprender el significado de la demanda y la situación problema, el análisis de los datos, deducciones, inferencias e hipótesis que realiza el profesional?</v>
      </c>
    </row>
    <row r="1398" spans="1:5" x14ac:dyDescent="0.25">
      <c r="A1398">
        <v>1397</v>
      </c>
      <c r="B1398" t="s">
        <v>733</v>
      </c>
      <c r="C1398">
        <v>0</v>
      </c>
      <c r="D1398" t="str">
        <f t="shared" si="44"/>
        <v>a</v>
      </c>
      <c r="E1398" t="str">
        <f t="shared" si="43"/>
        <v>a) Estudio del caso.</v>
      </c>
    </row>
    <row r="1399" spans="1:5" x14ac:dyDescent="0.25">
      <c r="A1399">
        <v>1398</v>
      </c>
      <c r="B1399" t="s">
        <v>734</v>
      </c>
      <c r="C1399">
        <v>0</v>
      </c>
      <c r="D1399" t="str">
        <f t="shared" si="44"/>
        <v>*</v>
      </c>
      <c r="E1399" t="str">
        <f t="shared" si="43"/>
        <v>b) Evaluación situacional.</v>
      </c>
    </row>
    <row r="1400" spans="1:5" x14ac:dyDescent="0.25">
      <c r="A1400">
        <v>1399</v>
      </c>
      <c r="B1400" t="s">
        <v>735</v>
      </c>
      <c r="C1400">
        <v>0</v>
      </c>
      <c r="D1400" t="str">
        <f t="shared" si="44"/>
        <v>c</v>
      </c>
      <c r="E1400" t="str">
        <f t="shared" si="43"/>
        <v>c) Juicio de diagnóstico.</v>
      </c>
    </row>
    <row r="1401" spans="1:5" x14ac:dyDescent="0.25">
      <c r="A1401">
        <v>1400</v>
      </c>
      <c r="B1401" t="s">
        <v>736</v>
      </c>
      <c r="C1401">
        <v>0</v>
      </c>
      <c r="D1401" t="str">
        <f t="shared" si="44"/>
        <v>d</v>
      </c>
      <c r="E1401" t="str">
        <f t="shared" si="43"/>
        <v>d) Primera entrevista.</v>
      </c>
    </row>
    <row r="1402" spans="1:5" x14ac:dyDescent="0.25">
      <c r="A1402">
        <v>1401</v>
      </c>
      <c r="B1402" t="s">
        <v>1794</v>
      </c>
      <c r="C1402">
        <v>1</v>
      </c>
      <c r="D1402" t="str">
        <f t="shared" si="44"/>
        <v>P</v>
      </c>
      <c r="E1402" t="str">
        <f t="shared" si="43"/>
        <v xml:space="preserve">Para Watzlawick, la comunicación define el modo en que el emisor concibe su relación con el receptor. Para el autor: ¿Qué implica cualquier comunicación? </v>
      </c>
    </row>
    <row r="1403" spans="1:5" x14ac:dyDescent="0.25">
      <c r="A1403">
        <v>1402</v>
      </c>
      <c r="B1403" t="s">
        <v>737</v>
      </c>
      <c r="C1403">
        <v>0</v>
      </c>
      <c r="D1403" t="str">
        <f t="shared" si="44"/>
        <v>a</v>
      </c>
      <c r="E1403" t="str">
        <f t="shared" si="43"/>
        <v>a) Un acercamiento</v>
      </c>
    </row>
    <row r="1404" spans="1:5" x14ac:dyDescent="0.25">
      <c r="A1404">
        <v>1403</v>
      </c>
      <c r="B1404" t="s">
        <v>738</v>
      </c>
      <c r="C1404">
        <v>0</v>
      </c>
      <c r="D1404" t="str">
        <f t="shared" si="44"/>
        <v>*</v>
      </c>
      <c r="E1404" t="str">
        <f t="shared" si="43"/>
        <v>b) Un compromiso</v>
      </c>
    </row>
    <row r="1405" spans="1:5" x14ac:dyDescent="0.25">
      <c r="A1405">
        <v>1404</v>
      </c>
      <c r="B1405" t="s">
        <v>739</v>
      </c>
      <c r="C1405">
        <v>0</v>
      </c>
      <c r="D1405" t="str">
        <f t="shared" si="44"/>
        <v>c</v>
      </c>
      <c r="E1405" t="str">
        <f t="shared" si="43"/>
        <v>c) Un dilema</v>
      </c>
    </row>
    <row r="1406" spans="1:5" x14ac:dyDescent="0.25">
      <c r="A1406">
        <v>1405</v>
      </c>
      <c r="B1406" t="s">
        <v>740</v>
      </c>
      <c r="C1406">
        <v>0</v>
      </c>
      <c r="D1406" t="str">
        <f t="shared" si="44"/>
        <v>d</v>
      </c>
      <c r="E1406" t="str">
        <f t="shared" si="43"/>
        <v>d) Un esfuerzo</v>
      </c>
    </row>
    <row r="1407" spans="1:5" x14ac:dyDescent="0.25">
      <c r="A1407">
        <v>1406</v>
      </c>
      <c r="B1407" t="s">
        <v>1795</v>
      </c>
      <c r="C1407">
        <v>1</v>
      </c>
      <c r="D1407" t="str">
        <f t="shared" si="44"/>
        <v>B</v>
      </c>
      <c r="E1407" t="str">
        <f t="shared" si="43"/>
        <v xml:space="preserve">Bautista tiene 18 años, precisa información sobre la problemática del VIH- SIDA y desea realizarse el test por primera vez. Según Bonazzola: ¿A qué institución sería mas adecuado que se dirija? </v>
      </c>
    </row>
    <row r="1408" spans="1:5" x14ac:dyDescent="0.25">
      <c r="A1408">
        <v>1407</v>
      </c>
      <c r="B1408" t="s">
        <v>741</v>
      </c>
      <c r="C1408">
        <v>0</v>
      </c>
      <c r="D1408" t="str">
        <f t="shared" si="44"/>
        <v>*</v>
      </c>
      <c r="E1408" t="str">
        <f t="shared" si="43"/>
        <v>a) Al centro de salud.</v>
      </c>
    </row>
    <row r="1409" spans="1:5" x14ac:dyDescent="0.25">
      <c r="A1409">
        <v>1408</v>
      </c>
      <c r="B1409" t="s">
        <v>742</v>
      </c>
      <c r="C1409">
        <v>0</v>
      </c>
      <c r="D1409" t="str">
        <f t="shared" si="44"/>
        <v>b</v>
      </c>
      <c r="E1409" t="str">
        <f t="shared" si="43"/>
        <v>b) A su escuela.</v>
      </c>
    </row>
    <row r="1410" spans="1:5" x14ac:dyDescent="0.25">
      <c r="A1410">
        <v>1409</v>
      </c>
      <c r="B1410" t="s">
        <v>743</v>
      </c>
      <c r="C1410">
        <v>0</v>
      </c>
      <c r="D1410" t="str">
        <f t="shared" si="44"/>
        <v>c</v>
      </c>
      <c r="E1410" t="str">
        <f t="shared" si="43"/>
        <v>c) Al hospital general mas cercano.</v>
      </c>
    </row>
    <row r="1411" spans="1:5" x14ac:dyDescent="0.25">
      <c r="A1411">
        <v>1410</v>
      </c>
      <c r="B1411" t="s">
        <v>744</v>
      </c>
      <c r="C1411">
        <v>0</v>
      </c>
      <c r="D1411" t="str">
        <f t="shared" si="44"/>
        <v>d</v>
      </c>
      <c r="E1411" t="str">
        <f t="shared" ref="E1411:E1474" si="45">+IF(D1411="*",MID(B1411,3,500),B1411)</f>
        <v>d) Al hospital especializado.</v>
      </c>
    </row>
    <row r="1412" spans="1:5" x14ac:dyDescent="0.25">
      <c r="A1412">
        <v>1411</v>
      </c>
      <c r="B1412" t="s">
        <v>1796</v>
      </c>
      <c r="C1412">
        <v>1</v>
      </c>
      <c r="D1412" t="str">
        <f t="shared" si="44"/>
        <v>P</v>
      </c>
      <c r="E1412" t="str">
        <f t="shared" si="45"/>
        <v xml:space="preserve">Para Ramón Carrillo, la misión del médico tiene que ver con la cultura. Según el autor ¿Sobre qué fundamento se puede acentuar la obra de la medicina social y la de la ciencia de la salud pública? </v>
      </c>
    </row>
    <row r="1413" spans="1:5" x14ac:dyDescent="0.25">
      <c r="A1413">
        <v>1412</v>
      </c>
      <c r="B1413" t="s">
        <v>745</v>
      </c>
      <c r="C1413">
        <v>0</v>
      </c>
      <c r="D1413" t="str">
        <f t="shared" si="44"/>
        <v>a</v>
      </c>
      <c r="E1413" t="str">
        <f t="shared" si="45"/>
        <v>a) El de la ampliación de la cultura médica.</v>
      </c>
    </row>
    <row r="1414" spans="1:5" x14ac:dyDescent="0.25">
      <c r="A1414">
        <v>1413</v>
      </c>
      <c r="B1414" t="s">
        <v>746</v>
      </c>
      <c r="C1414">
        <v>0</v>
      </c>
      <c r="D1414" t="str">
        <f t="shared" si="44"/>
        <v>b</v>
      </c>
      <c r="E1414" t="str">
        <f t="shared" si="45"/>
        <v>b) El de la capacitación permanente del equipo de salud.</v>
      </c>
    </row>
    <row r="1415" spans="1:5" x14ac:dyDescent="0.25">
      <c r="A1415">
        <v>1414</v>
      </c>
      <c r="B1415" t="s">
        <v>747</v>
      </c>
      <c r="C1415">
        <v>0</v>
      </c>
      <c r="D1415" t="str">
        <f t="shared" si="44"/>
        <v>c</v>
      </c>
      <c r="E1415" t="str">
        <f t="shared" si="45"/>
        <v>c) El de la distribución de la riqueza.</v>
      </c>
    </row>
    <row r="1416" spans="1:5" x14ac:dyDescent="0.25">
      <c r="A1416">
        <v>1415</v>
      </c>
      <c r="B1416" t="s">
        <v>748</v>
      </c>
      <c r="C1416">
        <v>0</v>
      </c>
      <c r="D1416" t="str">
        <f t="shared" si="44"/>
        <v>*</v>
      </c>
      <c r="E1416" t="str">
        <f t="shared" si="45"/>
        <v>d) El de la solidaridad humana.</v>
      </c>
    </row>
    <row r="1417" spans="1:5" x14ac:dyDescent="0.25">
      <c r="A1417">
        <v>1416</v>
      </c>
      <c r="B1417" s="1" t="s">
        <v>1797</v>
      </c>
      <c r="C1417">
        <v>1</v>
      </c>
      <c r="D1417" t="str">
        <f t="shared" si="44"/>
        <v>E</v>
      </c>
      <c r="E1417" t="str">
        <f t="shared" si="45"/>
        <v>En el libro de Elina Dabas: ¿Cómo se denomina, según Sluzki, a la red que contribuye sustancialmente al reconocimiento del individuo como tal y constituye una de las claves centrales de la experiencia individual de identidad, bienestar, competencia y protagonismo, incluyendo los hábitos de cuidado de la salud y la capacidad de adaptación a la crisis?</v>
      </c>
    </row>
    <row r="1418" spans="1:5" x14ac:dyDescent="0.25">
      <c r="A1418">
        <v>1417</v>
      </c>
      <c r="B1418" t="s">
        <v>749</v>
      </c>
      <c r="C1418">
        <v>0</v>
      </c>
      <c r="D1418" t="str">
        <f t="shared" si="44"/>
        <v>a</v>
      </c>
      <c r="E1418" t="str">
        <f t="shared" si="45"/>
        <v>a) Contextual familiar.</v>
      </c>
    </row>
    <row r="1419" spans="1:5" x14ac:dyDescent="0.25">
      <c r="A1419">
        <v>1418</v>
      </c>
      <c r="B1419" t="s">
        <v>750</v>
      </c>
      <c r="C1419">
        <v>0</v>
      </c>
      <c r="D1419" t="str">
        <f t="shared" si="44"/>
        <v>b</v>
      </c>
      <c r="E1419" t="str">
        <f t="shared" si="45"/>
        <v>b) Comunitaria intersectorial.</v>
      </c>
    </row>
    <row r="1420" spans="1:5" x14ac:dyDescent="0.25">
      <c r="A1420">
        <v>1419</v>
      </c>
      <c r="B1420" t="s">
        <v>751</v>
      </c>
      <c r="C1420">
        <v>0</v>
      </c>
      <c r="D1420" t="str">
        <f t="shared" si="44"/>
        <v>c</v>
      </c>
      <c r="E1420" t="str">
        <f t="shared" si="45"/>
        <v>c) Institucional social.</v>
      </c>
    </row>
    <row r="1421" spans="1:5" x14ac:dyDescent="0.25">
      <c r="A1421">
        <v>1420</v>
      </c>
      <c r="B1421" t="s">
        <v>752</v>
      </c>
      <c r="C1421">
        <v>0</v>
      </c>
      <c r="D1421" t="str">
        <f t="shared" si="44"/>
        <v>*</v>
      </c>
      <c r="E1421" t="str">
        <f t="shared" si="45"/>
        <v>d) Social personal.</v>
      </c>
    </row>
    <row r="1422" spans="1:5" x14ac:dyDescent="0.25">
      <c r="A1422">
        <v>1421</v>
      </c>
      <c r="B1422" t="s">
        <v>1798</v>
      </c>
      <c r="C1422">
        <v>1</v>
      </c>
      <c r="D1422" t="str">
        <f t="shared" si="44"/>
        <v>¿</v>
      </c>
      <c r="E1422" t="str">
        <f t="shared" si="45"/>
        <v>¿Cúales son las acciones que Silvia Faraone describe como necesarias para generar transformaciones en las Instituciones Psiquiátricas Asilares, además de construir una política institucional surgida desde los propios actores?</v>
      </c>
    </row>
    <row r="1423" spans="1:5" x14ac:dyDescent="0.25">
      <c r="A1423">
        <v>1422</v>
      </c>
      <c r="B1423" t="s">
        <v>753</v>
      </c>
      <c r="C1423">
        <v>0</v>
      </c>
      <c r="D1423" t="str">
        <f t="shared" si="44"/>
        <v>a</v>
      </c>
      <c r="E1423" t="str">
        <f t="shared" si="45"/>
        <v>a) Capacitar a los profesionales en los nuevos abordajes de tratamiento.</v>
      </c>
    </row>
    <row r="1424" spans="1:5" x14ac:dyDescent="0.25">
      <c r="A1424">
        <v>1423</v>
      </c>
      <c r="B1424" t="s">
        <v>754</v>
      </c>
      <c r="C1424">
        <v>0</v>
      </c>
      <c r="D1424" t="str">
        <f t="shared" si="44"/>
        <v>b</v>
      </c>
      <c r="E1424" t="str">
        <f t="shared" si="45"/>
        <v>b) Fomentar los tratamientos extramuro de los pacientes internados.</v>
      </c>
    </row>
    <row r="1425" spans="1:5" x14ac:dyDescent="0.25">
      <c r="A1425">
        <v>1424</v>
      </c>
      <c r="B1425" t="s">
        <v>755</v>
      </c>
      <c r="C1425">
        <v>0</v>
      </c>
      <c r="D1425" t="str">
        <f t="shared" si="44"/>
        <v>*</v>
      </c>
      <c r="E1425" t="str">
        <f t="shared" si="45"/>
        <v>c) Otorgar a la persona internada un rol activo en el desarrollo del proceso.</v>
      </c>
    </row>
    <row r="1426" spans="1:5" x14ac:dyDescent="0.25">
      <c r="A1426">
        <v>1425</v>
      </c>
      <c r="B1426" t="s">
        <v>756</v>
      </c>
      <c r="C1426">
        <v>0</v>
      </c>
      <c r="D1426" t="str">
        <f t="shared" si="44"/>
        <v>d</v>
      </c>
      <c r="E1426" t="str">
        <f t="shared" si="45"/>
        <v>d) Realizar actividades grupales entre pacientes y profesionales.</v>
      </c>
    </row>
    <row r="1427" spans="1:5" x14ac:dyDescent="0.25">
      <c r="A1427">
        <v>1426</v>
      </c>
      <c r="B1427" t="s">
        <v>1799</v>
      </c>
      <c r="C1427">
        <v>1</v>
      </c>
      <c r="D1427" t="str">
        <f t="shared" si="44"/>
        <v>P</v>
      </c>
      <c r="E1427" t="str">
        <f t="shared" si="45"/>
        <v>Para Floreal Ferrara: ¿Cúal ha sido y sigue siendo la mejor pista y la mas eficaz para lograr mayor precisión en los alcances de la problemática de la salud, siempre que su lectura se efectúe desde una adecuada relación histórico-social?</v>
      </c>
    </row>
    <row r="1428" spans="1:5" x14ac:dyDescent="0.25">
      <c r="A1428">
        <v>1427</v>
      </c>
      <c r="B1428" t="s">
        <v>757</v>
      </c>
      <c r="C1428">
        <v>0</v>
      </c>
      <c r="D1428" t="str">
        <f t="shared" si="44"/>
        <v>*</v>
      </c>
      <c r="E1428" t="str">
        <f t="shared" si="45"/>
        <v>a) El discurso del paciente.</v>
      </c>
    </row>
    <row r="1429" spans="1:5" x14ac:dyDescent="0.25">
      <c r="A1429">
        <v>1428</v>
      </c>
      <c r="B1429" t="s">
        <v>758</v>
      </c>
      <c r="C1429">
        <v>0</v>
      </c>
      <c r="D1429" t="str">
        <f t="shared" si="44"/>
        <v>b</v>
      </c>
      <c r="E1429" t="str">
        <f t="shared" si="45"/>
        <v>b) La capacitación permanente del equipo de salud.</v>
      </c>
    </row>
    <row r="1430" spans="1:5" x14ac:dyDescent="0.25">
      <c r="A1430">
        <v>1429</v>
      </c>
      <c r="B1430" t="s">
        <v>759</v>
      </c>
      <c r="C1430">
        <v>0</v>
      </c>
      <c r="D1430" t="str">
        <f t="shared" si="44"/>
        <v>c</v>
      </c>
      <c r="E1430" t="str">
        <f t="shared" si="45"/>
        <v>c) La lectura de indicadores como analfabetismo, mortalidad infantil y desocupación.</v>
      </c>
    </row>
    <row r="1431" spans="1:5" x14ac:dyDescent="0.25">
      <c r="A1431">
        <v>1430</v>
      </c>
      <c r="B1431" t="s">
        <v>760</v>
      </c>
      <c r="C1431">
        <v>0</v>
      </c>
      <c r="D1431" t="str">
        <f t="shared" si="44"/>
        <v>d</v>
      </c>
      <c r="E1431" t="str">
        <f t="shared" si="45"/>
        <v>d) La inversión per capita en las áreas geográficas.</v>
      </c>
    </row>
    <row r="1432" spans="1:5" x14ac:dyDescent="0.25">
      <c r="A1432">
        <v>1431</v>
      </c>
      <c r="B1432" t="s">
        <v>1800</v>
      </c>
      <c r="C1432">
        <v>1</v>
      </c>
      <c r="D1432" t="str">
        <f t="shared" si="44"/>
        <v>S</v>
      </c>
      <c r="E1432" t="str">
        <f t="shared" si="45"/>
        <v>Según Floreal Ferrara la seguridad social en el esquema global de la sociedad contemporanea, ha resultado muy buen instrumento para aplacar expectativas. ¿Para qué mas ha servido desde el punto de vista del autor?</v>
      </c>
    </row>
    <row r="1433" spans="1:5" x14ac:dyDescent="0.25">
      <c r="A1433">
        <v>1432</v>
      </c>
      <c r="B1433" t="s">
        <v>761</v>
      </c>
      <c r="C1433">
        <v>0</v>
      </c>
      <c r="D1433" t="str">
        <f t="shared" si="44"/>
        <v>a</v>
      </c>
      <c r="E1433" t="str">
        <f t="shared" si="45"/>
        <v>a) Para conocer y modificar los cambios de la desigualdad desde sus orígenes.</v>
      </c>
    </row>
    <row r="1434" spans="1:5" x14ac:dyDescent="0.25">
      <c r="A1434">
        <v>1433</v>
      </c>
      <c r="B1434" t="s">
        <v>762</v>
      </c>
      <c r="C1434">
        <v>0</v>
      </c>
      <c r="D1434" t="str">
        <f t="shared" si="44"/>
        <v>b</v>
      </c>
      <c r="E1434" t="str">
        <f t="shared" si="45"/>
        <v>b) Para favorecer la equidad en una sociedad que diferencia la salud de los pobres y los ricos.</v>
      </c>
    </row>
    <row r="1435" spans="1:5" x14ac:dyDescent="0.25">
      <c r="A1435">
        <v>1434</v>
      </c>
      <c r="B1435" t="s">
        <v>763</v>
      </c>
      <c r="C1435">
        <v>0</v>
      </c>
      <c r="D1435" t="str">
        <f t="shared" si="44"/>
        <v>c</v>
      </c>
      <c r="E1435" t="str">
        <f t="shared" si="45"/>
        <v>c) Para mejorar los indicadores de mortalidad infantil, materna y de desnutrición.</v>
      </c>
    </row>
    <row r="1436" spans="1:5" x14ac:dyDescent="0.25">
      <c r="A1436">
        <v>1435</v>
      </c>
      <c r="B1436" t="s">
        <v>764</v>
      </c>
      <c r="C1436">
        <v>0</v>
      </c>
      <c r="D1436" t="str">
        <f t="shared" si="44"/>
        <v>*</v>
      </c>
      <c r="E1436" t="str">
        <f t="shared" si="45"/>
        <v>d) Para que la fuerza laboral prosiga su historia en la génesis de la riqueza.</v>
      </c>
    </row>
    <row r="1437" spans="1:5" x14ac:dyDescent="0.25">
      <c r="A1437">
        <v>1436</v>
      </c>
      <c r="B1437" t="s">
        <v>1801</v>
      </c>
      <c r="C1437">
        <v>1</v>
      </c>
      <c r="D1437" t="str">
        <f t="shared" si="44"/>
        <v>P</v>
      </c>
      <c r="E1437" t="str">
        <f t="shared" si="45"/>
        <v>Para Foucault, a diferencia de Alemania en donde la medicina social se apoyaba en la estructura de estado. En Francia: ¿En qué fenómeno se apoyó su desarrollo?</v>
      </c>
    </row>
    <row r="1438" spans="1:5" x14ac:dyDescent="0.25">
      <c r="A1438">
        <v>1437</v>
      </c>
      <c r="B1438" t="s">
        <v>765</v>
      </c>
      <c r="C1438">
        <v>0</v>
      </c>
      <c r="D1438" t="str">
        <f t="shared" si="44"/>
        <v>*</v>
      </c>
      <c r="E1438" t="str">
        <f t="shared" si="45"/>
        <v>a) En el desenvolvimiento de las estructuras urbanas.</v>
      </c>
    </row>
    <row r="1439" spans="1:5" x14ac:dyDescent="0.25">
      <c r="A1439">
        <v>1438</v>
      </c>
      <c r="B1439" t="s">
        <v>766</v>
      </c>
      <c r="C1439">
        <v>0</v>
      </c>
      <c r="D1439" t="str">
        <f t="shared" si="44"/>
        <v>b</v>
      </c>
      <c r="E1439" t="str">
        <f t="shared" si="45"/>
        <v>b) En la normatización de la profesión médica por parte del estado.</v>
      </c>
    </row>
    <row r="1440" spans="1:5" x14ac:dyDescent="0.25">
      <c r="A1440">
        <v>1439</v>
      </c>
      <c r="B1440" t="s">
        <v>767</v>
      </c>
      <c r="C1440">
        <v>0</v>
      </c>
      <c r="D1440" t="str">
        <f t="shared" si="44"/>
        <v>c</v>
      </c>
      <c r="E1440" t="str">
        <f t="shared" si="45"/>
        <v>c) En el desarrollo de la industria de los medicamentos.</v>
      </c>
    </row>
    <row r="1441" spans="1:5" x14ac:dyDescent="0.25">
      <c r="A1441">
        <v>1440</v>
      </c>
      <c r="B1441" t="s">
        <v>768</v>
      </c>
      <c r="C1441">
        <v>0</v>
      </c>
      <c r="D1441" t="str">
        <f t="shared" si="44"/>
        <v>d</v>
      </c>
      <c r="E1441" t="str">
        <f t="shared" si="45"/>
        <v>d) En el desarrollo económico de las alcaldías territoriales.</v>
      </c>
    </row>
    <row r="1442" spans="1:5" x14ac:dyDescent="0.25">
      <c r="A1442">
        <v>1441</v>
      </c>
      <c r="B1442" s="1" t="s">
        <v>1802</v>
      </c>
      <c r="C1442">
        <v>1</v>
      </c>
      <c r="D1442" t="str">
        <f t="shared" si="44"/>
        <v>S</v>
      </c>
      <c r="E1442" t="str">
        <f t="shared" si="45"/>
        <v>Según Foucault, la medicina de los siglos XVII y XVIII era profundamente individualista. Se reconocía su condición a partir de transmisión de recetas mas o menos secretas o públicas. Para el autor: ¿Qúe era lo que no se incluía en la formación ritual del médico?</v>
      </c>
    </row>
    <row r="1443" spans="1:5" x14ac:dyDescent="0.25">
      <c r="A1443">
        <v>1442</v>
      </c>
      <c r="B1443" t="s">
        <v>769</v>
      </c>
      <c r="C1443">
        <v>0</v>
      </c>
      <c r="D1443" t="str">
        <f t="shared" si="44"/>
        <v>a</v>
      </c>
      <c r="E1443" t="str">
        <f t="shared" si="45"/>
        <v>a) La asistencia domiciliaria de los enfermos.</v>
      </c>
    </row>
    <row r="1444" spans="1:5" x14ac:dyDescent="0.25">
      <c r="A1444">
        <v>1443</v>
      </c>
      <c r="B1444" t="s">
        <v>770</v>
      </c>
      <c r="C1444">
        <v>0</v>
      </c>
      <c r="D1444" t="str">
        <f t="shared" ref="D1444:D1507" si="46">+MID(B1444,1,1)</f>
        <v>*</v>
      </c>
      <c r="E1444" t="str">
        <f t="shared" si="45"/>
        <v>b) La experiencia hospitalaria.</v>
      </c>
    </row>
    <row r="1445" spans="1:5" x14ac:dyDescent="0.25">
      <c r="A1445">
        <v>1444</v>
      </c>
      <c r="B1445" t="s">
        <v>771</v>
      </c>
      <c r="C1445">
        <v>0</v>
      </c>
      <c r="D1445" t="str">
        <f t="shared" si="46"/>
        <v>c</v>
      </c>
      <c r="E1445" t="str">
        <f t="shared" si="45"/>
        <v>c) Las medidas de prevención y cuidado de la salud.</v>
      </c>
    </row>
    <row r="1446" spans="1:5" x14ac:dyDescent="0.25">
      <c r="A1446">
        <v>1445</v>
      </c>
      <c r="B1446" t="s">
        <v>772</v>
      </c>
      <c r="C1446">
        <v>0</v>
      </c>
      <c r="D1446" t="str">
        <f t="shared" si="46"/>
        <v>d</v>
      </c>
      <c r="E1446" t="str">
        <f t="shared" si="45"/>
        <v>d) El sentido del sacrificio y la caridad.</v>
      </c>
    </row>
    <row r="1447" spans="1:5" x14ac:dyDescent="0.25">
      <c r="A1447">
        <v>1446</v>
      </c>
      <c r="B1447" t="s">
        <v>1803</v>
      </c>
      <c r="C1447">
        <v>1</v>
      </c>
      <c r="D1447" t="str">
        <f t="shared" si="46"/>
        <v>S</v>
      </c>
      <c r="E1447" t="str">
        <f t="shared" si="45"/>
        <v xml:space="preserve">Según Edith Fuentes, si los trabajadores de la salud, no estan suficientemente entrenados en el manejo de la violencia hospitalaria y no impiden la victimización secundaria: ¿Qué puede suceder? </v>
      </c>
    </row>
    <row r="1448" spans="1:5" x14ac:dyDescent="0.25">
      <c r="A1448">
        <v>1447</v>
      </c>
      <c r="B1448" t="s">
        <v>773</v>
      </c>
      <c r="C1448">
        <v>0</v>
      </c>
      <c r="D1448" t="str">
        <f t="shared" si="46"/>
        <v>a</v>
      </c>
      <c r="E1448" t="str">
        <f t="shared" si="45"/>
        <v>a) Que la consultante tenga un desborde emocional.</v>
      </c>
    </row>
    <row r="1449" spans="1:5" x14ac:dyDescent="0.25">
      <c r="A1449">
        <v>1448</v>
      </c>
      <c r="B1449" t="s">
        <v>774</v>
      </c>
      <c r="C1449">
        <v>0</v>
      </c>
      <c r="D1449" t="str">
        <f t="shared" si="46"/>
        <v>b</v>
      </c>
      <c r="E1449" t="str">
        <f t="shared" si="45"/>
        <v>b) Que la paciente no pueda rearmar su vida afectiva.</v>
      </c>
    </row>
    <row r="1450" spans="1:5" x14ac:dyDescent="0.25">
      <c r="A1450">
        <v>1449</v>
      </c>
      <c r="B1450" t="s">
        <v>775</v>
      </c>
      <c r="C1450">
        <v>0</v>
      </c>
      <c r="D1450" t="str">
        <f t="shared" si="46"/>
        <v>*</v>
      </c>
      <c r="E1450" t="str">
        <f t="shared" si="45"/>
        <v>c) Que la persona no vuelva a solicitar asistencia.</v>
      </c>
    </row>
    <row r="1451" spans="1:5" x14ac:dyDescent="0.25">
      <c r="A1451">
        <v>1450</v>
      </c>
      <c r="B1451" t="s">
        <v>776</v>
      </c>
      <c r="C1451">
        <v>0</v>
      </c>
      <c r="D1451" t="str">
        <f t="shared" si="46"/>
        <v>d</v>
      </c>
      <c r="E1451" t="str">
        <f t="shared" si="45"/>
        <v>d) Que la victima sea judicializada con el perjuicio correspondiente.</v>
      </c>
    </row>
    <row r="1452" spans="1:5" x14ac:dyDescent="0.25">
      <c r="A1452">
        <v>1451</v>
      </c>
      <c r="B1452" s="1" t="s">
        <v>1804</v>
      </c>
      <c r="C1452">
        <v>1</v>
      </c>
      <c r="D1452" t="str">
        <f t="shared" si="46"/>
        <v>P</v>
      </c>
      <c r="E1452" t="str">
        <f t="shared" si="45"/>
        <v>Para María Eugenia Royer hay que ser cauteloso en la interpretación de las tazas. Si queremos calcular la taza de mortalidad hospitalaria y determinar si dicha taza es aceptable o no, no se la puede comparar con distintas instituciones. ¿Qué tazas se deben usar para superar este problema?</v>
      </c>
    </row>
    <row r="1453" spans="1:5" x14ac:dyDescent="0.25">
      <c r="A1453">
        <v>1452</v>
      </c>
      <c r="B1453" t="s">
        <v>777</v>
      </c>
      <c r="C1453">
        <v>0</v>
      </c>
      <c r="D1453" t="str">
        <f t="shared" si="46"/>
        <v>a</v>
      </c>
      <c r="E1453" t="str">
        <f t="shared" si="45"/>
        <v>a) Compensadoras.</v>
      </c>
    </row>
    <row r="1454" spans="1:5" x14ac:dyDescent="0.25">
      <c r="A1454">
        <v>1453</v>
      </c>
      <c r="B1454" t="s">
        <v>778</v>
      </c>
      <c r="C1454">
        <v>0</v>
      </c>
      <c r="D1454" t="str">
        <f t="shared" si="46"/>
        <v>b</v>
      </c>
      <c r="E1454" t="str">
        <f t="shared" si="45"/>
        <v>b) Dinámicas.</v>
      </c>
    </row>
    <row r="1455" spans="1:5" x14ac:dyDescent="0.25">
      <c r="A1455">
        <v>1454</v>
      </c>
      <c r="B1455" t="s">
        <v>779</v>
      </c>
      <c r="C1455">
        <v>0</v>
      </c>
      <c r="D1455" t="str">
        <f t="shared" si="46"/>
        <v>*</v>
      </c>
      <c r="E1455" t="str">
        <f t="shared" si="45"/>
        <v>c) Específicas.</v>
      </c>
    </row>
    <row r="1456" spans="1:5" x14ac:dyDescent="0.25">
      <c r="A1456">
        <v>1455</v>
      </c>
      <c r="B1456" t="s">
        <v>780</v>
      </c>
      <c r="C1456">
        <v>0</v>
      </c>
      <c r="D1456" t="str">
        <f t="shared" si="46"/>
        <v>d</v>
      </c>
      <c r="E1456" t="str">
        <f t="shared" si="45"/>
        <v>d) Globales.</v>
      </c>
    </row>
    <row r="1457" spans="1:5" x14ac:dyDescent="0.25">
      <c r="A1457">
        <v>1456</v>
      </c>
      <c r="B1457" t="s">
        <v>1805</v>
      </c>
      <c r="C1457">
        <v>1</v>
      </c>
      <c r="D1457" t="str">
        <f t="shared" si="46"/>
        <v>S</v>
      </c>
      <c r="E1457" t="str">
        <f t="shared" si="45"/>
        <v>Según Susan Sontang: ¿Para que sirven las metáforas patológicas que aparecen una y otra vez en la retórica romántica?</v>
      </c>
    </row>
    <row r="1458" spans="1:5" x14ac:dyDescent="0.25">
      <c r="A1458">
        <v>1457</v>
      </c>
      <c r="B1458" t="s">
        <v>781</v>
      </c>
      <c r="C1458">
        <v>0</v>
      </c>
      <c r="D1458" t="str">
        <f t="shared" si="46"/>
        <v>a</v>
      </c>
      <c r="E1458" t="str">
        <f t="shared" si="45"/>
        <v>a) Para identificar las bacterias como agentes invasores.</v>
      </c>
    </row>
    <row r="1459" spans="1:5" x14ac:dyDescent="0.25">
      <c r="A1459">
        <v>1458</v>
      </c>
      <c r="B1459" t="s">
        <v>782</v>
      </c>
      <c r="C1459">
        <v>0</v>
      </c>
      <c r="D1459" t="str">
        <f t="shared" si="46"/>
        <v>*</v>
      </c>
      <c r="E1459" t="str">
        <f t="shared" si="45"/>
        <v>b) Para juzgar a la sociedad por su represividad.</v>
      </c>
    </row>
    <row r="1460" spans="1:5" x14ac:dyDescent="0.25">
      <c r="A1460">
        <v>1459</v>
      </c>
      <c r="B1460" t="s">
        <v>783</v>
      </c>
      <c r="C1460">
        <v>0</v>
      </c>
      <c r="D1460" t="str">
        <f t="shared" si="46"/>
        <v>c</v>
      </c>
      <c r="E1460" t="str">
        <f t="shared" si="45"/>
        <v>c) Para normatizar el tratamiento de las enfermedades.</v>
      </c>
    </row>
    <row r="1461" spans="1:5" x14ac:dyDescent="0.25">
      <c r="A1461">
        <v>1460</v>
      </c>
      <c r="B1461" t="s">
        <v>784</v>
      </c>
      <c r="C1461">
        <v>0</v>
      </c>
      <c r="D1461" t="str">
        <f t="shared" si="46"/>
        <v>d</v>
      </c>
      <c r="E1461" t="str">
        <f t="shared" si="45"/>
        <v>d) Para regular el desgobierno de las emociones.</v>
      </c>
    </row>
    <row r="1462" spans="1:5" x14ac:dyDescent="0.25">
      <c r="A1462">
        <v>1461</v>
      </c>
      <c r="B1462" t="s">
        <v>1806</v>
      </c>
      <c r="C1462">
        <v>1</v>
      </c>
      <c r="D1462" t="str">
        <f t="shared" si="46"/>
        <v>S</v>
      </c>
      <c r="E1462" t="str">
        <f t="shared" si="45"/>
        <v>Según Touze, en los tratamientos para adictos ¿a qué mismo objetivo apuntan las intervenciones psicoanalíticas y de comunidades terapéuticas ?</v>
      </c>
    </row>
    <row r="1463" spans="1:5" x14ac:dyDescent="0.25">
      <c r="A1463">
        <v>1462</v>
      </c>
      <c r="B1463" t="s">
        <v>785</v>
      </c>
      <c r="C1463">
        <v>0</v>
      </c>
      <c r="D1463" t="str">
        <f t="shared" si="46"/>
        <v>*</v>
      </c>
      <c r="E1463" t="str">
        <f t="shared" si="45"/>
        <v>a) A la abstención.</v>
      </c>
    </row>
    <row r="1464" spans="1:5" x14ac:dyDescent="0.25">
      <c r="A1464">
        <v>1463</v>
      </c>
      <c r="B1464" t="s">
        <v>786</v>
      </c>
      <c r="C1464">
        <v>0</v>
      </c>
      <c r="D1464" t="str">
        <f t="shared" si="46"/>
        <v>b</v>
      </c>
      <c r="E1464" t="str">
        <f t="shared" si="45"/>
        <v>b) A la articulación familiar.</v>
      </c>
    </row>
    <row r="1465" spans="1:5" x14ac:dyDescent="0.25">
      <c r="A1465">
        <v>1464</v>
      </c>
      <c r="B1465" t="s">
        <v>787</v>
      </c>
      <c r="C1465">
        <v>0</v>
      </c>
      <c r="D1465" t="str">
        <f t="shared" si="46"/>
        <v>c</v>
      </c>
      <c r="E1465" t="str">
        <f t="shared" si="45"/>
        <v>c) A la educación integral.</v>
      </c>
    </row>
    <row r="1466" spans="1:5" x14ac:dyDescent="0.25">
      <c r="A1466">
        <v>1465</v>
      </c>
      <c r="B1466" t="s">
        <v>788</v>
      </c>
      <c r="C1466">
        <v>0</v>
      </c>
      <c r="D1466" t="str">
        <f t="shared" si="46"/>
        <v>d</v>
      </c>
      <c r="E1466" t="str">
        <f t="shared" si="45"/>
        <v>d) A la recuperación.</v>
      </c>
    </row>
    <row r="1467" spans="1:5" x14ac:dyDescent="0.25">
      <c r="A1467">
        <v>1466</v>
      </c>
      <c r="B1467" t="s">
        <v>1807</v>
      </c>
      <c r="C1467">
        <v>1</v>
      </c>
      <c r="D1467" t="str">
        <f t="shared" si="46"/>
        <v>S</v>
      </c>
      <c r="E1467" t="str">
        <f t="shared" si="45"/>
        <v xml:space="preserve">Según Touze, en definitiva: ¿Cuál es el objetivo central de los principios de reducción de daño? </v>
      </c>
    </row>
    <row r="1468" spans="1:5" x14ac:dyDescent="0.25">
      <c r="A1468">
        <v>1467</v>
      </c>
      <c r="B1468" t="s">
        <v>789</v>
      </c>
      <c r="C1468">
        <v>0</v>
      </c>
      <c r="D1468" t="str">
        <f t="shared" si="46"/>
        <v>a</v>
      </c>
      <c r="E1468" t="str">
        <f t="shared" si="45"/>
        <v>a) De aumentar las posibilidades de inserción comunitaria de las personas adictas.</v>
      </c>
    </row>
    <row r="1469" spans="1:5" x14ac:dyDescent="0.25">
      <c r="A1469">
        <v>1468</v>
      </c>
      <c r="B1469" t="s">
        <v>790</v>
      </c>
      <c r="C1469">
        <v>0</v>
      </c>
      <c r="D1469" t="str">
        <f t="shared" si="46"/>
        <v>*</v>
      </c>
      <c r="E1469" t="str">
        <f t="shared" si="45"/>
        <v>b) De ayudar a las personas a que desarrollen sus prácticas en situaciones de menor riesgo.</v>
      </c>
    </row>
    <row r="1470" spans="1:5" x14ac:dyDescent="0.25">
      <c r="A1470">
        <v>1469</v>
      </c>
      <c r="B1470" t="s">
        <v>791</v>
      </c>
      <c r="C1470">
        <v>0</v>
      </c>
      <c r="D1470" t="str">
        <f t="shared" si="46"/>
        <v>c</v>
      </c>
      <c r="E1470" t="str">
        <f t="shared" si="45"/>
        <v>c) De disminuir el impacto con que las adicciones de los individuos afectan a la comunidad.</v>
      </c>
    </row>
    <row r="1471" spans="1:5" x14ac:dyDescent="0.25">
      <c r="A1471">
        <v>1470</v>
      </c>
      <c r="B1471" t="s">
        <v>792</v>
      </c>
      <c r="C1471">
        <v>0</v>
      </c>
      <c r="D1471" t="str">
        <f t="shared" si="46"/>
        <v>d</v>
      </c>
      <c r="E1471" t="str">
        <f t="shared" si="45"/>
        <v>d) De reducir el número de internaciones que se producen por casos graves de intoxicación.</v>
      </c>
    </row>
    <row r="1472" spans="1:5" x14ac:dyDescent="0.25">
      <c r="A1472">
        <v>1471</v>
      </c>
      <c r="B1472" t="s">
        <v>1808</v>
      </c>
      <c r="C1472">
        <v>1</v>
      </c>
      <c r="D1472" t="str">
        <f t="shared" si="46"/>
        <v>P</v>
      </c>
      <c r="E1472" t="str">
        <f t="shared" si="45"/>
        <v>Para Graciela Tonon: ¿Cúal es la etapa de la estrategia metodológica de intervención en situaciones de maltrato infantil en las cuales se identifican el nivel de riesgo y el nivel de severidad de la situación?</v>
      </c>
    </row>
    <row r="1473" spans="1:5" x14ac:dyDescent="0.25">
      <c r="A1473">
        <v>1472</v>
      </c>
      <c r="B1473" t="s">
        <v>793</v>
      </c>
      <c r="C1473">
        <v>0</v>
      </c>
      <c r="D1473" t="str">
        <f t="shared" si="46"/>
        <v>a</v>
      </c>
      <c r="E1473" t="str">
        <f t="shared" si="45"/>
        <v>a) Anamnesis de la situación.</v>
      </c>
    </row>
    <row r="1474" spans="1:5" x14ac:dyDescent="0.25">
      <c r="A1474">
        <v>1473</v>
      </c>
      <c r="B1474" t="s">
        <v>794</v>
      </c>
      <c r="C1474">
        <v>0</v>
      </c>
      <c r="D1474" t="str">
        <f t="shared" si="46"/>
        <v>b</v>
      </c>
      <c r="E1474" t="str">
        <f t="shared" si="45"/>
        <v>b) Diagnóstico situacional.</v>
      </c>
    </row>
    <row r="1475" spans="1:5" x14ac:dyDescent="0.25">
      <c r="A1475">
        <v>1474</v>
      </c>
      <c r="B1475" t="s">
        <v>795</v>
      </c>
      <c r="C1475">
        <v>0</v>
      </c>
      <c r="D1475" t="str">
        <f t="shared" si="46"/>
        <v>c</v>
      </c>
      <c r="E1475" t="str">
        <f t="shared" ref="E1475:E1538" si="47">+IF(D1475="*",MID(B1475,3,500),B1475)</f>
        <v>c) Intervención in situ.</v>
      </c>
    </row>
    <row r="1476" spans="1:5" x14ac:dyDescent="0.25">
      <c r="A1476">
        <v>1475</v>
      </c>
      <c r="B1476" t="s">
        <v>336</v>
      </c>
      <c r="C1476">
        <v>0</v>
      </c>
      <c r="D1476" t="str">
        <f t="shared" si="46"/>
        <v>*</v>
      </c>
      <c r="E1476" t="str">
        <f t="shared" si="47"/>
        <v>d) Validación de la situación.</v>
      </c>
    </row>
    <row r="1477" spans="1:5" x14ac:dyDescent="0.25">
      <c r="A1477">
        <v>1476</v>
      </c>
      <c r="B1477" t="s">
        <v>1809</v>
      </c>
      <c r="C1477">
        <v>1</v>
      </c>
      <c r="D1477" t="str">
        <f t="shared" si="46"/>
        <v>P</v>
      </c>
      <c r="E1477" t="str">
        <f t="shared" si="47"/>
        <v>Para Graciela Tonon: ¿Cúal es el tiempo en el que se operativiza el diagnóstico de maltrato infantil?</v>
      </c>
    </row>
    <row r="1478" spans="1:5" x14ac:dyDescent="0.25">
      <c r="A1478">
        <v>1477</v>
      </c>
      <c r="B1478" t="s">
        <v>796</v>
      </c>
      <c r="C1478">
        <v>0</v>
      </c>
      <c r="D1478" t="str">
        <f t="shared" si="46"/>
        <v>a</v>
      </c>
      <c r="E1478" t="str">
        <f t="shared" si="47"/>
        <v>a) El que exija el médico tratante.</v>
      </c>
    </row>
    <row r="1479" spans="1:5" x14ac:dyDescent="0.25">
      <c r="A1479">
        <v>1478</v>
      </c>
      <c r="B1479" t="s">
        <v>797</v>
      </c>
      <c r="C1479">
        <v>0</v>
      </c>
      <c r="D1479" t="str">
        <f t="shared" si="46"/>
        <v>b</v>
      </c>
      <c r="E1479" t="str">
        <f t="shared" si="47"/>
        <v>b) El que determine el juzgado.</v>
      </c>
    </row>
    <row r="1480" spans="1:5" x14ac:dyDescent="0.25">
      <c r="A1480">
        <v>1479</v>
      </c>
      <c r="B1480" t="s">
        <v>798</v>
      </c>
      <c r="C1480">
        <v>0</v>
      </c>
      <c r="D1480" t="str">
        <f t="shared" si="46"/>
        <v>*</v>
      </c>
      <c r="E1480" t="str">
        <f t="shared" si="47"/>
        <v>c) El menor posible.</v>
      </c>
    </row>
    <row r="1481" spans="1:5" x14ac:dyDescent="0.25">
      <c r="A1481">
        <v>1480</v>
      </c>
      <c r="B1481" t="s">
        <v>799</v>
      </c>
      <c r="C1481">
        <v>0</v>
      </c>
      <c r="D1481" t="str">
        <f t="shared" si="46"/>
        <v>d</v>
      </c>
      <c r="E1481" t="str">
        <f t="shared" si="47"/>
        <v>d) 15 días como mínimo.</v>
      </c>
    </row>
    <row r="1482" spans="1:5" x14ac:dyDescent="0.25">
      <c r="A1482">
        <v>1481</v>
      </c>
      <c r="B1482" t="s">
        <v>1810</v>
      </c>
      <c r="C1482">
        <v>1</v>
      </c>
      <c r="D1482" t="str">
        <f t="shared" si="46"/>
        <v>E</v>
      </c>
      <c r="E1482" t="str">
        <f t="shared" si="47"/>
        <v>En la hipótesis "mientras mayor es la desnutrición de los obreros, mayor será la probabilidad de que sufran enfermedades y accidentes de trabajo". ¿Cómo se denomina la variable: "a mayor desnutrición de los obreros"?</v>
      </c>
    </row>
    <row r="1483" spans="1:5" x14ac:dyDescent="0.25">
      <c r="A1483">
        <v>1482</v>
      </c>
      <c r="B1483" t="s">
        <v>800</v>
      </c>
      <c r="C1483">
        <v>0</v>
      </c>
      <c r="D1483" t="str">
        <f t="shared" si="46"/>
        <v>a</v>
      </c>
      <c r="E1483" t="str">
        <f t="shared" si="47"/>
        <v>a) Contextual.</v>
      </c>
    </row>
    <row r="1484" spans="1:5" x14ac:dyDescent="0.25">
      <c r="A1484">
        <v>1483</v>
      </c>
      <c r="B1484" t="s">
        <v>181</v>
      </c>
      <c r="C1484">
        <v>0</v>
      </c>
      <c r="D1484" t="str">
        <f t="shared" si="46"/>
        <v>b</v>
      </c>
      <c r="E1484" t="str">
        <f t="shared" si="47"/>
        <v>b) Dependiente.</v>
      </c>
    </row>
    <row r="1485" spans="1:5" x14ac:dyDescent="0.25">
      <c r="A1485">
        <v>1484</v>
      </c>
      <c r="B1485" t="s">
        <v>182</v>
      </c>
      <c r="C1485">
        <v>0</v>
      </c>
      <c r="D1485" t="str">
        <f t="shared" si="46"/>
        <v>*</v>
      </c>
      <c r="E1485" t="str">
        <f t="shared" si="47"/>
        <v>c) Independiente.</v>
      </c>
    </row>
    <row r="1486" spans="1:5" x14ac:dyDescent="0.25">
      <c r="A1486">
        <v>1485</v>
      </c>
      <c r="B1486" t="s">
        <v>801</v>
      </c>
      <c r="C1486">
        <v>0</v>
      </c>
      <c r="D1486" t="str">
        <f t="shared" si="46"/>
        <v>d</v>
      </c>
      <c r="E1486" t="str">
        <f t="shared" si="47"/>
        <v>d) Interviniente.</v>
      </c>
    </row>
    <row r="1487" spans="1:5" x14ac:dyDescent="0.25">
      <c r="A1487">
        <v>1486</v>
      </c>
      <c r="B1487" t="s">
        <v>1811</v>
      </c>
      <c r="C1487">
        <v>1</v>
      </c>
      <c r="D1487" t="str">
        <f t="shared" si="46"/>
        <v>E</v>
      </c>
      <c r="E1487" t="str">
        <f t="shared" si="47"/>
        <v>En la hipótesis: "la incidencia de la diarrea infantil se relaciona con la falta de higiene y conocimientos culinarios de las madres con baja escolaridad". ¿Qué tipo de variable es: "la incidencia de diarrea infantil"?</v>
      </c>
    </row>
    <row r="1488" spans="1:5" x14ac:dyDescent="0.25">
      <c r="A1488">
        <v>1487</v>
      </c>
      <c r="B1488" t="s">
        <v>800</v>
      </c>
      <c r="C1488">
        <v>0</v>
      </c>
      <c r="D1488" t="str">
        <f t="shared" si="46"/>
        <v>a</v>
      </c>
      <c r="E1488" t="str">
        <f t="shared" si="47"/>
        <v>a) Contextual.</v>
      </c>
    </row>
    <row r="1489" spans="1:5" x14ac:dyDescent="0.25">
      <c r="A1489">
        <v>1488</v>
      </c>
      <c r="B1489" t="s">
        <v>802</v>
      </c>
      <c r="C1489">
        <v>0</v>
      </c>
      <c r="D1489" t="str">
        <f t="shared" si="46"/>
        <v>*</v>
      </c>
      <c r="E1489" t="str">
        <f t="shared" si="47"/>
        <v>b) Dependiente.</v>
      </c>
    </row>
    <row r="1490" spans="1:5" x14ac:dyDescent="0.25">
      <c r="A1490">
        <v>1489</v>
      </c>
      <c r="B1490" t="s">
        <v>803</v>
      </c>
      <c r="C1490">
        <v>0</v>
      </c>
      <c r="D1490" t="str">
        <f t="shared" si="46"/>
        <v>c</v>
      </c>
      <c r="E1490" t="str">
        <f t="shared" si="47"/>
        <v>c) Independiente.</v>
      </c>
    </row>
    <row r="1491" spans="1:5" x14ac:dyDescent="0.25">
      <c r="A1491">
        <v>1490</v>
      </c>
      <c r="B1491" t="s">
        <v>801</v>
      </c>
      <c r="C1491">
        <v>0</v>
      </c>
      <c r="D1491" t="str">
        <f t="shared" si="46"/>
        <v>d</v>
      </c>
      <c r="E1491" t="str">
        <f t="shared" si="47"/>
        <v>d) Interviniente.</v>
      </c>
    </row>
    <row r="1492" spans="1:5" x14ac:dyDescent="0.25">
      <c r="A1492">
        <v>1491</v>
      </c>
      <c r="B1492" t="s">
        <v>1812</v>
      </c>
      <c r="C1492">
        <v>1</v>
      </c>
      <c r="D1492" t="str">
        <f t="shared" si="46"/>
        <v>R</v>
      </c>
      <c r="E1492" t="str">
        <f t="shared" si="47"/>
        <v>Rodriguez Gomez y otros, en el libro "metodología de la Investigación Cualitativa", mencionan que no hay observaciones objetivas. ¿Qué indicadores utiliza para esta afirmación?</v>
      </c>
    </row>
    <row r="1493" spans="1:5" x14ac:dyDescent="0.25">
      <c r="A1493">
        <v>1492</v>
      </c>
      <c r="B1493" t="s">
        <v>804</v>
      </c>
      <c r="C1493">
        <v>0</v>
      </c>
      <c r="D1493" t="str">
        <f t="shared" si="46"/>
        <v>a</v>
      </c>
      <c r="E1493" t="str">
        <f t="shared" si="47"/>
        <v>a) Que habitualmente las investigaciones no siguen un procedimiento estipulado con anterioridad que les asegure rigurosidad.</v>
      </c>
    </row>
    <row r="1494" spans="1:5" x14ac:dyDescent="0.25">
      <c r="A1494">
        <v>1493</v>
      </c>
      <c r="B1494" t="s">
        <v>805</v>
      </c>
      <c r="C1494">
        <v>0</v>
      </c>
      <c r="D1494" t="str">
        <f t="shared" si="46"/>
        <v>b</v>
      </c>
      <c r="E1494" t="str">
        <f t="shared" si="47"/>
        <v>b) Que el investigador requiere de ayuda de diversos colegas para la recolección de datos los que contaminan la tarea.</v>
      </c>
    </row>
    <row r="1495" spans="1:5" x14ac:dyDescent="0.25">
      <c r="A1495">
        <v>1494</v>
      </c>
      <c r="B1495" t="s">
        <v>806</v>
      </c>
      <c r="C1495">
        <v>0</v>
      </c>
      <c r="D1495" t="str">
        <f t="shared" si="46"/>
        <v>*</v>
      </c>
      <c r="E1495" t="str">
        <f t="shared" si="47"/>
        <v>c) Que la mirada viene filtrada a través de los lentes del lenguaje, del género, las clases sociales, la raza o la etnia.</v>
      </c>
    </row>
    <row r="1496" spans="1:5" x14ac:dyDescent="0.25">
      <c r="A1496">
        <v>1495</v>
      </c>
      <c r="B1496" t="s">
        <v>807</v>
      </c>
      <c r="C1496">
        <v>0</v>
      </c>
      <c r="D1496" t="str">
        <f t="shared" si="46"/>
        <v>d</v>
      </c>
      <c r="E1496" t="str">
        <f t="shared" si="47"/>
        <v>d) Que no se puede describir la influencia de las experiencias y enfoques del propio investigador.</v>
      </c>
    </row>
    <row r="1497" spans="1:5" x14ac:dyDescent="0.25">
      <c r="A1497">
        <v>1496</v>
      </c>
      <c r="B1497" t="s">
        <v>1813</v>
      </c>
      <c r="C1497">
        <v>1</v>
      </c>
      <c r="D1497" t="str">
        <f t="shared" si="46"/>
        <v>S</v>
      </c>
      <c r="E1497" t="str">
        <f t="shared" si="47"/>
        <v>Según Rodriguez Gomez y otros: entre las formas de selección secuencial de la recolección de datos, se encuentra la selección de casos negativos, que refutan o contradicen conceptos. ¿Cómo se denomina la selección de datos que permite modificarlos?</v>
      </c>
    </row>
    <row r="1498" spans="1:5" x14ac:dyDescent="0.25">
      <c r="A1498">
        <v>1497</v>
      </c>
      <c r="B1498" t="s">
        <v>808</v>
      </c>
      <c r="C1498">
        <v>0</v>
      </c>
      <c r="D1498" t="str">
        <f t="shared" si="46"/>
        <v>a</v>
      </c>
      <c r="E1498" t="str">
        <f t="shared" si="47"/>
        <v>a) Analíticos.</v>
      </c>
    </row>
    <row r="1499" spans="1:5" x14ac:dyDescent="0.25">
      <c r="A1499">
        <v>1498</v>
      </c>
      <c r="B1499" t="s">
        <v>809</v>
      </c>
      <c r="C1499">
        <v>0</v>
      </c>
      <c r="D1499" t="str">
        <f t="shared" si="46"/>
        <v>*</v>
      </c>
      <c r="E1499" t="str">
        <f t="shared" si="47"/>
        <v>b) Discrepantes.</v>
      </c>
    </row>
    <row r="1500" spans="1:5" x14ac:dyDescent="0.25">
      <c r="A1500">
        <v>1499</v>
      </c>
      <c r="B1500" t="s">
        <v>810</v>
      </c>
      <c r="C1500">
        <v>0</v>
      </c>
      <c r="D1500" t="str">
        <f t="shared" si="46"/>
        <v>c</v>
      </c>
      <c r="E1500" t="str">
        <f t="shared" si="47"/>
        <v>c) Etnográficos.</v>
      </c>
    </row>
    <row r="1501" spans="1:5" x14ac:dyDescent="0.25">
      <c r="A1501">
        <v>1500</v>
      </c>
      <c r="B1501" t="s">
        <v>811</v>
      </c>
      <c r="C1501">
        <v>0</v>
      </c>
      <c r="D1501" t="str">
        <f t="shared" si="46"/>
        <v>d</v>
      </c>
      <c r="E1501" t="str">
        <f t="shared" si="47"/>
        <v>d) Hipotéticos.</v>
      </c>
    </row>
    <row r="1502" spans="1:5" x14ac:dyDescent="0.25">
      <c r="A1502">
        <v>1501</v>
      </c>
      <c r="B1502" t="s">
        <v>1814</v>
      </c>
      <c r="C1502">
        <v>1</v>
      </c>
      <c r="D1502" t="str">
        <f t="shared" si="46"/>
        <v>¿</v>
      </c>
      <c r="E1502" t="str">
        <f t="shared" si="47"/>
        <v>¿Cómo nomina Franco Basaglia el tipo de relación donde el paciente dispone de un poder contractual que opone al poder técnico del médico?</v>
      </c>
    </row>
    <row r="1503" spans="1:5" x14ac:dyDescent="0.25">
      <c r="A1503">
        <v>1502</v>
      </c>
      <c r="B1503" t="s">
        <v>812</v>
      </c>
      <c r="C1503">
        <v>0</v>
      </c>
      <c r="D1503" t="str">
        <f t="shared" si="46"/>
        <v>*</v>
      </c>
      <c r="E1503" t="str">
        <f t="shared" si="47"/>
        <v>a) Aristocrático.</v>
      </c>
    </row>
    <row r="1504" spans="1:5" x14ac:dyDescent="0.25">
      <c r="A1504">
        <v>1503</v>
      </c>
      <c r="B1504" t="s">
        <v>813</v>
      </c>
      <c r="C1504">
        <v>0</v>
      </c>
      <c r="D1504" t="str">
        <f t="shared" si="46"/>
        <v>b</v>
      </c>
      <c r="E1504" t="str">
        <f t="shared" si="47"/>
        <v>b) Burocrático.</v>
      </c>
    </row>
    <row r="1505" spans="1:5" x14ac:dyDescent="0.25">
      <c r="A1505">
        <v>1504</v>
      </c>
      <c r="B1505" t="s">
        <v>814</v>
      </c>
      <c r="C1505">
        <v>0</v>
      </c>
      <c r="D1505" t="str">
        <f t="shared" si="46"/>
        <v>c</v>
      </c>
      <c r="E1505" t="str">
        <f t="shared" si="47"/>
        <v>c) Igualitario.</v>
      </c>
    </row>
    <row r="1506" spans="1:5" x14ac:dyDescent="0.25">
      <c r="A1506">
        <v>1505</v>
      </c>
      <c r="B1506" t="s">
        <v>815</v>
      </c>
      <c r="C1506">
        <v>0</v>
      </c>
      <c r="D1506" t="str">
        <f t="shared" si="46"/>
        <v>d</v>
      </c>
      <c r="E1506" t="str">
        <f t="shared" si="47"/>
        <v>d) Objetivo.</v>
      </c>
    </row>
    <row r="1507" spans="1:5" x14ac:dyDescent="0.25">
      <c r="A1507">
        <v>1506</v>
      </c>
      <c r="B1507" t="s">
        <v>1815</v>
      </c>
      <c r="C1507">
        <v>1</v>
      </c>
      <c r="D1507" t="str">
        <f t="shared" si="46"/>
        <v>¿</v>
      </c>
      <c r="E1507" t="str">
        <f t="shared" si="47"/>
        <v>¿A qué hace referencia Franco Basaglia cuando señala: "El diagnóstico reviste el valor de un etiquetaje que codifica"?</v>
      </c>
    </row>
    <row r="1508" spans="1:5" x14ac:dyDescent="0.25">
      <c r="A1508">
        <v>1507</v>
      </c>
      <c r="B1508" t="s">
        <v>816</v>
      </c>
      <c r="C1508">
        <v>0</v>
      </c>
      <c r="D1508" t="str">
        <f t="shared" ref="D1508:D1571" si="48">+MID(B1508,1,1)</f>
        <v>a</v>
      </c>
      <c r="E1508" t="str">
        <f t="shared" si="47"/>
        <v>a) Al encierro permanente.</v>
      </c>
    </row>
    <row r="1509" spans="1:5" x14ac:dyDescent="0.25">
      <c r="A1509">
        <v>1508</v>
      </c>
      <c r="B1509" t="s">
        <v>817</v>
      </c>
      <c r="C1509">
        <v>0</v>
      </c>
      <c r="D1509" t="str">
        <f t="shared" si="48"/>
        <v>b</v>
      </c>
      <c r="E1509" t="str">
        <f t="shared" si="47"/>
        <v>b) Al sentido común del médico que lo realiza.</v>
      </c>
    </row>
    <row r="1510" spans="1:5" x14ac:dyDescent="0.25">
      <c r="A1510">
        <v>1509</v>
      </c>
      <c r="B1510" t="s">
        <v>818</v>
      </c>
      <c r="C1510">
        <v>0</v>
      </c>
      <c r="D1510" t="str">
        <f t="shared" si="48"/>
        <v>*</v>
      </c>
      <c r="E1510" t="str">
        <f t="shared" si="47"/>
        <v>c) Una pasividad considerada irreversible.</v>
      </c>
    </row>
    <row r="1511" spans="1:5" x14ac:dyDescent="0.25">
      <c r="A1511">
        <v>1510</v>
      </c>
      <c r="B1511" t="s">
        <v>819</v>
      </c>
      <c r="C1511">
        <v>0</v>
      </c>
      <c r="D1511" t="str">
        <f t="shared" si="48"/>
        <v>d</v>
      </c>
      <c r="E1511" t="str">
        <f t="shared" si="47"/>
        <v>d) Una realidad subvertida.</v>
      </c>
    </row>
    <row r="1512" spans="1:5" x14ac:dyDescent="0.25">
      <c r="A1512">
        <v>1511</v>
      </c>
      <c r="B1512" t="s">
        <v>1816</v>
      </c>
      <c r="C1512">
        <v>1</v>
      </c>
      <c r="D1512" t="str">
        <f t="shared" si="48"/>
        <v>¿</v>
      </c>
      <c r="E1512" t="str">
        <f t="shared" si="47"/>
        <v>¿Cómo denominan Bourdieu y Wacquant a la configuración particular de características que se debe poseer para legitimar el derecho de ingresar a un campo?</v>
      </c>
    </row>
    <row r="1513" spans="1:5" x14ac:dyDescent="0.25">
      <c r="A1513">
        <v>1512</v>
      </c>
      <c r="B1513" t="s">
        <v>820</v>
      </c>
      <c r="C1513">
        <v>0</v>
      </c>
      <c r="D1513" t="str">
        <f t="shared" si="48"/>
        <v>a</v>
      </c>
      <c r="E1513" t="str">
        <f t="shared" si="47"/>
        <v>a) Cualidades originales.</v>
      </c>
    </row>
    <row r="1514" spans="1:5" x14ac:dyDescent="0.25">
      <c r="A1514">
        <v>1513</v>
      </c>
      <c r="B1514" t="s">
        <v>821</v>
      </c>
      <c r="C1514">
        <v>0</v>
      </c>
      <c r="D1514" t="str">
        <f t="shared" si="48"/>
        <v>b</v>
      </c>
      <c r="E1514" t="str">
        <f t="shared" si="47"/>
        <v>b) Estructuras propias de los agentes.</v>
      </c>
    </row>
    <row r="1515" spans="1:5" x14ac:dyDescent="0.25">
      <c r="A1515">
        <v>1514</v>
      </c>
      <c r="B1515" t="s">
        <v>822</v>
      </c>
      <c r="C1515">
        <v>0</v>
      </c>
      <c r="D1515" t="str">
        <f t="shared" si="48"/>
        <v>*</v>
      </c>
      <c r="E1515" t="str">
        <f t="shared" si="47"/>
        <v>c) Formas de capital específico.</v>
      </c>
    </row>
    <row r="1516" spans="1:5" x14ac:dyDescent="0.25">
      <c r="A1516">
        <v>1515</v>
      </c>
      <c r="B1516" t="s">
        <v>823</v>
      </c>
      <c r="C1516">
        <v>0</v>
      </c>
      <c r="D1516" t="str">
        <f t="shared" si="48"/>
        <v>d</v>
      </c>
      <c r="E1516" t="str">
        <f t="shared" si="47"/>
        <v>d) Implicancias sociopolíticas.</v>
      </c>
    </row>
    <row r="1517" spans="1:5" x14ac:dyDescent="0.25">
      <c r="A1517">
        <v>1516</v>
      </c>
      <c r="B1517" t="s">
        <v>1817</v>
      </c>
      <c r="C1517">
        <v>1</v>
      </c>
      <c r="D1517" t="str">
        <f t="shared" si="48"/>
        <v>S</v>
      </c>
      <c r="E1517" t="str">
        <f t="shared" si="47"/>
        <v>Según Bourdieu y Wacquant, ¿Qué es lo que define la especie de meta capital capaz de ejercer un poder sobre las otras especies de capital y en particular sobre las tasas de intercambio entre ellas y sobre las relaciones de fuerza de sus detentadores?</v>
      </c>
    </row>
    <row r="1518" spans="1:5" x14ac:dyDescent="0.25">
      <c r="A1518">
        <v>1517</v>
      </c>
      <c r="B1518" t="s">
        <v>824</v>
      </c>
      <c r="C1518">
        <v>0</v>
      </c>
      <c r="D1518" t="str">
        <f t="shared" si="48"/>
        <v>*</v>
      </c>
      <c r="E1518" t="str">
        <f t="shared" si="47"/>
        <v>a) El poder propiamente estatal.</v>
      </c>
    </row>
    <row r="1519" spans="1:5" x14ac:dyDescent="0.25">
      <c r="A1519">
        <v>1518</v>
      </c>
      <c r="B1519" t="s">
        <v>825</v>
      </c>
      <c r="C1519">
        <v>0</v>
      </c>
      <c r="D1519" t="str">
        <f t="shared" si="48"/>
        <v>b</v>
      </c>
      <c r="E1519" t="str">
        <f t="shared" si="47"/>
        <v>b) La definición sobre las luchas de clases.</v>
      </c>
    </row>
    <row r="1520" spans="1:5" x14ac:dyDescent="0.25">
      <c r="A1520">
        <v>1519</v>
      </c>
      <c r="B1520" t="s">
        <v>826</v>
      </c>
      <c r="C1520">
        <v>0</v>
      </c>
      <c r="D1520" t="str">
        <f t="shared" si="48"/>
        <v>c</v>
      </c>
      <c r="E1520" t="str">
        <f t="shared" si="47"/>
        <v>c) La hegemonía del capitalismo.</v>
      </c>
    </row>
    <row r="1521" spans="1:5" x14ac:dyDescent="0.25">
      <c r="A1521">
        <v>1520</v>
      </c>
      <c r="B1521" t="s">
        <v>827</v>
      </c>
      <c r="C1521">
        <v>0</v>
      </c>
      <c r="D1521" t="str">
        <f t="shared" si="48"/>
        <v>d</v>
      </c>
      <c r="E1521" t="str">
        <f t="shared" si="47"/>
        <v>d) La naturalización de la desigualdad social.</v>
      </c>
    </row>
    <row r="1522" spans="1:5" x14ac:dyDescent="0.25">
      <c r="A1522">
        <v>1521</v>
      </c>
      <c r="B1522" t="s">
        <v>1818</v>
      </c>
      <c r="C1522">
        <v>1</v>
      </c>
      <c r="D1522" t="str">
        <f t="shared" si="48"/>
        <v>S</v>
      </c>
      <c r="E1522" t="str">
        <f t="shared" si="47"/>
        <v>Según Alfredo Carballeda en su texto "Del desorden de los cuerpos al orden de la sociedad": ¿Qué es lo que implicaba la educación para Ramos Mejía?</v>
      </c>
    </row>
    <row r="1523" spans="1:5" x14ac:dyDescent="0.25">
      <c r="A1523">
        <v>1522</v>
      </c>
      <c r="B1523" t="s">
        <v>828</v>
      </c>
      <c r="C1523">
        <v>0</v>
      </c>
      <c r="D1523" t="str">
        <f t="shared" si="48"/>
        <v>a</v>
      </c>
      <c r="E1523" t="str">
        <f t="shared" si="47"/>
        <v>a) Generar condiciones de bienestar general.</v>
      </c>
    </row>
    <row r="1524" spans="1:5" x14ac:dyDescent="0.25">
      <c r="A1524">
        <v>1523</v>
      </c>
      <c r="B1524" t="s">
        <v>829</v>
      </c>
      <c r="C1524">
        <v>0</v>
      </c>
      <c r="D1524" t="str">
        <f t="shared" si="48"/>
        <v>b</v>
      </c>
      <c r="E1524" t="str">
        <f t="shared" si="47"/>
        <v>b) La institución para combatir la pobreza.</v>
      </c>
    </row>
    <row r="1525" spans="1:5" x14ac:dyDescent="0.25">
      <c r="A1525">
        <v>1524</v>
      </c>
      <c r="B1525" t="s">
        <v>830</v>
      </c>
      <c r="C1525">
        <v>0</v>
      </c>
      <c r="D1525" t="str">
        <f t="shared" si="48"/>
        <v>*</v>
      </c>
      <c r="E1525" t="str">
        <f t="shared" si="47"/>
        <v>c) Una forma de disciplinamiento.</v>
      </c>
    </row>
    <row r="1526" spans="1:5" x14ac:dyDescent="0.25">
      <c r="A1526">
        <v>1525</v>
      </c>
      <c r="B1526" t="s">
        <v>831</v>
      </c>
      <c r="C1526">
        <v>0</v>
      </c>
      <c r="D1526" t="str">
        <f t="shared" si="48"/>
        <v>d</v>
      </c>
      <c r="E1526" t="str">
        <f t="shared" si="47"/>
        <v>d) Una manera de organizar mejor la vida de los gauchos.</v>
      </c>
    </row>
    <row r="1527" spans="1:5" x14ac:dyDescent="0.25">
      <c r="A1527">
        <v>1526</v>
      </c>
      <c r="B1527" t="s">
        <v>1819</v>
      </c>
      <c r="C1527">
        <v>1</v>
      </c>
      <c r="D1527" t="str">
        <f t="shared" si="48"/>
        <v>P</v>
      </c>
      <c r="E1527" t="str">
        <f t="shared" si="47"/>
        <v>Para Alfredo Carballeda en el caso de Argentina el positivismo tiene una clara expresión política que se traduce en la conformación del Estado moderno. Según el autor ¿qué es lo que esencialmente se construirá desde el positivismo?</v>
      </c>
    </row>
    <row r="1528" spans="1:5" x14ac:dyDescent="0.25">
      <c r="A1528">
        <v>1527</v>
      </c>
      <c r="B1528" t="s">
        <v>832</v>
      </c>
      <c r="C1528">
        <v>0</v>
      </c>
      <c r="D1528" t="str">
        <f t="shared" si="48"/>
        <v>a</v>
      </c>
      <c r="E1528" t="str">
        <f t="shared" si="47"/>
        <v>a) El desarrollo de la ciencia moderna en un nuevo contexto social propicio.</v>
      </c>
    </row>
    <row r="1529" spans="1:5" x14ac:dyDescent="0.25">
      <c r="A1529">
        <v>1528</v>
      </c>
      <c r="B1529" t="s">
        <v>833</v>
      </c>
      <c r="C1529">
        <v>0</v>
      </c>
      <c r="D1529" t="str">
        <f t="shared" si="48"/>
        <v>b</v>
      </c>
      <c r="E1529" t="str">
        <f t="shared" si="47"/>
        <v>b) El sentido de las propuestas laborales que desarrollará la oligarquía porteña.</v>
      </c>
    </row>
    <row r="1530" spans="1:5" x14ac:dyDescent="0.25">
      <c r="A1530">
        <v>1529</v>
      </c>
      <c r="B1530" t="s">
        <v>834</v>
      </c>
      <c r="C1530">
        <v>0</v>
      </c>
      <c r="D1530" t="str">
        <f t="shared" si="48"/>
        <v>c</v>
      </c>
      <c r="E1530" t="str">
        <f t="shared" si="47"/>
        <v>c) Las bases para organizar un sistema de representación democrática.</v>
      </c>
    </row>
    <row r="1531" spans="1:5" x14ac:dyDescent="0.25">
      <c r="A1531">
        <v>1530</v>
      </c>
      <c r="B1531" t="s">
        <v>835</v>
      </c>
      <c r="C1531">
        <v>0</v>
      </c>
      <c r="D1531" t="str">
        <f t="shared" si="48"/>
        <v>*</v>
      </c>
      <c r="E1531" t="str">
        <f t="shared" si="47"/>
        <v>d) Los marcos conceptuales para las prácticas que intervendrán en lo social.</v>
      </c>
    </row>
    <row r="1532" spans="1:5" x14ac:dyDescent="0.25">
      <c r="A1532">
        <v>1531</v>
      </c>
      <c r="B1532" s="1" t="s">
        <v>1820</v>
      </c>
      <c r="C1532">
        <v>1</v>
      </c>
      <c r="D1532" t="str">
        <f t="shared" si="48"/>
        <v>P</v>
      </c>
      <c r="E1532" t="str">
        <f t="shared" si="47"/>
        <v>Para Claudia Danani, la Economía Social es una construcción cuyas condiciones y horizontes postulan e impulsan una sociabilidad más rica y ello incluye la satisfacción de otras necesidades definidas de otro modo. Por lo tanto ¿Qué es lo que también implica esta concepción para la autora?</v>
      </c>
    </row>
    <row r="1533" spans="1:5" x14ac:dyDescent="0.25">
      <c r="A1533">
        <v>1532</v>
      </c>
      <c r="B1533" t="s">
        <v>836</v>
      </c>
      <c r="C1533">
        <v>0</v>
      </c>
      <c r="D1533" t="str">
        <f t="shared" si="48"/>
        <v>a</v>
      </c>
      <c r="E1533" t="str">
        <f t="shared" si="47"/>
        <v>a) El ámbito propicio para la reproducción social de los sectores populares.</v>
      </c>
    </row>
    <row r="1534" spans="1:5" x14ac:dyDescent="0.25">
      <c r="A1534">
        <v>1533</v>
      </c>
      <c r="B1534" t="s">
        <v>837</v>
      </c>
      <c r="C1534">
        <v>0</v>
      </c>
      <c r="D1534" t="str">
        <f t="shared" si="48"/>
        <v>*</v>
      </c>
      <c r="E1534" t="str">
        <f t="shared" si="47"/>
        <v>b) El desarrollo de otros sistemas de establecimiento de prioridades.</v>
      </c>
    </row>
    <row r="1535" spans="1:5" x14ac:dyDescent="0.25">
      <c r="A1535">
        <v>1534</v>
      </c>
      <c r="B1535" t="s">
        <v>838</v>
      </c>
      <c r="C1535">
        <v>0</v>
      </c>
      <c r="D1535" t="str">
        <f t="shared" si="48"/>
        <v>c</v>
      </c>
      <c r="E1535" t="str">
        <f t="shared" si="47"/>
        <v>c) La disputa política y económica por la distribución social del capital.</v>
      </c>
    </row>
    <row r="1536" spans="1:5" x14ac:dyDescent="0.25">
      <c r="A1536">
        <v>1535</v>
      </c>
      <c r="B1536" t="s">
        <v>839</v>
      </c>
      <c r="C1536">
        <v>0</v>
      </c>
      <c r="D1536" t="str">
        <f t="shared" si="48"/>
        <v>d</v>
      </c>
      <c r="E1536" t="str">
        <f t="shared" si="47"/>
        <v>d) La posibilidad de definir normas e ideas diferentes sobre el consumo.</v>
      </c>
    </row>
    <row r="1537" spans="1:5" x14ac:dyDescent="0.25">
      <c r="A1537">
        <v>1536</v>
      </c>
      <c r="B1537" t="s">
        <v>1821</v>
      </c>
      <c r="C1537">
        <v>1</v>
      </c>
      <c r="D1537" t="str">
        <f t="shared" si="48"/>
        <v>P</v>
      </c>
      <c r="E1537" t="str">
        <f t="shared" si="47"/>
        <v>Para Giddens en las culturas premodernas tienden a predominar cuatro contextos localizados de confianza: el sistema de parentesco, la comunidad local, las cosmologías religiosas. ¿Cuál es para el autor el cuarto contexto?</v>
      </c>
    </row>
    <row r="1538" spans="1:5" x14ac:dyDescent="0.25">
      <c r="A1538">
        <v>1537</v>
      </c>
      <c r="B1538" t="s">
        <v>840</v>
      </c>
      <c r="C1538">
        <v>0</v>
      </c>
      <c r="D1538" t="str">
        <f t="shared" si="48"/>
        <v>a</v>
      </c>
      <c r="E1538" t="str">
        <f t="shared" si="47"/>
        <v>a) El vínculo individual.</v>
      </c>
    </row>
    <row r="1539" spans="1:5" x14ac:dyDescent="0.25">
      <c r="A1539">
        <v>1538</v>
      </c>
      <c r="B1539" t="s">
        <v>841</v>
      </c>
      <c r="C1539">
        <v>0</v>
      </c>
      <c r="D1539" t="str">
        <f t="shared" si="48"/>
        <v>b</v>
      </c>
      <c r="E1539" t="str">
        <f t="shared" ref="E1539:E1602" si="49">+IF(D1539="*",MID(B1539,3,500),B1539)</f>
        <v>b) La mitología.</v>
      </c>
    </row>
    <row r="1540" spans="1:5" x14ac:dyDescent="0.25">
      <c r="A1540">
        <v>1539</v>
      </c>
      <c r="B1540" t="s">
        <v>842</v>
      </c>
      <c r="C1540">
        <v>0</v>
      </c>
      <c r="D1540" t="str">
        <f t="shared" si="48"/>
        <v>c</v>
      </c>
      <c r="E1540" t="str">
        <f t="shared" si="49"/>
        <v>c) La relación con la naturaleza.</v>
      </c>
    </row>
    <row r="1541" spans="1:5" x14ac:dyDescent="0.25">
      <c r="A1541">
        <v>1540</v>
      </c>
      <c r="B1541" t="s">
        <v>843</v>
      </c>
      <c r="C1541">
        <v>0</v>
      </c>
      <c r="D1541" t="str">
        <f t="shared" si="48"/>
        <v>*</v>
      </c>
      <c r="E1541" t="str">
        <f t="shared" si="49"/>
        <v>d) La tradición.</v>
      </c>
    </row>
    <row r="1542" spans="1:5" x14ac:dyDescent="0.25">
      <c r="A1542">
        <v>1541</v>
      </c>
      <c r="B1542" t="s">
        <v>1822</v>
      </c>
      <c r="C1542">
        <v>1</v>
      </c>
      <c r="D1542" t="str">
        <f t="shared" si="48"/>
        <v>¿</v>
      </c>
      <c r="E1542" t="str">
        <f t="shared" si="49"/>
        <v xml:space="preserve">¿A qué denomina Giddens "perfil de riesgo"? </v>
      </c>
    </row>
    <row r="1543" spans="1:5" x14ac:dyDescent="0.25">
      <c r="A1543">
        <v>1542</v>
      </c>
      <c r="B1543" t="s">
        <v>844</v>
      </c>
      <c r="C1543">
        <v>0</v>
      </c>
      <c r="D1543" t="str">
        <f t="shared" si="48"/>
        <v>a</v>
      </c>
      <c r="E1543" t="str">
        <f t="shared" si="49"/>
        <v>a) A la suma de indicadores negativos que configuran amenazas al ecosistema social.</v>
      </c>
    </row>
    <row r="1544" spans="1:5" x14ac:dyDescent="0.25">
      <c r="A1544">
        <v>1543</v>
      </c>
      <c r="B1544" t="s">
        <v>845</v>
      </c>
      <c r="C1544">
        <v>0</v>
      </c>
      <c r="D1544" t="str">
        <f t="shared" si="48"/>
        <v>b</v>
      </c>
      <c r="E1544" t="str">
        <f t="shared" si="49"/>
        <v>b) A las condiciones fluctuantes e inestables de los mercados internacionales.</v>
      </c>
    </row>
    <row r="1545" spans="1:5" x14ac:dyDescent="0.25">
      <c r="A1545">
        <v>1544</v>
      </c>
      <c r="B1545" t="s">
        <v>846</v>
      </c>
      <c r="C1545">
        <v>0</v>
      </c>
      <c r="D1545" t="str">
        <f t="shared" si="48"/>
        <v>*</v>
      </c>
      <c r="E1545" t="str">
        <f t="shared" si="49"/>
        <v>c) Al bagaje de amenazas y peligros característicos de la vida social moderna.</v>
      </c>
    </row>
    <row r="1546" spans="1:5" x14ac:dyDescent="0.25">
      <c r="A1546">
        <v>1545</v>
      </c>
      <c r="B1546" t="s">
        <v>847</v>
      </c>
      <c r="C1546">
        <v>0</v>
      </c>
      <c r="D1546" t="str">
        <f t="shared" si="48"/>
        <v>d</v>
      </c>
      <c r="E1546" t="str">
        <f t="shared" si="49"/>
        <v>d) Al condicionamiento que produce la tecnología en la interacción social postmoderna.</v>
      </c>
    </row>
    <row r="1547" spans="1:5" x14ac:dyDescent="0.25">
      <c r="A1547">
        <v>1546</v>
      </c>
      <c r="B1547" s="1" t="s">
        <v>1823</v>
      </c>
      <c r="C1547">
        <v>1</v>
      </c>
      <c r="D1547" t="str">
        <f t="shared" si="48"/>
        <v>¿</v>
      </c>
      <c r="E1547" t="str">
        <f t="shared" si="49"/>
        <v>¿A qué noción de Estado hace referencia Estela Grassi, cuando plantea que "supone un principio de igualdad de ciudadanos libres, partícipes de una comunidad política que delimita quienes gozan de tal condición o cuáles son los requisitos para acogerse a ella"?</v>
      </c>
    </row>
    <row r="1548" spans="1:5" x14ac:dyDescent="0.25">
      <c r="A1548">
        <v>1547</v>
      </c>
      <c r="B1548" t="s">
        <v>848</v>
      </c>
      <c r="C1548">
        <v>0</v>
      </c>
      <c r="D1548" t="str">
        <f t="shared" si="48"/>
        <v>a</v>
      </c>
      <c r="E1548" t="str">
        <f t="shared" si="49"/>
        <v>a) Benefactor.</v>
      </c>
    </row>
    <row r="1549" spans="1:5" x14ac:dyDescent="0.25">
      <c r="A1549">
        <v>1548</v>
      </c>
      <c r="B1549" t="s">
        <v>849</v>
      </c>
      <c r="C1549">
        <v>0</v>
      </c>
      <c r="D1549" t="str">
        <f t="shared" si="48"/>
        <v>b</v>
      </c>
      <c r="E1549" t="str">
        <f t="shared" si="49"/>
        <v>b) Capitalista.</v>
      </c>
    </row>
    <row r="1550" spans="1:5" x14ac:dyDescent="0.25">
      <c r="A1550">
        <v>1549</v>
      </c>
      <c r="B1550" t="s">
        <v>850</v>
      </c>
      <c r="C1550">
        <v>0</v>
      </c>
      <c r="D1550" t="str">
        <f t="shared" si="48"/>
        <v>c</v>
      </c>
      <c r="E1550" t="str">
        <f t="shared" si="49"/>
        <v>c) Liberal.</v>
      </c>
    </row>
    <row r="1551" spans="1:5" x14ac:dyDescent="0.25">
      <c r="A1551">
        <v>1550</v>
      </c>
      <c r="B1551" t="s">
        <v>851</v>
      </c>
      <c r="C1551">
        <v>0</v>
      </c>
      <c r="D1551" t="str">
        <f t="shared" si="48"/>
        <v>*</v>
      </c>
      <c r="E1551" t="str">
        <f t="shared" si="49"/>
        <v>d) Moderno.</v>
      </c>
    </row>
    <row r="1552" spans="1:5" x14ac:dyDescent="0.25">
      <c r="A1552">
        <v>1551</v>
      </c>
      <c r="B1552" s="1" t="s">
        <v>1824</v>
      </c>
      <c r="C1552">
        <v>1</v>
      </c>
      <c r="D1552" t="str">
        <f t="shared" si="48"/>
        <v>E</v>
      </c>
      <c r="E1552" t="str">
        <f t="shared" si="49"/>
        <v>En Sonia Fleury, Flora propone dos dimensiones a la luz de las cuales elucidar diferencias en relación a las variaciones encontradas con el Wellfare State entre los países: el estatismo y la fragmentación. ¿Cómo es definida la fragmentación por esa autora?</v>
      </c>
    </row>
    <row r="1553" spans="1:5" x14ac:dyDescent="0.25">
      <c r="A1553">
        <v>1552</v>
      </c>
      <c r="B1553" t="s">
        <v>852</v>
      </c>
      <c r="C1553">
        <v>0</v>
      </c>
      <c r="D1553" t="str">
        <f t="shared" si="48"/>
        <v>*</v>
      </c>
      <c r="E1553" t="str">
        <f t="shared" si="49"/>
        <v>a) Como en el grado en el cual las instituciones reproducen diferenciaciones sociales.</v>
      </c>
    </row>
    <row r="1554" spans="1:5" x14ac:dyDescent="0.25">
      <c r="A1554">
        <v>1553</v>
      </c>
      <c r="B1554" t="s">
        <v>853</v>
      </c>
      <c r="C1554">
        <v>0</v>
      </c>
      <c r="D1554" t="str">
        <f t="shared" si="48"/>
        <v>b</v>
      </c>
      <c r="E1554" t="str">
        <f t="shared" si="49"/>
        <v>b) Como el resultado de los movimientos sociales y sindicales dispersos.</v>
      </c>
    </row>
    <row r="1555" spans="1:5" x14ac:dyDescent="0.25">
      <c r="A1555">
        <v>1554</v>
      </c>
      <c r="B1555" t="s">
        <v>854</v>
      </c>
      <c r="C1555">
        <v>0</v>
      </c>
      <c r="D1555" t="str">
        <f t="shared" si="48"/>
        <v>c</v>
      </c>
      <c r="E1555" t="str">
        <f t="shared" si="49"/>
        <v>c) Como la capacidad de los organismos gubernamentales de segmentar a la población.</v>
      </c>
    </row>
    <row r="1556" spans="1:5" x14ac:dyDescent="0.25">
      <c r="A1556">
        <v>1555</v>
      </c>
      <c r="B1556" t="s">
        <v>855</v>
      </c>
      <c r="C1556">
        <v>0</v>
      </c>
      <c r="D1556" t="str">
        <f t="shared" si="48"/>
        <v>d</v>
      </c>
      <c r="E1556" t="str">
        <f t="shared" si="49"/>
        <v>d) Como la incapacidad de comunicarse interinstitucionalmente para desarrollar políticas universales.</v>
      </c>
    </row>
    <row r="1557" spans="1:5" x14ac:dyDescent="0.25">
      <c r="A1557">
        <v>1556</v>
      </c>
      <c r="B1557" t="s">
        <v>1825</v>
      </c>
      <c r="C1557">
        <v>1</v>
      </c>
      <c r="D1557" t="str">
        <f t="shared" si="48"/>
        <v>E</v>
      </c>
      <c r="E1557" t="str">
        <f t="shared" si="49"/>
        <v>En Altamirano y otros, Fonseca analiza diversas frases populares ¿A qué hace alusión cuando cita "madre es la que cría"?</v>
      </c>
    </row>
    <row r="1558" spans="1:5" x14ac:dyDescent="0.25">
      <c r="A1558">
        <v>1557</v>
      </c>
      <c r="B1558" t="s">
        <v>856</v>
      </c>
      <c r="C1558">
        <v>0</v>
      </c>
      <c r="D1558" t="str">
        <f t="shared" si="48"/>
        <v>a</v>
      </c>
      <c r="E1558" t="str">
        <f t="shared" si="49"/>
        <v>a) A la desnaturalización de la maternidad.</v>
      </c>
    </row>
    <row r="1559" spans="1:5" x14ac:dyDescent="0.25">
      <c r="A1559">
        <v>1558</v>
      </c>
      <c r="B1559" t="s">
        <v>857</v>
      </c>
      <c r="C1559">
        <v>0</v>
      </c>
      <c r="D1559" t="str">
        <f t="shared" si="48"/>
        <v>b</v>
      </c>
      <c r="E1559" t="str">
        <f t="shared" si="49"/>
        <v>b) A la noción biologicista de crianza.</v>
      </c>
    </row>
    <row r="1560" spans="1:5" x14ac:dyDescent="0.25">
      <c r="A1560">
        <v>1559</v>
      </c>
      <c r="B1560" t="s">
        <v>858</v>
      </c>
      <c r="C1560">
        <v>0</v>
      </c>
      <c r="D1560" t="str">
        <f t="shared" si="48"/>
        <v>*</v>
      </c>
      <c r="E1560" t="str">
        <f t="shared" si="49"/>
        <v>c) A la paternidad como relación social.</v>
      </c>
    </row>
    <row r="1561" spans="1:5" x14ac:dyDescent="0.25">
      <c r="A1561">
        <v>1560</v>
      </c>
      <c r="B1561" t="s">
        <v>859</v>
      </c>
      <c r="C1561">
        <v>0</v>
      </c>
      <c r="D1561" t="str">
        <f t="shared" si="48"/>
        <v>d</v>
      </c>
      <c r="E1561" t="str">
        <f t="shared" si="49"/>
        <v>d) Al vínculo biológico y consaguíneo.</v>
      </c>
    </row>
    <row r="1562" spans="1:5" x14ac:dyDescent="0.25">
      <c r="A1562">
        <v>1561</v>
      </c>
      <c r="B1562" t="s">
        <v>1826</v>
      </c>
      <c r="C1562">
        <v>1</v>
      </c>
      <c r="D1562" t="str">
        <f t="shared" si="48"/>
        <v>E</v>
      </c>
      <c r="E1562" t="str">
        <f t="shared" si="49"/>
        <v>En "La adopción, una mirada no hegemónica" Altamirano y otros analizan distintas percepciones en relación a la adopción ¿Cómo refieren que es percibida la familia pobre?</v>
      </c>
    </row>
    <row r="1563" spans="1:5" x14ac:dyDescent="0.25">
      <c r="A1563">
        <v>1562</v>
      </c>
      <c r="B1563" t="s">
        <v>860</v>
      </c>
      <c r="C1563">
        <v>0</v>
      </c>
      <c r="D1563" t="str">
        <f t="shared" si="48"/>
        <v>a</v>
      </c>
      <c r="E1563" t="str">
        <f t="shared" si="49"/>
        <v>a) Como espacio microsocial que articula los distintos aspectos de la institución adopción.</v>
      </c>
    </row>
    <row r="1564" spans="1:5" x14ac:dyDescent="0.25">
      <c r="A1564">
        <v>1563</v>
      </c>
      <c r="B1564" t="s">
        <v>861</v>
      </c>
      <c r="C1564">
        <v>0</v>
      </c>
      <c r="D1564" t="str">
        <f t="shared" si="48"/>
        <v>b</v>
      </c>
      <c r="E1564" t="str">
        <f t="shared" si="49"/>
        <v>b) Como institución básica sobre la que debe organizarse la intervención promocional y protectora de los derechos de los niños, niñas.</v>
      </c>
    </row>
    <row r="1565" spans="1:5" x14ac:dyDescent="0.25">
      <c r="A1565">
        <v>1564</v>
      </c>
      <c r="B1565" t="s">
        <v>862</v>
      </c>
      <c r="C1565">
        <v>0</v>
      </c>
      <c r="D1565" t="str">
        <f t="shared" si="48"/>
        <v>c</v>
      </c>
      <c r="E1565" t="str">
        <f t="shared" si="49"/>
        <v>c) Como un ámbito sociocultural poco propicio para el desarrollo de vínculos filiatorios saludables.</v>
      </c>
    </row>
    <row r="1566" spans="1:5" x14ac:dyDescent="0.25">
      <c r="A1566">
        <v>1565</v>
      </c>
      <c r="B1566" t="s">
        <v>863</v>
      </c>
      <c r="C1566">
        <v>0</v>
      </c>
      <c r="D1566" t="str">
        <f t="shared" si="48"/>
        <v>*</v>
      </c>
      <c r="E1566" t="str">
        <f t="shared" si="49"/>
        <v>d) Como un espacio social capaz de no garantizar el cumplimiento de las normas sociales ni conductas esperadas.</v>
      </c>
    </row>
    <row r="1567" spans="1:5" x14ac:dyDescent="0.25">
      <c r="A1567">
        <v>1566</v>
      </c>
      <c r="B1567" t="s">
        <v>1827</v>
      </c>
      <c r="C1567">
        <v>1</v>
      </c>
      <c r="D1567" t="str">
        <f t="shared" si="48"/>
        <v>E</v>
      </c>
      <c r="E1567" t="str">
        <f t="shared" si="49"/>
        <v>En "Espíritu de familia" ¿Cuál es para Bourdieu el trabajo que incumbe muy particularmente a las mujeres?</v>
      </c>
    </row>
    <row r="1568" spans="1:5" x14ac:dyDescent="0.25">
      <c r="A1568">
        <v>1567</v>
      </c>
      <c r="B1568" t="s">
        <v>864</v>
      </c>
      <c r="C1568">
        <v>0</v>
      </c>
      <c r="D1568" t="str">
        <f t="shared" si="48"/>
        <v>a</v>
      </c>
      <c r="E1568" t="str">
        <f t="shared" si="49"/>
        <v>a) Construir relaciones a través de la violencia simbólica sobre los miembros de la familia.</v>
      </c>
    </row>
    <row r="1569" spans="1:5" x14ac:dyDescent="0.25">
      <c r="A1569">
        <v>1568</v>
      </c>
      <c r="B1569" t="s">
        <v>865</v>
      </c>
      <c r="C1569">
        <v>0</v>
      </c>
      <c r="D1569" t="str">
        <f t="shared" si="48"/>
        <v>b</v>
      </c>
      <c r="E1569" t="str">
        <f t="shared" si="49"/>
        <v>b) Perpetuar la línea sucesoria en el primogénito varón.</v>
      </c>
    </row>
    <row r="1570" spans="1:5" x14ac:dyDescent="0.25">
      <c r="A1570">
        <v>1569</v>
      </c>
      <c r="B1570" t="s">
        <v>866</v>
      </c>
      <c r="C1570">
        <v>0</v>
      </c>
      <c r="D1570" t="str">
        <f t="shared" si="48"/>
        <v>c</v>
      </c>
      <c r="E1570" t="str">
        <f t="shared" si="49"/>
        <v>c) Transmitir la idiosincracia sociocultural en las mujeres.</v>
      </c>
    </row>
    <row r="1571" spans="1:5" x14ac:dyDescent="0.25">
      <c r="A1571">
        <v>1570</v>
      </c>
      <c r="B1571" t="s">
        <v>867</v>
      </c>
      <c r="C1571">
        <v>0</v>
      </c>
      <c r="D1571" t="str">
        <f t="shared" si="48"/>
        <v>*</v>
      </c>
      <c r="E1571" t="str">
        <f t="shared" si="49"/>
        <v>d) Transformar la obligación de amar en disposición amante.</v>
      </c>
    </row>
    <row r="1572" spans="1:5" x14ac:dyDescent="0.25">
      <c r="A1572">
        <v>1571</v>
      </c>
      <c r="B1572" t="s">
        <v>1828</v>
      </c>
      <c r="C1572">
        <v>1</v>
      </c>
      <c r="D1572" t="str">
        <f t="shared" ref="D1572:D1635" si="50">+MID(B1572,1,1)</f>
        <v>P</v>
      </c>
      <c r="E1572" t="str">
        <f t="shared" si="49"/>
        <v>Para Donzelot en su texto "La policía de las Familias" ¿Qué es lo que implica la vigilancia continua de la familia en toda petición de ayuda?</v>
      </c>
    </row>
    <row r="1573" spans="1:5" x14ac:dyDescent="0.25">
      <c r="A1573">
        <v>1572</v>
      </c>
      <c r="B1573" t="s">
        <v>868</v>
      </c>
      <c r="C1573">
        <v>0</v>
      </c>
      <c r="D1573" t="str">
        <f t="shared" si="50"/>
        <v>a</v>
      </c>
      <c r="E1573" t="str">
        <f t="shared" si="49"/>
        <v>a) Un dispositivo artificial del gobierno con la sociedad.</v>
      </c>
    </row>
    <row r="1574" spans="1:5" x14ac:dyDescent="0.25">
      <c r="A1574">
        <v>1573</v>
      </c>
      <c r="B1574" t="s">
        <v>869</v>
      </c>
      <c r="C1574">
        <v>0</v>
      </c>
      <c r="D1574" t="str">
        <f t="shared" si="50"/>
        <v>b</v>
      </c>
      <c r="E1574" t="str">
        <f t="shared" si="49"/>
        <v>b) Una articulación continua de la religión con la tradición.</v>
      </c>
    </row>
    <row r="1575" spans="1:5" x14ac:dyDescent="0.25">
      <c r="A1575">
        <v>1574</v>
      </c>
      <c r="B1575" t="s">
        <v>870</v>
      </c>
      <c r="C1575">
        <v>0</v>
      </c>
      <c r="D1575" t="str">
        <f t="shared" si="50"/>
        <v>*</v>
      </c>
      <c r="E1575" t="str">
        <f t="shared" si="49"/>
        <v>c) Una conección sistemática de la moral con lo económico.</v>
      </c>
    </row>
    <row r="1576" spans="1:5" x14ac:dyDescent="0.25">
      <c r="A1576">
        <v>1575</v>
      </c>
      <c r="B1576" t="s">
        <v>871</v>
      </c>
      <c r="C1576">
        <v>0</v>
      </c>
      <c r="D1576" t="str">
        <f t="shared" si="50"/>
        <v>d</v>
      </c>
      <c r="E1576" t="str">
        <f t="shared" si="49"/>
        <v>d) Una identificación de los problemas de las familias.</v>
      </c>
    </row>
    <row r="1577" spans="1:5" x14ac:dyDescent="0.25">
      <c r="A1577">
        <v>1576</v>
      </c>
      <c r="B1577" t="s">
        <v>1829</v>
      </c>
      <c r="C1577">
        <v>1</v>
      </c>
      <c r="D1577" t="str">
        <f t="shared" si="50"/>
        <v>P</v>
      </c>
      <c r="E1577" t="str">
        <f t="shared" si="49"/>
        <v>Para Elizabeth Jelín en "Pan y afectos. La transfomación de las familias" ¿En qué basa su existencia la unidad doméstica obrera?</v>
      </c>
    </row>
    <row r="1578" spans="1:5" x14ac:dyDescent="0.25">
      <c r="A1578">
        <v>1577</v>
      </c>
      <c r="B1578" t="s">
        <v>872</v>
      </c>
      <c r="C1578">
        <v>0</v>
      </c>
      <c r="D1578" t="str">
        <f t="shared" si="50"/>
        <v>*</v>
      </c>
      <c r="E1578" t="str">
        <f t="shared" si="49"/>
        <v>a) En la colectivización de recursos y en la solidaridad de los miembros.</v>
      </c>
    </row>
    <row r="1579" spans="1:5" x14ac:dyDescent="0.25">
      <c r="A1579">
        <v>1578</v>
      </c>
      <c r="B1579" t="s">
        <v>873</v>
      </c>
      <c r="C1579">
        <v>0</v>
      </c>
      <c r="D1579" t="str">
        <f t="shared" si="50"/>
        <v>b</v>
      </c>
      <c r="E1579" t="str">
        <f t="shared" si="49"/>
        <v>b) En la posición ejecutiva del jefe de hogar y sus vínculos intrafamiliares.</v>
      </c>
    </row>
    <row r="1580" spans="1:5" x14ac:dyDescent="0.25">
      <c r="A1580">
        <v>1579</v>
      </c>
      <c r="B1580" t="s">
        <v>874</v>
      </c>
      <c r="C1580">
        <v>0</v>
      </c>
      <c r="D1580" t="str">
        <f t="shared" si="50"/>
        <v>c</v>
      </c>
      <c r="E1580" t="str">
        <f t="shared" si="49"/>
        <v>c) En las ayudas de programas sociales y en los subsidios colectivos.</v>
      </c>
    </row>
    <row r="1581" spans="1:5" x14ac:dyDescent="0.25">
      <c r="A1581">
        <v>1580</v>
      </c>
      <c r="B1581" t="s">
        <v>875</v>
      </c>
      <c r="C1581">
        <v>0</v>
      </c>
      <c r="D1581" t="str">
        <f t="shared" si="50"/>
        <v>d</v>
      </c>
      <c r="E1581" t="str">
        <f t="shared" si="49"/>
        <v>d) En las redes de vecindad y en la ayuda mutua comunal.</v>
      </c>
    </row>
    <row r="1582" spans="1:5" x14ac:dyDescent="0.25">
      <c r="A1582">
        <v>1581</v>
      </c>
      <c r="B1582" t="s">
        <v>1830</v>
      </c>
      <c r="C1582">
        <v>1</v>
      </c>
      <c r="D1582" t="str">
        <f t="shared" si="50"/>
        <v>E</v>
      </c>
      <c r="E1582" t="str">
        <f t="shared" si="49"/>
        <v>En "Teoría del Hospital" ¿Cuál es la afirmación de Ramón Carrillo en relación a la atención médica que se presta en nuestra patria?</v>
      </c>
    </row>
    <row r="1583" spans="1:5" x14ac:dyDescent="0.25">
      <c r="A1583">
        <v>1582</v>
      </c>
      <c r="B1583" t="s">
        <v>876</v>
      </c>
      <c r="C1583">
        <v>0</v>
      </c>
      <c r="D1583" t="str">
        <f t="shared" si="50"/>
        <v>a</v>
      </c>
      <c r="E1583" t="str">
        <f t="shared" si="49"/>
        <v>a) A todos los argentinos y de la mejor calidad que se pueda financiar.</v>
      </c>
    </row>
    <row r="1584" spans="1:5" x14ac:dyDescent="0.25">
      <c r="A1584">
        <v>1583</v>
      </c>
      <c r="B1584" t="s">
        <v>877</v>
      </c>
      <c r="C1584">
        <v>0</v>
      </c>
      <c r="D1584" t="str">
        <f t="shared" si="50"/>
        <v>b</v>
      </c>
      <c r="E1584" t="str">
        <f t="shared" si="49"/>
        <v>b) Para todos aquellos que posean documento de identidad.</v>
      </c>
    </row>
    <row r="1585" spans="1:5" x14ac:dyDescent="0.25">
      <c r="A1585">
        <v>1584</v>
      </c>
      <c r="B1585" t="s">
        <v>878</v>
      </c>
      <c r="C1585">
        <v>0</v>
      </c>
      <c r="D1585" t="str">
        <f t="shared" si="50"/>
        <v>*</v>
      </c>
      <c r="E1585" t="str">
        <f t="shared" si="49"/>
        <v>c) Sin negársela a nadie y sin hacer de ello un artículo de comercio.</v>
      </c>
    </row>
    <row r="1586" spans="1:5" x14ac:dyDescent="0.25">
      <c r="A1586">
        <v>1585</v>
      </c>
      <c r="B1586" t="s">
        <v>879</v>
      </c>
      <c r="C1586">
        <v>0</v>
      </c>
      <c r="D1586" t="str">
        <f t="shared" si="50"/>
        <v>d</v>
      </c>
      <c r="E1586" t="str">
        <f t="shared" si="49"/>
        <v>d) Sólo para ciudadanos nativos y siempre priorizando la buena atención.</v>
      </c>
    </row>
    <row r="1587" spans="1:5" x14ac:dyDescent="0.25">
      <c r="A1587">
        <v>1586</v>
      </c>
      <c r="B1587" t="s">
        <v>1831</v>
      </c>
      <c r="C1587">
        <v>1</v>
      </c>
      <c r="D1587" t="str">
        <f t="shared" si="50"/>
        <v>S</v>
      </c>
      <c r="E1587" t="str">
        <f t="shared" si="49"/>
        <v>Según Gattino y Flores en "La familia y el Trabajo Social" ¿De qué factores es la resultante la dinámica propia de la estructura familiar?</v>
      </c>
    </row>
    <row r="1588" spans="1:5" x14ac:dyDescent="0.25">
      <c r="A1588">
        <v>1587</v>
      </c>
      <c r="B1588" t="s">
        <v>880</v>
      </c>
      <c r="C1588">
        <v>0</v>
      </c>
      <c r="D1588" t="str">
        <f t="shared" si="50"/>
        <v>a</v>
      </c>
      <c r="E1588" t="str">
        <f t="shared" si="49"/>
        <v>a) De la interacción de sus miembros y la fantasía grupal.</v>
      </c>
    </row>
    <row r="1589" spans="1:5" x14ac:dyDescent="0.25">
      <c r="A1589">
        <v>1588</v>
      </c>
      <c r="B1589" t="s">
        <v>881</v>
      </c>
      <c r="C1589">
        <v>0</v>
      </c>
      <c r="D1589" t="str">
        <f t="shared" si="50"/>
        <v>b</v>
      </c>
      <c r="E1589" t="str">
        <f t="shared" si="49"/>
        <v>b) De la organización social de la unidad doméstica y la asignación de roles.</v>
      </c>
    </row>
    <row r="1590" spans="1:5" x14ac:dyDescent="0.25">
      <c r="A1590">
        <v>1589</v>
      </c>
      <c r="B1590" t="s">
        <v>882</v>
      </c>
      <c r="C1590">
        <v>0</v>
      </c>
      <c r="D1590" t="str">
        <f t="shared" si="50"/>
        <v>*</v>
      </c>
      <c r="E1590" t="str">
        <f t="shared" si="49"/>
        <v>c) Del interjuego de procesos y fenómenos del orden inconsciente.</v>
      </c>
    </row>
    <row r="1591" spans="1:5" x14ac:dyDescent="0.25">
      <c r="A1591">
        <v>1590</v>
      </c>
      <c r="B1591" t="s">
        <v>883</v>
      </c>
      <c r="C1591">
        <v>0</v>
      </c>
      <c r="D1591" t="str">
        <f t="shared" si="50"/>
        <v>d</v>
      </c>
      <c r="E1591" t="str">
        <f t="shared" si="49"/>
        <v>d) Del vínculo intersubjetivo de los individuos y el imaginario social.</v>
      </c>
    </row>
    <row r="1592" spans="1:5" x14ac:dyDescent="0.25">
      <c r="A1592">
        <v>1591</v>
      </c>
      <c r="B1592" t="s">
        <v>1832</v>
      </c>
      <c r="C1592">
        <v>1</v>
      </c>
      <c r="D1592" t="str">
        <f t="shared" si="50"/>
        <v>P</v>
      </c>
      <c r="E1592" t="str">
        <f t="shared" si="49"/>
        <v>Para Gattino y Flores ¿En qué posición se ubica la familia cuando se habla de "sujeto-actor de su desarrollo y el de su comunidad"?</v>
      </c>
    </row>
    <row r="1593" spans="1:5" x14ac:dyDescent="0.25">
      <c r="A1593">
        <v>1592</v>
      </c>
      <c r="B1593" t="s">
        <v>884</v>
      </c>
      <c r="C1593">
        <v>0</v>
      </c>
      <c r="D1593" t="str">
        <f t="shared" si="50"/>
        <v>a</v>
      </c>
      <c r="E1593" t="str">
        <f t="shared" si="49"/>
        <v>a) Se focalizan las políticas de bienestar en la mínima unidad social.</v>
      </c>
    </row>
    <row r="1594" spans="1:5" x14ac:dyDescent="0.25">
      <c r="A1594">
        <v>1593</v>
      </c>
      <c r="B1594" t="s">
        <v>885</v>
      </c>
      <c r="C1594">
        <v>0</v>
      </c>
      <c r="D1594" t="str">
        <f t="shared" si="50"/>
        <v>b</v>
      </c>
      <c r="E1594" t="str">
        <f t="shared" si="49"/>
        <v>b) Se pondera la capacidad del grupo en relación al bienestar y superación.</v>
      </c>
    </row>
    <row r="1595" spans="1:5" x14ac:dyDescent="0.25">
      <c r="A1595">
        <v>1594</v>
      </c>
      <c r="B1595" t="s">
        <v>886</v>
      </c>
      <c r="C1595">
        <v>0</v>
      </c>
      <c r="D1595" t="str">
        <f t="shared" si="50"/>
        <v>*</v>
      </c>
      <c r="E1595" t="str">
        <f t="shared" si="49"/>
        <v>c) Se privatiza la responsabilidad pública en torno al crecimiento y desarrollo.</v>
      </c>
    </row>
    <row r="1596" spans="1:5" x14ac:dyDescent="0.25">
      <c r="A1596">
        <v>1595</v>
      </c>
      <c r="B1596" t="s">
        <v>887</v>
      </c>
      <c r="C1596">
        <v>0</v>
      </c>
      <c r="D1596" t="str">
        <f t="shared" si="50"/>
        <v>d</v>
      </c>
      <c r="E1596" t="str">
        <f t="shared" si="49"/>
        <v>d) Se subjetivan e individualizan las necesidades particulares en relación al progreso.</v>
      </c>
    </row>
    <row r="1597" spans="1:5" x14ac:dyDescent="0.25">
      <c r="A1597">
        <v>1596</v>
      </c>
      <c r="B1597" t="s">
        <v>1833</v>
      </c>
      <c r="C1597">
        <v>1</v>
      </c>
      <c r="D1597" t="str">
        <f t="shared" si="50"/>
        <v>S</v>
      </c>
      <c r="E1597" t="str">
        <f t="shared" si="49"/>
        <v>Según García Fuster ¿Cuál es la importancia de las relaciones de amistad en la moral y sentimientos de bienestar de la persona mayor?</v>
      </c>
    </row>
    <row r="1598" spans="1:5" x14ac:dyDescent="0.25">
      <c r="A1598">
        <v>1597</v>
      </c>
      <c r="B1598" t="s">
        <v>888</v>
      </c>
      <c r="C1598">
        <v>0</v>
      </c>
      <c r="D1598" t="str">
        <f t="shared" si="50"/>
        <v>a</v>
      </c>
      <c r="E1598" t="str">
        <f t="shared" si="49"/>
        <v>a) Estimulante en su relación de pareja.</v>
      </c>
    </row>
    <row r="1599" spans="1:5" x14ac:dyDescent="0.25">
      <c r="A1599">
        <v>1598</v>
      </c>
      <c r="B1599" t="s">
        <v>889</v>
      </c>
      <c r="C1599">
        <v>0</v>
      </c>
      <c r="D1599" t="str">
        <f t="shared" si="50"/>
        <v>b</v>
      </c>
      <c r="E1599" t="str">
        <f t="shared" si="49"/>
        <v>b) Inferior a la consecución de una terapia.</v>
      </c>
    </row>
    <row r="1600" spans="1:5" x14ac:dyDescent="0.25">
      <c r="A1600">
        <v>1599</v>
      </c>
      <c r="B1600" t="s">
        <v>890</v>
      </c>
      <c r="C1600">
        <v>0</v>
      </c>
      <c r="D1600" t="str">
        <f t="shared" si="50"/>
        <v>c</v>
      </c>
      <c r="E1600" t="str">
        <f t="shared" si="49"/>
        <v>c) Poco significativas para su desarrollo psicosocial.</v>
      </c>
    </row>
    <row r="1601" spans="1:5" x14ac:dyDescent="0.25">
      <c r="A1601">
        <v>1600</v>
      </c>
      <c r="B1601" t="s">
        <v>891</v>
      </c>
      <c r="C1601">
        <v>0</v>
      </c>
      <c r="D1601" t="str">
        <f t="shared" si="50"/>
        <v>*</v>
      </c>
      <c r="E1601" t="str">
        <f t="shared" si="49"/>
        <v>d) Superior a la de las relaciones familiares.</v>
      </c>
    </row>
    <row r="1602" spans="1:5" x14ac:dyDescent="0.25">
      <c r="A1602">
        <v>1601</v>
      </c>
      <c r="B1602" t="s">
        <v>1834</v>
      </c>
      <c r="C1602">
        <v>1</v>
      </c>
      <c r="D1602" t="str">
        <f t="shared" si="50"/>
        <v>¿</v>
      </c>
      <c r="E1602" t="str">
        <f t="shared" si="49"/>
        <v>¿Porqué llama García Fuster a las residencias para ancianos una institución culturalmente anómala?</v>
      </c>
    </row>
    <row r="1603" spans="1:5" x14ac:dyDescent="0.25">
      <c r="A1603">
        <v>1602</v>
      </c>
      <c r="B1603" t="s">
        <v>892</v>
      </c>
      <c r="C1603">
        <v>0</v>
      </c>
      <c r="D1603" t="str">
        <f t="shared" si="50"/>
        <v>a</v>
      </c>
      <c r="E1603" t="str">
        <f t="shared" ref="E1603:E1666" si="51">+IF(D1603="*",MID(B1603,3,500),B1603)</f>
        <v>a) Por constituirse un "depósitos y albergues" para la población adulta.</v>
      </c>
    </row>
    <row r="1604" spans="1:5" x14ac:dyDescent="0.25">
      <c r="A1604">
        <v>1603</v>
      </c>
      <c r="B1604" t="s">
        <v>893</v>
      </c>
      <c r="C1604">
        <v>0</v>
      </c>
      <c r="D1604" t="str">
        <f t="shared" si="50"/>
        <v>*</v>
      </c>
      <c r="E1604" t="str">
        <f t="shared" si="51"/>
        <v>b) Por ser espacios confinados donde la vida y la muerte conviven muy de cerca.</v>
      </c>
    </row>
    <row r="1605" spans="1:5" x14ac:dyDescent="0.25">
      <c r="A1605">
        <v>1604</v>
      </c>
      <c r="B1605" t="s">
        <v>894</v>
      </c>
      <c r="C1605">
        <v>0</v>
      </c>
      <c r="D1605" t="str">
        <f t="shared" si="50"/>
        <v>c</v>
      </c>
      <c r="E1605" t="str">
        <f t="shared" si="51"/>
        <v>c) Por ser una organización donde no se establecen relaciones intergeneracionales.</v>
      </c>
    </row>
    <row r="1606" spans="1:5" x14ac:dyDescent="0.25">
      <c r="A1606">
        <v>1605</v>
      </c>
      <c r="B1606" t="s">
        <v>895</v>
      </c>
      <c r="C1606">
        <v>0</v>
      </c>
      <c r="D1606" t="str">
        <f t="shared" si="50"/>
        <v>d</v>
      </c>
      <c r="E1606" t="str">
        <f t="shared" si="51"/>
        <v>d) Por ser un dispositivo donde se prescinde de la ayuda familiar.</v>
      </c>
    </row>
    <row r="1607" spans="1:5" x14ac:dyDescent="0.25">
      <c r="A1607">
        <v>1606</v>
      </c>
      <c r="B1607" t="s">
        <v>1835</v>
      </c>
      <c r="C1607">
        <v>1</v>
      </c>
      <c r="D1607" t="str">
        <f t="shared" si="50"/>
        <v>E</v>
      </c>
      <c r="E1607" t="str">
        <f t="shared" si="51"/>
        <v>En la investigación desarrollada por Mabel Grimberg ¿Cuáles fueron las categorías identificadas para la conformación del conjunto estudiado en el trabajo de campo?</v>
      </c>
    </row>
    <row r="1608" spans="1:5" x14ac:dyDescent="0.25">
      <c r="A1608">
        <v>1607</v>
      </c>
      <c r="B1608" t="s">
        <v>896</v>
      </c>
      <c r="C1608">
        <v>0</v>
      </c>
      <c r="D1608" t="str">
        <f t="shared" si="50"/>
        <v>a</v>
      </c>
      <c r="E1608" t="str">
        <f t="shared" si="51"/>
        <v>a) Acceso a centros de salud y nivel educativo.</v>
      </c>
    </row>
    <row r="1609" spans="1:5" x14ac:dyDescent="0.25">
      <c r="A1609">
        <v>1608</v>
      </c>
      <c r="B1609" t="s">
        <v>897</v>
      </c>
      <c r="C1609">
        <v>0</v>
      </c>
      <c r="D1609" t="str">
        <f t="shared" si="50"/>
        <v>*</v>
      </c>
      <c r="E1609" t="str">
        <f t="shared" si="51"/>
        <v>b) Edad y relacionamientos de género.</v>
      </c>
    </row>
    <row r="1610" spans="1:5" x14ac:dyDescent="0.25">
      <c r="A1610">
        <v>1609</v>
      </c>
      <c r="B1610" t="s">
        <v>898</v>
      </c>
      <c r="C1610">
        <v>0</v>
      </c>
      <c r="D1610" t="str">
        <f t="shared" si="50"/>
        <v>c</v>
      </c>
      <c r="E1610" t="str">
        <f t="shared" si="51"/>
        <v>c) Procedencia e iniciación sexual.</v>
      </c>
    </row>
    <row r="1611" spans="1:5" x14ac:dyDescent="0.25">
      <c r="A1611">
        <v>1610</v>
      </c>
      <c r="B1611" t="s">
        <v>899</v>
      </c>
      <c r="C1611">
        <v>0</v>
      </c>
      <c r="D1611" t="str">
        <f t="shared" si="50"/>
        <v>d</v>
      </c>
      <c r="E1611" t="str">
        <f t="shared" si="51"/>
        <v>d) Sexo y tipo de vivienda.</v>
      </c>
    </row>
    <row r="1612" spans="1:5" x14ac:dyDescent="0.25">
      <c r="A1612">
        <v>1611</v>
      </c>
      <c r="B1612" t="s">
        <v>1836</v>
      </c>
      <c r="C1612">
        <v>1</v>
      </c>
      <c r="D1612" t="str">
        <f t="shared" si="50"/>
        <v>P</v>
      </c>
      <c r="E1612" t="str">
        <f t="shared" si="51"/>
        <v>Para Mabel Grimberg ¿Qué límite les genera a las mujeres las relaciones de poder que organizan las relaciones de género y su expresión en la sexualidad?</v>
      </c>
    </row>
    <row r="1613" spans="1:5" x14ac:dyDescent="0.25">
      <c r="A1613">
        <v>1612</v>
      </c>
      <c r="B1613" t="s">
        <v>900</v>
      </c>
      <c r="C1613">
        <v>0</v>
      </c>
      <c r="D1613" t="str">
        <f t="shared" si="50"/>
        <v>a</v>
      </c>
      <c r="E1613" t="str">
        <f t="shared" si="51"/>
        <v>a) El deseo y el goce sexual.</v>
      </c>
    </row>
    <row r="1614" spans="1:5" x14ac:dyDescent="0.25">
      <c r="A1614">
        <v>1613</v>
      </c>
      <c r="B1614" t="s">
        <v>901</v>
      </c>
      <c r="C1614">
        <v>0</v>
      </c>
      <c r="D1614" t="str">
        <f t="shared" si="50"/>
        <v>b</v>
      </c>
      <c r="E1614" t="str">
        <f t="shared" si="51"/>
        <v>b) La capacidad amatoria y la maternidad.</v>
      </c>
    </row>
    <row r="1615" spans="1:5" x14ac:dyDescent="0.25">
      <c r="A1615">
        <v>1614</v>
      </c>
      <c r="B1615" t="s">
        <v>902</v>
      </c>
      <c r="C1615">
        <v>0</v>
      </c>
      <c r="D1615" t="str">
        <f t="shared" si="50"/>
        <v>*</v>
      </c>
      <c r="E1615" t="str">
        <f t="shared" si="51"/>
        <v>c) La iniciativa y capacidad de negociación general.</v>
      </c>
    </row>
    <row r="1616" spans="1:5" x14ac:dyDescent="0.25">
      <c r="A1616">
        <v>1615</v>
      </c>
      <c r="B1616" t="s">
        <v>903</v>
      </c>
      <c r="C1616">
        <v>0</v>
      </c>
      <c r="D1616" t="str">
        <f t="shared" si="50"/>
        <v>d</v>
      </c>
      <c r="E1616" t="str">
        <f t="shared" si="51"/>
        <v>d) Los derechos sexuales y reproductivos.</v>
      </c>
    </row>
    <row r="1617" spans="1:5" x14ac:dyDescent="0.25">
      <c r="A1617">
        <v>1616</v>
      </c>
      <c r="B1617" s="1" t="s">
        <v>1837</v>
      </c>
      <c r="C1617">
        <v>1</v>
      </c>
      <c r="D1617" t="str">
        <f t="shared" si="50"/>
        <v>¿</v>
      </c>
      <c r="E1617" t="str">
        <f t="shared" si="51"/>
        <v>¿Cómo nomina Aguilar Idáñez a la etapa en que el aprendiz está confuso y siente la necesidad de aferrarse a algo, de buscar en cada situación algo a lo que pueda responder... comienza a vislumbrar lo que la gente quiere de él, y si por casualidad da una respuesta y obtiene una reacción favorable, se siente alentado a proseguir?</v>
      </c>
    </row>
    <row r="1618" spans="1:5" x14ac:dyDescent="0.25">
      <c r="A1618">
        <v>1617</v>
      </c>
      <c r="B1618" t="s">
        <v>904</v>
      </c>
      <c r="C1618">
        <v>0</v>
      </c>
      <c r="D1618" t="str">
        <f t="shared" si="50"/>
        <v>a</v>
      </c>
      <c r="E1618" t="str">
        <f t="shared" si="51"/>
        <v>a) De comprensión relativa de los hechos.</v>
      </c>
    </row>
    <row r="1619" spans="1:5" x14ac:dyDescent="0.25">
      <c r="A1619">
        <v>1618</v>
      </c>
      <c r="B1619" t="s">
        <v>905</v>
      </c>
      <c r="C1619">
        <v>0</v>
      </c>
      <c r="D1619" t="str">
        <f t="shared" si="50"/>
        <v>b</v>
      </c>
      <c r="E1619" t="str">
        <f t="shared" si="51"/>
        <v>b) De conciencia agudizada de uno mismo.</v>
      </c>
    </row>
    <row r="1620" spans="1:5" x14ac:dyDescent="0.25">
      <c r="A1620">
        <v>1619</v>
      </c>
      <c r="B1620" t="s">
        <v>906</v>
      </c>
      <c r="C1620">
        <v>0</v>
      </c>
      <c r="D1620" t="str">
        <f t="shared" si="50"/>
        <v>*</v>
      </c>
      <c r="E1620" t="str">
        <f t="shared" si="51"/>
        <v>c) De nadar o ahogarse.</v>
      </c>
    </row>
    <row r="1621" spans="1:5" x14ac:dyDescent="0.25">
      <c r="A1621">
        <v>1620</v>
      </c>
      <c r="B1621" t="s">
        <v>907</v>
      </c>
      <c r="C1621">
        <v>0</v>
      </c>
      <c r="D1621" t="str">
        <f t="shared" si="50"/>
        <v>d</v>
      </c>
      <c r="E1621" t="str">
        <f t="shared" si="51"/>
        <v>d) Del dominio relativo del proceso.</v>
      </c>
    </row>
    <row r="1622" spans="1:5" x14ac:dyDescent="0.25">
      <c r="A1622">
        <v>1621</v>
      </c>
      <c r="B1622" t="s">
        <v>1838</v>
      </c>
      <c r="C1622">
        <v>1</v>
      </c>
      <c r="D1622" t="str">
        <f t="shared" si="50"/>
        <v>¿</v>
      </c>
      <c r="E1622" t="str">
        <f t="shared" si="51"/>
        <v>¿Cómo llama Nora Aquín a la suma de nuestros conocimientos acerca de la realidad que vivimos y que utilizamos de modo efectivo ya que guía nuestras acciones?</v>
      </c>
    </row>
    <row r="1623" spans="1:5" x14ac:dyDescent="0.25">
      <c r="A1623">
        <v>1622</v>
      </c>
      <c r="B1623" t="s">
        <v>908</v>
      </c>
      <c r="C1623">
        <v>0</v>
      </c>
      <c r="D1623" t="str">
        <f t="shared" si="50"/>
        <v>a</v>
      </c>
      <c r="E1623" t="str">
        <f t="shared" si="51"/>
        <v>a) El conocimiento pre-científico.</v>
      </c>
    </row>
    <row r="1624" spans="1:5" x14ac:dyDescent="0.25">
      <c r="A1624">
        <v>1623</v>
      </c>
      <c r="B1624" t="s">
        <v>909</v>
      </c>
      <c r="C1624">
        <v>0</v>
      </c>
      <c r="D1624" t="str">
        <f t="shared" si="50"/>
        <v>b</v>
      </c>
      <c r="E1624" t="str">
        <f t="shared" si="51"/>
        <v>b) El esquema conceptual operativo.</v>
      </c>
    </row>
    <row r="1625" spans="1:5" x14ac:dyDescent="0.25">
      <c r="A1625">
        <v>1624</v>
      </c>
      <c r="B1625" t="s">
        <v>910</v>
      </c>
      <c r="C1625">
        <v>0</v>
      </c>
      <c r="D1625" t="str">
        <f t="shared" si="50"/>
        <v>*</v>
      </c>
      <c r="E1625" t="str">
        <f t="shared" si="51"/>
        <v>c) El saber cotidiano.</v>
      </c>
    </row>
    <row r="1626" spans="1:5" x14ac:dyDescent="0.25">
      <c r="A1626">
        <v>1625</v>
      </c>
      <c r="B1626" t="s">
        <v>911</v>
      </c>
      <c r="C1626">
        <v>0</v>
      </c>
      <c r="D1626" t="str">
        <f t="shared" si="50"/>
        <v>d</v>
      </c>
      <c r="E1626" t="str">
        <f t="shared" si="51"/>
        <v>d) El sentido común.</v>
      </c>
    </row>
    <row r="1627" spans="1:5" x14ac:dyDescent="0.25">
      <c r="A1627">
        <v>1626</v>
      </c>
      <c r="B1627" t="s">
        <v>1839</v>
      </c>
      <c r="C1627">
        <v>1</v>
      </c>
      <c r="D1627" t="str">
        <f t="shared" si="50"/>
        <v>¿</v>
      </c>
      <c r="E1627" t="str">
        <f t="shared" si="51"/>
        <v>¿A qué principio operacional se refieren Cáceres y otros, cuando expresan "el entrevistador, bajo este principio, tendrá presente que toda persona humana tiene una concepción del mundo, un estilo de ser, hacer y pensar"?</v>
      </c>
    </row>
    <row r="1628" spans="1:5" x14ac:dyDescent="0.25">
      <c r="A1628">
        <v>1627</v>
      </c>
      <c r="B1628" t="s">
        <v>912</v>
      </c>
      <c r="C1628">
        <v>0</v>
      </c>
      <c r="D1628" t="str">
        <f t="shared" si="50"/>
        <v>a</v>
      </c>
      <c r="E1628" t="str">
        <f t="shared" si="51"/>
        <v>a) Estímulo a la participación y responsabilidad en las decisiones.</v>
      </c>
    </row>
    <row r="1629" spans="1:5" x14ac:dyDescent="0.25">
      <c r="A1629">
        <v>1628</v>
      </c>
      <c r="B1629" t="s">
        <v>913</v>
      </c>
      <c r="C1629">
        <v>0</v>
      </c>
      <c r="D1629" t="str">
        <f t="shared" si="50"/>
        <v>b</v>
      </c>
      <c r="E1629" t="str">
        <f t="shared" si="51"/>
        <v>b) Intervención dentro de una lógica de la realidad.</v>
      </c>
    </row>
    <row r="1630" spans="1:5" x14ac:dyDescent="0.25">
      <c r="A1630">
        <v>1629</v>
      </c>
      <c r="B1630" t="s">
        <v>914</v>
      </c>
      <c r="C1630">
        <v>0</v>
      </c>
      <c r="D1630" t="str">
        <f t="shared" si="50"/>
        <v>c</v>
      </c>
      <c r="E1630" t="str">
        <f t="shared" si="51"/>
        <v>c) Reconocimiento de la autonomía del sujeto.</v>
      </c>
    </row>
    <row r="1631" spans="1:5" x14ac:dyDescent="0.25">
      <c r="A1631">
        <v>1630</v>
      </c>
      <c r="B1631" t="s">
        <v>915</v>
      </c>
      <c r="C1631">
        <v>0</v>
      </c>
      <c r="D1631" t="str">
        <f t="shared" si="50"/>
        <v>*</v>
      </c>
      <c r="E1631" t="str">
        <f t="shared" si="51"/>
        <v>d) Respeto a los valores, patrones y pautas culturales.</v>
      </c>
    </row>
    <row r="1632" spans="1:5" x14ac:dyDescent="0.25">
      <c r="A1632">
        <v>1631</v>
      </c>
      <c r="B1632" t="s">
        <v>1840</v>
      </c>
      <c r="C1632">
        <v>1</v>
      </c>
      <c r="D1632" t="str">
        <f t="shared" si="50"/>
        <v>P</v>
      </c>
      <c r="E1632" t="str">
        <f t="shared" si="51"/>
        <v xml:space="preserve">Para Cáceres y otros, en cuanto al propósito de orientación, ¿A dónde se dirige la entrevista? </v>
      </c>
    </row>
    <row r="1633" spans="1:5" x14ac:dyDescent="0.25">
      <c r="A1633">
        <v>1632</v>
      </c>
      <c r="B1633" t="s">
        <v>916</v>
      </c>
      <c r="C1633">
        <v>0</v>
      </c>
      <c r="D1633" t="str">
        <f t="shared" si="50"/>
        <v>a</v>
      </c>
      <c r="E1633" t="str">
        <f t="shared" si="51"/>
        <v>a) A brindar asesoramiento, generar un clima cálido con el entrevistado e influenciar positivamente sobre algunas decisiones.</v>
      </c>
    </row>
    <row r="1634" spans="1:5" x14ac:dyDescent="0.25">
      <c r="A1634">
        <v>1633</v>
      </c>
      <c r="B1634" t="s">
        <v>917</v>
      </c>
      <c r="C1634">
        <v>0</v>
      </c>
      <c r="D1634" t="str">
        <f t="shared" si="50"/>
        <v>*</v>
      </c>
      <c r="E1634" t="str">
        <f t="shared" si="51"/>
        <v>b) A facilitar información, influir sobre los aspectos del comportamiento y ejercer cierto efecto terapéutico.</v>
      </c>
    </row>
    <row r="1635" spans="1:5" x14ac:dyDescent="0.25">
      <c r="A1635">
        <v>1634</v>
      </c>
      <c r="B1635" t="s">
        <v>918</v>
      </c>
      <c r="C1635">
        <v>0</v>
      </c>
      <c r="D1635" t="str">
        <f t="shared" si="50"/>
        <v>c</v>
      </c>
      <c r="E1635" t="str">
        <f t="shared" si="51"/>
        <v>c) A generar condiciones para la reflexión y la autorrealización recortando la problemática a lo explícito de los planteos.</v>
      </c>
    </row>
    <row r="1636" spans="1:5" x14ac:dyDescent="0.25">
      <c r="A1636">
        <v>1635</v>
      </c>
      <c r="B1636" t="s">
        <v>919</v>
      </c>
      <c r="C1636">
        <v>0</v>
      </c>
      <c r="D1636" t="str">
        <f t="shared" ref="D1636:D1699" si="52">+MID(B1636,1,1)</f>
        <v>d</v>
      </c>
      <c r="E1636" t="str">
        <f t="shared" si="51"/>
        <v>d) A obtener datos sobre ciertas características y condiciones del entrevistado, desarrollar empatía y respetar las decisiones.</v>
      </c>
    </row>
    <row r="1637" spans="1:5" x14ac:dyDescent="0.25">
      <c r="A1637">
        <v>1636</v>
      </c>
      <c r="B1637" t="s">
        <v>1841</v>
      </c>
      <c r="C1637">
        <v>1</v>
      </c>
      <c r="D1637" t="str">
        <f t="shared" si="52"/>
        <v>E</v>
      </c>
      <c r="E1637" t="str">
        <f t="shared" si="51"/>
        <v>En "Escuchar las prácticas" ¿Cómo llama Alfredo Carballeda al producto surgido de una tradición discursiva, construída desde la esfera del Estado, los medios de comunicación y la sociedad misma, que le confieren dirección y sentido a la intervención?</v>
      </c>
    </row>
    <row r="1638" spans="1:5" x14ac:dyDescent="0.25">
      <c r="A1638">
        <v>1637</v>
      </c>
      <c r="B1638" t="s">
        <v>920</v>
      </c>
      <c r="C1638">
        <v>0</v>
      </c>
      <c r="D1638" t="str">
        <f t="shared" si="52"/>
        <v>*</v>
      </c>
      <c r="E1638" t="str">
        <f t="shared" si="51"/>
        <v>a) Agenda pública.</v>
      </c>
    </row>
    <row r="1639" spans="1:5" x14ac:dyDescent="0.25">
      <c r="A1639">
        <v>1638</v>
      </c>
      <c r="B1639" t="s">
        <v>921</v>
      </c>
      <c r="C1639">
        <v>0</v>
      </c>
      <c r="D1639" t="str">
        <f t="shared" si="52"/>
        <v>b</v>
      </c>
      <c r="E1639" t="str">
        <f t="shared" si="51"/>
        <v>b) Arena política.</v>
      </c>
    </row>
    <row r="1640" spans="1:5" x14ac:dyDescent="0.25">
      <c r="A1640">
        <v>1639</v>
      </c>
      <c r="B1640" t="s">
        <v>922</v>
      </c>
      <c r="C1640">
        <v>0</v>
      </c>
      <c r="D1640" t="str">
        <f t="shared" si="52"/>
        <v>c</v>
      </c>
      <c r="E1640" t="str">
        <f t="shared" si="51"/>
        <v>c) Campo problemático.</v>
      </c>
    </row>
    <row r="1641" spans="1:5" x14ac:dyDescent="0.25">
      <c r="A1641">
        <v>1640</v>
      </c>
      <c r="B1641" t="s">
        <v>923</v>
      </c>
      <c r="C1641">
        <v>0</v>
      </c>
      <c r="D1641" t="str">
        <f t="shared" si="52"/>
        <v>d</v>
      </c>
      <c r="E1641" t="str">
        <f t="shared" si="51"/>
        <v>d) Problemas objeto de intervención.</v>
      </c>
    </row>
    <row r="1642" spans="1:5" x14ac:dyDescent="0.25">
      <c r="A1642">
        <v>1641</v>
      </c>
      <c r="B1642" t="s">
        <v>1842</v>
      </c>
      <c r="C1642">
        <v>1</v>
      </c>
      <c r="D1642" t="str">
        <f t="shared" si="52"/>
        <v>C</v>
      </c>
      <c r="E1642" t="str">
        <f t="shared" si="51"/>
        <v>Cuando Alfredo Carballeda desarrolla su análisis sobre la supervisión ¿Qué entiende como escenario de la intervención?</v>
      </c>
    </row>
    <row r="1643" spans="1:5" x14ac:dyDescent="0.25">
      <c r="A1643">
        <v>1642</v>
      </c>
      <c r="B1643" t="s">
        <v>924</v>
      </c>
      <c r="C1643">
        <v>0</v>
      </c>
      <c r="D1643" t="str">
        <f t="shared" si="52"/>
        <v>a</v>
      </c>
      <c r="E1643" t="str">
        <f t="shared" si="51"/>
        <v>a) A la red de relaciones sociales donde se encuentra el trabajador social.</v>
      </c>
    </row>
    <row r="1644" spans="1:5" x14ac:dyDescent="0.25">
      <c r="A1644">
        <v>1643</v>
      </c>
      <c r="B1644" t="s">
        <v>925</v>
      </c>
      <c r="C1644">
        <v>0</v>
      </c>
      <c r="D1644" t="str">
        <f t="shared" si="52"/>
        <v>b</v>
      </c>
      <c r="E1644" t="str">
        <f t="shared" si="51"/>
        <v>b) Al componente que hace hablar a los actores de la acción.</v>
      </c>
    </row>
    <row r="1645" spans="1:5" x14ac:dyDescent="0.25">
      <c r="A1645">
        <v>1644</v>
      </c>
      <c r="B1645" t="s">
        <v>926</v>
      </c>
      <c r="C1645">
        <v>0</v>
      </c>
      <c r="D1645" t="str">
        <f t="shared" si="52"/>
        <v>c</v>
      </c>
      <c r="E1645" t="str">
        <f t="shared" si="51"/>
        <v>c) Al constructo artificial y multidimensional que impacta y modifica.</v>
      </c>
    </row>
    <row r="1646" spans="1:5" x14ac:dyDescent="0.25">
      <c r="A1646">
        <v>1645</v>
      </c>
      <c r="B1646" t="s">
        <v>927</v>
      </c>
      <c r="C1646">
        <v>0</v>
      </c>
      <c r="D1646" t="str">
        <f t="shared" si="52"/>
        <v>*</v>
      </c>
      <c r="E1646" t="str">
        <f t="shared" si="51"/>
        <v>d) Al espacio micro social donde se construye y desarrolla.</v>
      </c>
    </row>
    <row r="1647" spans="1:5" x14ac:dyDescent="0.25">
      <c r="A1647">
        <v>1646</v>
      </c>
      <c r="B1647" t="s">
        <v>1843</v>
      </c>
      <c r="C1647">
        <v>1</v>
      </c>
      <c r="D1647" t="str">
        <f t="shared" si="52"/>
        <v>S</v>
      </c>
      <c r="E1647" t="str">
        <f t="shared" si="51"/>
        <v xml:space="preserve">Según Silvina Cavallieri, ¿A qué remite la noción de problemas sociales? </v>
      </c>
    </row>
    <row r="1648" spans="1:5" x14ac:dyDescent="0.25">
      <c r="A1648">
        <v>1647</v>
      </c>
      <c r="B1648" t="s">
        <v>928</v>
      </c>
      <c r="C1648">
        <v>0</v>
      </c>
      <c r="D1648" t="str">
        <f t="shared" si="52"/>
        <v>a</v>
      </c>
      <c r="E1648" t="str">
        <f t="shared" si="51"/>
        <v>a) A la cuestión social en su nueva forma compleja.</v>
      </c>
    </row>
    <row r="1649" spans="1:5" x14ac:dyDescent="0.25">
      <c r="A1649">
        <v>1648</v>
      </c>
      <c r="B1649" t="s">
        <v>929</v>
      </c>
      <c r="C1649">
        <v>0</v>
      </c>
      <c r="D1649" t="str">
        <f t="shared" si="52"/>
        <v>*</v>
      </c>
      <c r="E1649" t="str">
        <f t="shared" si="51"/>
        <v>b) A la fragmentación y sectorización de lo social.</v>
      </c>
    </row>
    <row r="1650" spans="1:5" x14ac:dyDescent="0.25">
      <c r="A1650">
        <v>1649</v>
      </c>
      <c r="B1650" t="s">
        <v>930</v>
      </c>
      <c r="C1650">
        <v>0</v>
      </c>
      <c r="D1650" t="str">
        <f t="shared" si="52"/>
        <v>c</v>
      </c>
      <c r="E1650" t="str">
        <f t="shared" si="51"/>
        <v>c) A la perspectiva de totalidad en la intervención.</v>
      </c>
    </row>
    <row r="1651" spans="1:5" x14ac:dyDescent="0.25">
      <c r="A1651">
        <v>1650</v>
      </c>
      <c r="B1651" t="s">
        <v>931</v>
      </c>
      <c r="C1651">
        <v>0</v>
      </c>
      <c r="D1651" t="str">
        <f t="shared" si="52"/>
        <v>d</v>
      </c>
      <c r="E1651" t="str">
        <f t="shared" si="51"/>
        <v>d) A la singularización y secularización de las manifestaciones sociales.</v>
      </c>
    </row>
    <row r="1652" spans="1:5" x14ac:dyDescent="0.25">
      <c r="A1652">
        <v>1651</v>
      </c>
      <c r="B1652" s="1" t="s">
        <v>1844</v>
      </c>
      <c r="C1652">
        <v>1</v>
      </c>
      <c r="D1652" t="str">
        <f t="shared" si="52"/>
        <v>C</v>
      </c>
      <c r="E1652" t="str">
        <f t="shared" si="51"/>
        <v>Cuando Silvia Cavallieri se refiere a la intervención profesional, piensa en la articulación entre conocimiento y acción, y pone en relación diferentes dimensiones como la teórico- metodológica, la operativa-instrumental. ¿Cuál es la tercer dimensión que menciona la autora?</v>
      </c>
    </row>
    <row r="1653" spans="1:5" x14ac:dyDescent="0.25">
      <c r="A1653">
        <v>1652</v>
      </c>
      <c r="B1653" t="s">
        <v>932</v>
      </c>
      <c r="C1653">
        <v>0</v>
      </c>
      <c r="D1653" t="str">
        <f t="shared" si="52"/>
        <v>a</v>
      </c>
      <c r="E1653" t="str">
        <f t="shared" si="51"/>
        <v>a) Científica-empírica.</v>
      </c>
    </row>
    <row r="1654" spans="1:5" x14ac:dyDescent="0.25">
      <c r="A1654">
        <v>1653</v>
      </c>
      <c r="B1654" t="s">
        <v>933</v>
      </c>
      <c r="C1654">
        <v>0</v>
      </c>
      <c r="D1654" t="str">
        <f t="shared" si="52"/>
        <v>b</v>
      </c>
      <c r="E1654" t="str">
        <f t="shared" si="51"/>
        <v>b) Estatal-gubernamental.</v>
      </c>
    </row>
    <row r="1655" spans="1:5" x14ac:dyDescent="0.25">
      <c r="A1655">
        <v>1654</v>
      </c>
      <c r="B1655" t="s">
        <v>934</v>
      </c>
      <c r="C1655">
        <v>0</v>
      </c>
      <c r="D1655" t="str">
        <f t="shared" si="52"/>
        <v>*</v>
      </c>
      <c r="E1655" t="str">
        <f t="shared" si="51"/>
        <v>c) Ético-política.</v>
      </c>
    </row>
    <row r="1656" spans="1:5" x14ac:dyDescent="0.25">
      <c r="A1656">
        <v>1655</v>
      </c>
      <c r="B1656" t="s">
        <v>935</v>
      </c>
      <c r="C1656">
        <v>0</v>
      </c>
      <c r="D1656" t="str">
        <f t="shared" si="52"/>
        <v>d</v>
      </c>
      <c r="E1656" t="str">
        <f t="shared" si="51"/>
        <v>d) Histórica-cultural.</v>
      </c>
    </row>
    <row r="1657" spans="1:5" x14ac:dyDescent="0.25">
      <c r="A1657">
        <v>1656</v>
      </c>
      <c r="B1657" t="s">
        <v>1845</v>
      </c>
      <c r="C1657">
        <v>1</v>
      </c>
      <c r="D1657" t="str">
        <f t="shared" si="52"/>
        <v>¿</v>
      </c>
      <c r="E1657" t="str">
        <f t="shared" si="51"/>
        <v>¿Cómo denomina Carlos Zarzar Charur a la superación de los obstáculos que impiden el buen funcionamiento del grupo y el logro de los aprendizajes?</v>
      </c>
    </row>
    <row r="1658" spans="1:5" x14ac:dyDescent="0.25">
      <c r="A1658">
        <v>1657</v>
      </c>
      <c r="B1658" t="s">
        <v>936</v>
      </c>
      <c r="C1658">
        <v>0</v>
      </c>
      <c r="D1658" t="str">
        <f t="shared" si="52"/>
        <v>a</v>
      </c>
      <c r="E1658" t="str">
        <f t="shared" si="51"/>
        <v>a) El momento de síntesis.</v>
      </c>
    </row>
    <row r="1659" spans="1:5" x14ac:dyDescent="0.25">
      <c r="A1659">
        <v>1658</v>
      </c>
      <c r="B1659" t="s">
        <v>937</v>
      </c>
      <c r="C1659">
        <v>0</v>
      </c>
      <c r="D1659" t="str">
        <f t="shared" si="52"/>
        <v>b</v>
      </c>
      <c r="E1659" t="str">
        <f t="shared" si="51"/>
        <v>b) El objetivo del coordinador.</v>
      </c>
    </row>
    <row r="1660" spans="1:5" x14ac:dyDescent="0.25">
      <c r="A1660">
        <v>1659</v>
      </c>
      <c r="B1660" t="s">
        <v>938</v>
      </c>
      <c r="C1660">
        <v>0</v>
      </c>
      <c r="D1660" t="str">
        <f t="shared" si="52"/>
        <v>c</v>
      </c>
      <c r="E1660" t="str">
        <f t="shared" si="51"/>
        <v>c) La tarea explícita.</v>
      </c>
    </row>
    <row r="1661" spans="1:5" x14ac:dyDescent="0.25">
      <c r="A1661">
        <v>1660</v>
      </c>
      <c r="B1661" t="s">
        <v>939</v>
      </c>
      <c r="C1661">
        <v>0</v>
      </c>
      <c r="D1661" t="str">
        <f t="shared" si="52"/>
        <v>*</v>
      </c>
      <c r="E1661" t="str">
        <f t="shared" si="51"/>
        <v>d) La tarea implícita.</v>
      </c>
    </row>
    <row r="1662" spans="1:5" x14ac:dyDescent="0.25">
      <c r="A1662">
        <v>1661</v>
      </c>
      <c r="B1662" t="s">
        <v>1846</v>
      </c>
      <c r="C1662">
        <v>1</v>
      </c>
      <c r="D1662" t="str">
        <f t="shared" si="52"/>
        <v>S</v>
      </c>
      <c r="E1662" t="str">
        <f t="shared" si="51"/>
        <v>Según Charur Zarzar y la teoría de los grupos operativos, ¿Cuándo un grupo se encuentra en la etapa de tarea?</v>
      </c>
    </row>
    <row r="1663" spans="1:5" x14ac:dyDescent="0.25">
      <c r="A1663">
        <v>1662</v>
      </c>
      <c r="B1663" t="s">
        <v>940</v>
      </c>
      <c r="C1663">
        <v>0</v>
      </c>
      <c r="D1663" t="str">
        <f t="shared" si="52"/>
        <v>a</v>
      </c>
      <c r="E1663" t="str">
        <f t="shared" si="51"/>
        <v>a) Al legitimar, acordar y realizar las acciones propuestas por un coordinador.</v>
      </c>
    </row>
    <row r="1664" spans="1:5" x14ac:dyDescent="0.25">
      <c r="A1664">
        <v>1663</v>
      </c>
      <c r="B1664" t="s">
        <v>941</v>
      </c>
      <c r="C1664">
        <v>0</v>
      </c>
      <c r="D1664" t="str">
        <f t="shared" si="52"/>
        <v>*</v>
      </c>
      <c r="E1664" t="str">
        <f t="shared" si="51"/>
        <v>b) Cuando empieza a tomar sobre sí las funciones de organización, toma de decisiones y de control.</v>
      </c>
    </row>
    <row r="1665" spans="1:5" x14ac:dyDescent="0.25">
      <c r="A1665">
        <v>1664</v>
      </c>
      <c r="B1665" t="s">
        <v>942</v>
      </c>
      <c r="C1665">
        <v>0</v>
      </c>
      <c r="D1665" t="str">
        <f t="shared" si="52"/>
        <v>c</v>
      </c>
      <c r="E1665" t="str">
        <f t="shared" si="51"/>
        <v>c) Cuando puede identificar los distintos roles, los explicita y acuerda rotarlos.</v>
      </c>
    </row>
    <row r="1666" spans="1:5" x14ac:dyDescent="0.25">
      <c r="A1666">
        <v>1665</v>
      </c>
      <c r="B1666" t="s">
        <v>943</v>
      </c>
      <c r="C1666">
        <v>0</v>
      </c>
      <c r="D1666" t="str">
        <f t="shared" si="52"/>
        <v>d</v>
      </c>
      <c r="E1666" t="str">
        <f t="shared" si="51"/>
        <v>d) Cuando sus miembros comienzan el encuentro preguntando por los ausentes y lo registran.</v>
      </c>
    </row>
    <row r="1667" spans="1:5" x14ac:dyDescent="0.25">
      <c r="A1667">
        <v>1666</v>
      </c>
      <c r="B1667" t="s">
        <v>1847</v>
      </c>
      <c r="C1667">
        <v>1</v>
      </c>
      <c r="D1667" t="str">
        <f t="shared" si="52"/>
        <v>D</v>
      </c>
      <c r="E1667" t="str">
        <f t="shared" ref="E1667:E1730" si="53">+IF(D1667="*",MID(B1667,3,500),B1667)</f>
        <v>Del Cueto y Fernandez utilizan el aporte de Guattari para demarcar grupos- objeto y grupossujeto. En ese sentido ¿Cómo será visto todo desviante en los grupos-objeto?</v>
      </c>
    </row>
    <row r="1668" spans="1:5" x14ac:dyDescent="0.25">
      <c r="A1668">
        <v>1667</v>
      </c>
      <c r="B1668" t="s">
        <v>944</v>
      </c>
      <c r="C1668">
        <v>0</v>
      </c>
      <c r="D1668" t="str">
        <f t="shared" si="52"/>
        <v>a</v>
      </c>
      <c r="E1668" t="str">
        <f t="shared" si="53"/>
        <v>a) Como ausencia de cooperación en la fantasía grupal.</v>
      </c>
    </row>
    <row r="1669" spans="1:5" x14ac:dyDescent="0.25">
      <c r="A1669">
        <v>1668</v>
      </c>
      <c r="B1669" t="s">
        <v>945</v>
      </c>
      <c r="C1669">
        <v>0</v>
      </c>
      <c r="D1669" t="str">
        <f t="shared" si="52"/>
        <v>b</v>
      </c>
      <c r="E1669" t="str">
        <f t="shared" si="53"/>
        <v>b) Como un factor a corregir y encuadrar.</v>
      </c>
    </row>
    <row r="1670" spans="1:5" x14ac:dyDescent="0.25">
      <c r="A1670">
        <v>1669</v>
      </c>
      <c r="B1670" t="s">
        <v>946</v>
      </c>
      <c r="C1670">
        <v>0</v>
      </c>
      <c r="D1670" t="str">
        <f t="shared" si="52"/>
        <v>c</v>
      </c>
      <c r="E1670" t="str">
        <f t="shared" si="53"/>
        <v>c) Como un obstáculo a superar en el aprendizaje.</v>
      </c>
    </row>
    <row r="1671" spans="1:5" x14ac:dyDescent="0.25">
      <c r="A1671">
        <v>1670</v>
      </c>
      <c r="B1671" t="s">
        <v>947</v>
      </c>
      <c r="C1671">
        <v>0</v>
      </c>
      <c r="D1671" t="str">
        <f t="shared" si="52"/>
        <v>*</v>
      </c>
      <c r="E1671" t="str">
        <f t="shared" si="53"/>
        <v>d) Como un transgresor, un eventual peligro a expulsar.</v>
      </c>
    </row>
    <row r="1672" spans="1:5" x14ac:dyDescent="0.25">
      <c r="A1672">
        <v>1671</v>
      </c>
      <c r="B1672" t="s">
        <v>1848</v>
      </c>
      <c r="C1672">
        <v>1</v>
      </c>
      <c r="D1672" t="str">
        <f t="shared" si="52"/>
        <v>¿</v>
      </c>
      <c r="E1672" t="str">
        <f t="shared" si="53"/>
        <v>¿Cúales son los momentos que identifica Rosana Guber dentro de la dinámica general del trabajo de campo?</v>
      </c>
    </row>
    <row r="1673" spans="1:5" x14ac:dyDescent="0.25">
      <c r="A1673">
        <v>1672</v>
      </c>
      <c r="B1673" t="s">
        <v>948</v>
      </c>
      <c r="C1673">
        <v>0</v>
      </c>
      <c r="D1673" t="str">
        <f t="shared" si="52"/>
        <v>*</v>
      </c>
      <c r="E1673" t="str">
        <f t="shared" si="53"/>
        <v>a) Uno de apertura y otro de focalización y profundización.</v>
      </c>
    </row>
    <row r="1674" spans="1:5" x14ac:dyDescent="0.25">
      <c r="A1674">
        <v>1673</v>
      </c>
      <c r="B1674" t="s">
        <v>949</v>
      </c>
      <c r="C1674">
        <v>0</v>
      </c>
      <c r="D1674" t="str">
        <f t="shared" si="52"/>
        <v>b</v>
      </c>
      <c r="E1674" t="str">
        <f t="shared" si="53"/>
        <v>b) Uno de aproximación y otro de investigación e interpretación.</v>
      </c>
    </row>
    <row r="1675" spans="1:5" x14ac:dyDescent="0.25">
      <c r="A1675">
        <v>1674</v>
      </c>
      <c r="B1675" t="s">
        <v>950</v>
      </c>
      <c r="C1675">
        <v>0</v>
      </c>
      <c r="D1675" t="str">
        <f t="shared" si="52"/>
        <v>c</v>
      </c>
      <c r="E1675" t="str">
        <f t="shared" si="53"/>
        <v>c) Uno de contextualizacion y otro de la exploración de significados.</v>
      </c>
    </row>
    <row r="1676" spans="1:5" x14ac:dyDescent="0.25">
      <c r="A1676">
        <v>1675</v>
      </c>
      <c r="B1676" t="s">
        <v>951</v>
      </c>
      <c r="C1676">
        <v>0</v>
      </c>
      <c r="D1676" t="str">
        <f t="shared" si="52"/>
        <v>d</v>
      </c>
      <c r="E1676" t="str">
        <f t="shared" si="53"/>
        <v>d) Uno de indagación flotante y otro de centralización discursiva.</v>
      </c>
    </row>
    <row r="1677" spans="1:5" x14ac:dyDescent="0.25">
      <c r="A1677">
        <v>1676</v>
      </c>
      <c r="B1677" t="s">
        <v>1849</v>
      </c>
      <c r="C1677">
        <v>1</v>
      </c>
      <c r="D1677" t="str">
        <f t="shared" si="52"/>
        <v>S</v>
      </c>
      <c r="E1677" t="str">
        <f t="shared" si="53"/>
        <v>Según Rosana Guber, la entrevista antropológica se vale de tres procedimientos: la atención flotante del investigador, la asociación libre del informante. ¿Cúal es el tercero?</v>
      </c>
    </row>
    <row r="1678" spans="1:5" x14ac:dyDescent="0.25">
      <c r="A1678">
        <v>1677</v>
      </c>
      <c r="B1678" t="s">
        <v>952</v>
      </c>
      <c r="C1678">
        <v>0</v>
      </c>
      <c r="D1678" t="str">
        <f t="shared" si="52"/>
        <v>a</v>
      </c>
      <c r="E1678" t="str">
        <f t="shared" si="53"/>
        <v>a) La aproximación al universo de significados del entrevistado.</v>
      </c>
    </row>
    <row r="1679" spans="1:5" x14ac:dyDescent="0.25">
      <c r="A1679">
        <v>1678</v>
      </c>
      <c r="B1679" t="s">
        <v>953</v>
      </c>
      <c r="C1679">
        <v>0</v>
      </c>
      <c r="D1679" t="str">
        <f t="shared" si="52"/>
        <v>*</v>
      </c>
      <c r="E1679" t="str">
        <f t="shared" si="53"/>
        <v>b) La categorización diferida del investigador.</v>
      </c>
    </row>
    <row r="1680" spans="1:5" x14ac:dyDescent="0.25">
      <c r="A1680">
        <v>1679</v>
      </c>
      <c r="B1680" t="s">
        <v>954</v>
      </c>
      <c r="C1680">
        <v>0</v>
      </c>
      <c r="D1680" t="str">
        <f t="shared" si="52"/>
        <v>c</v>
      </c>
      <c r="E1680" t="str">
        <f t="shared" si="53"/>
        <v>c) La codificación de los marcos interpretativos de los actores intervinientes.</v>
      </c>
    </row>
    <row r="1681" spans="1:5" x14ac:dyDescent="0.25">
      <c r="A1681">
        <v>1680</v>
      </c>
      <c r="B1681" t="s">
        <v>955</v>
      </c>
      <c r="C1681">
        <v>0</v>
      </c>
      <c r="D1681" t="str">
        <f t="shared" si="52"/>
        <v>d</v>
      </c>
      <c r="E1681" t="str">
        <f t="shared" si="53"/>
        <v>d) La objetivación del marco interpretativo del entrevistado.</v>
      </c>
    </row>
    <row r="1682" spans="1:5" x14ac:dyDescent="0.25">
      <c r="A1682">
        <v>1681</v>
      </c>
      <c r="B1682" t="s">
        <v>1850</v>
      </c>
      <c r="C1682">
        <v>1</v>
      </c>
      <c r="D1682" t="str">
        <f t="shared" si="52"/>
        <v>C</v>
      </c>
      <c r="E1682" t="str">
        <f t="shared" si="53"/>
        <v>Cuando Mario Rovere refiere "expresar la aceptación del otro". ¿A qué nivel en la construcción de redes hace referencia?</v>
      </c>
    </row>
    <row r="1683" spans="1:5" x14ac:dyDescent="0.25">
      <c r="A1683">
        <v>1682</v>
      </c>
      <c r="B1683" t="s">
        <v>956</v>
      </c>
      <c r="C1683">
        <v>0</v>
      </c>
      <c r="D1683" t="str">
        <f t="shared" si="52"/>
        <v>a</v>
      </c>
      <c r="E1683" t="str">
        <f t="shared" si="53"/>
        <v>a) Alianza.</v>
      </c>
    </row>
    <row r="1684" spans="1:5" x14ac:dyDescent="0.25">
      <c r="A1684">
        <v>1683</v>
      </c>
      <c r="B1684" t="s">
        <v>957</v>
      </c>
      <c r="C1684">
        <v>0</v>
      </c>
      <c r="D1684" t="str">
        <f t="shared" si="52"/>
        <v>b</v>
      </c>
      <c r="E1684" t="str">
        <f t="shared" si="53"/>
        <v>b) Cooperación.</v>
      </c>
    </row>
    <row r="1685" spans="1:5" x14ac:dyDescent="0.25">
      <c r="A1685">
        <v>1684</v>
      </c>
      <c r="B1685" t="s">
        <v>958</v>
      </c>
      <c r="C1685">
        <v>0</v>
      </c>
      <c r="D1685" t="str">
        <f t="shared" si="52"/>
        <v>c</v>
      </c>
      <c r="E1685" t="str">
        <f t="shared" si="53"/>
        <v>c) Fusión.</v>
      </c>
    </row>
    <row r="1686" spans="1:5" x14ac:dyDescent="0.25">
      <c r="A1686">
        <v>1685</v>
      </c>
      <c r="B1686" t="s">
        <v>959</v>
      </c>
      <c r="C1686">
        <v>0</v>
      </c>
      <c r="D1686" t="str">
        <f t="shared" si="52"/>
        <v>*</v>
      </c>
      <c r="E1686" t="str">
        <f t="shared" si="53"/>
        <v>d) Reconocimiento.</v>
      </c>
    </row>
    <row r="1687" spans="1:5" x14ac:dyDescent="0.25">
      <c r="A1687">
        <v>1686</v>
      </c>
      <c r="B1687" t="s">
        <v>1851</v>
      </c>
      <c r="C1687">
        <v>1</v>
      </c>
      <c r="D1687" t="str">
        <f t="shared" si="52"/>
        <v>P</v>
      </c>
      <c r="E1687" t="str">
        <f t="shared" si="53"/>
        <v>Para Margarita Rozas, ¿Qué es lo que permite a los trabajadores sociales ubicar la intervención profesional en el marco de las problemáticas derivadas de la producción y reproducción de la vida social como expresión de la cuestión social?</v>
      </c>
    </row>
    <row r="1688" spans="1:5" x14ac:dyDescent="0.25">
      <c r="A1688">
        <v>1687</v>
      </c>
      <c r="B1688" t="s">
        <v>960</v>
      </c>
      <c r="C1688">
        <v>0</v>
      </c>
      <c r="D1688" t="str">
        <f t="shared" si="52"/>
        <v>a</v>
      </c>
      <c r="E1688" t="str">
        <f t="shared" si="53"/>
        <v>a) Desarrollar mejores niveles de bienestar social en la población.</v>
      </c>
    </row>
    <row r="1689" spans="1:5" x14ac:dyDescent="0.25">
      <c r="A1689">
        <v>1688</v>
      </c>
      <c r="B1689" t="s">
        <v>961</v>
      </c>
      <c r="C1689">
        <v>0</v>
      </c>
      <c r="D1689" t="str">
        <f t="shared" si="52"/>
        <v>b</v>
      </c>
      <c r="E1689" t="str">
        <f t="shared" si="53"/>
        <v>b) Mejorar las condiciones de trabajo de los asalariados.</v>
      </c>
    </row>
    <row r="1690" spans="1:5" x14ac:dyDescent="0.25">
      <c r="A1690">
        <v>1689</v>
      </c>
      <c r="B1690" t="s">
        <v>962</v>
      </c>
      <c r="C1690">
        <v>0</v>
      </c>
      <c r="D1690" t="str">
        <f t="shared" si="52"/>
        <v>c</v>
      </c>
      <c r="E1690" t="str">
        <f t="shared" si="53"/>
        <v>c) Realizar diagnósticos sociales adecuados a las necesidades sociales.</v>
      </c>
    </row>
    <row r="1691" spans="1:5" x14ac:dyDescent="0.25">
      <c r="A1691">
        <v>1690</v>
      </c>
      <c r="B1691" t="s">
        <v>963</v>
      </c>
      <c r="C1691">
        <v>0</v>
      </c>
      <c r="D1691" t="str">
        <f t="shared" si="52"/>
        <v>*</v>
      </c>
      <c r="E1691" t="str">
        <f t="shared" si="53"/>
        <v>d) Revalorizar la capacidad transformativa de los actores.</v>
      </c>
    </row>
    <row r="1692" spans="1:5" x14ac:dyDescent="0.25">
      <c r="A1692">
        <v>1691</v>
      </c>
      <c r="B1692" t="s">
        <v>1852</v>
      </c>
      <c r="C1692">
        <v>1</v>
      </c>
      <c r="D1692" t="str">
        <f t="shared" si="52"/>
        <v>D</v>
      </c>
      <c r="E1692" t="str">
        <f t="shared" si="53"/>
        <v>De acuerdo con Margarita Rozas, el concepto de vida cotidiana fue variando con cada momento histórico. Según la autora, ¿En qué período de pensamiento la vida cotidiana fue considerada como el ámbito doméstico-privado?</v>
      </c>
    </row>
    <row r="1693" spans="1:5" x14ac:dyDescent="0.25">
      <c r="A1693">
        <v>1692</v>
      </c>
      <c r="B1693" t="s">
        <v>964</v>
      </c>
      <c r="C1693">
        <v>0</v>
      </c>
      <c r="D1693" t="str">
        <f t="shared" si="52"/>
        <v>a</v>
      </c>
      <c r="E1693" t="str">
        <f t="shared" si="53"/>
        <v>a) En el cristianismo.</v>
      </c>
    </row>
    <row r="1694" spans="1:5" x14ac:dyDescent="0.25">
      <c r="A1694">
        <v>1693</v>
      </c>
      <c r="B1694" t="s">
        <v>965</v>
      </c>
      <c r="C1694">
        <v>0</v>
      </c>
      <c r="D1694" t="str">
        <f t="shared" si="52"/>
        <v>*</v>
      </c>
      <c r="E1694" t="str">
        <f t="shared" si="53"/>
        <v>b) En el griego-clásico.</v>
      </c>
    </row>
    <row r="1695" spans="1:5" x14ac:dyDescent="0.25">
      <c r="A1695">
        <v>1694</v>
      </c>
      <c r="B1695" t="s">
        <v>966</v>
      </c>
      <c r="C1695">
        <v>0</v>
      </c>
      <c r="D1695" t="str">
        <f t="shared" si="52"/>
        <v>c</v>
      </c>
      <c r="E1695" t="str">
        <f t="shared" si="53"/>
        <v>c) En el marxismo.</v>
      </c>
    </row>
    <row r="1696" spans="1:5" x14ac:dyDescent="0.25">
      <c r="A1696">
        <v>1695</v>
      </c>
      <c r="B1696" t="s">
        <v>967</v>
      </c>
      <c r="C1696">
        <v>0</v>
      </c>
      <c r="D1696" t="str">
        <f t="shared" si="52"/>
        <v>d</v>
      </c>
      <c r="E1696" t="str">
        <f t="shared" si="53"/>
        <v>d) En el romanticismo.</v>
      </c>
    </row>
    <row r="1697" spans="1:5" x14ac:dyDescent="0.25">
      <c r="A1697">
        <v>1696</v>
      </c>
      <c r="B1697" s="1" t="s">
        <v>1853</v>
      </c>
      <c r="C1697">
        <v>1</v>
      </c>
      <c r="D1697" t="str">
        <f t="shared" si="52"/>
        <v>¿</v>
      </c>
      <c r="E1697" t="str">
        <f t="shared" si="53"/>
        <v>¿A qué momento del proceso metodológico en la intervención profesional se refiere Margarita Rozas cuando dice "combina dos actividades que consisten en ordenar la información obtenida, y reflexionar desde las categorías de análisis referidas a la problemática central?</v>
      </c>
    </row>
    <row r="1698" spans="1:5" x14ac:dyDescent="0.25">
      <c r="A1698">
        <v>1697</v>
      </c>
      <c r="B1698" t="s">
        <v>968</v>
      </c>
      <c r="C1698">
        <v>0</v>
      </c>
      <c r="D1698" t="str">
        <f t="shared" si="52"/>
        <v>a</v>
      </c>
      <c r="E1698" t="str">
        <f t="shared" si="53"/>
        <v>a) La evaluación.</v>
      </c>
    </row>
    <row r="1699" spans="1:5" x14ac:dyDescent="0.25">
      <c r="A1699">
        <v>1698</v>
      </c>
      <c r="B1699" t="s">
        <v>969</v>
      </c>
      <c r="C1699">
        <v>0</v>
      </c>
      <c r="D1699" t="str">
        <f t="shared" si="52"/>
        <v>b</v>
      </c>
      <c r="E1699" t="str">
        <f t="shared" si="53"/>
        <v>b) La inserción.</v>
      </c>
    </row>
    <row r="1700" spans="1:5" x14ac:dyDescent="0.25">
      <c r="A1700">
        <v>1699</v>
      </c>
      <c r="B1700" t="s">
        <v>970</v>
      </c>
      <c r="C1700">
        <v>0</v>
      </c>
      <c r="D1700" t="str">
        <f t="shared" ref="D1700:D1763" si="54">+MID(B1700,1,1)</f>
        <v>c</v>
      </c>
      <c r="E1700" t="str">
        <f t="shared" si="53"/>
        <v>c) La planificación.</v>
      </c>
    </row>
    <row r="1701" spans="1:5" x14ac:dyDescent="0.25">
      <c r="A1701">
        <v>1700</v>
      </c>
      <c r="B1701" t="s">
        <v>971</v>
      </c>
      <c r="C1701">
        <v>0</v>
      </c>
      <c r="D1701" t="str">
        <f t="shared" si="54"/>
        <v>*</v>
      </c>
      <c r="E1701" t="str">
        <f t="shared" si="53"/>
        <v>d) El diagnóstico.</v>
      </c>
    </row>
    <row r="1702" spans="1:5" x14ac:dyDescent="0.25">
      <c r="A1702">
        <v>1701</v>
      </c>
      <c r="B1702" s="1" t="s">
        <v>1854</v>
      </c>
      <c r="C1702">
        <v>1</v>
      </c>
      <c r="D1702" t="str">
        <f t="shared" si="54"/>
        <v>S</v>
      </c>
      <c r="E1702" t="str">
        <f t="shared" si="53"/>
        <v>Según María Lucía Martinelli, el pauperismo creció tanto en Europa durante el siglo XIX que su atención ya no podía restringirse a las iniciativas de particulares o de la Iglesia, era preciso movilizar el propio Estado incorporando la práctica de la asistencia.¿Cómo se incorporó dicha práctica?</v>
      </c>
    </row>
    <row r="1703" spans="1:5" x14ac:dyDescent="0.25">
      <c r="A1703">
        <v>1702</v>
      </c>
      <c r="B1703" t="s">
        <v>972</v>
      </c>
      <c r="C1703">
        <v>0</v>
      </c>
      <c r="D1703" t="str">
        <f t="shared" si="54"/>
        <v>a</v>
      </c>
      <c r="E1703" t="str">
        <f t="shared" si="53"/>
        <v>a) Como dispositivos filantrópicos organizados.</v>
      </c>
    </row>
    <row r="1704" spans="1:5" x14ac:dyDescent="0.25">
      <c r="A1704">
        <v>1703</v>
      </c>
      <c r="B1704" t="s">
        <v>973</v>
      </c>
      <c r="C1704">
        <v>0</v>
      </c>
      <c r="D1704" t="str">
        <f t="shared" si="54"/>
        <v>b</v>
      </c>
      <c r="E1704" t="str">
        <f t="shared" si="53"/>
        <v>b) Como reinvindicaciones de la clase trabajadora.</v>
      </c>
    </row>
    <row r="1705" spans="1:5" x14ac:dyDescent="0.25">
      <c r="A1705">
        <v>1704</v>
      </c>
      <c r="B1705" t="s">
        <v>974</v>
      </c>
      <c r="C1705">
        <v>0</v>
      </c>
      <c r="D1705" t="str">
        <f t="shared" si="54"/>
        <v>c</v>
      </c>
      <c r="E1705" t="str">
        <f t="shared" si="53"/>
        <v>c) Como un artilugio de la política gubernamental.</v>
      </c>
    </row>
    <row r="1706" spans="1:5" x14ac:dyDescent="0.25">
      <c r="A1706">
        <v>1705</v>
      </c>
      <c r="B1706" t="s">
        <v>975</v>
      </c>
      <c r="C1706">
        <v>0</v>
      </c>
      <c r="D1706" t="str">
        <f t="shared" si="54"/>
        <v>*</v>
      </c>
      <c r="E1706" t="str">
        <f t="shared" si="53"/>
        <v>d) Como un instrumento de control social.</v>
      </c>
    </row>
    <row r="1707" spans="1:5" x14ac:dyDescent="0.25">
      <c r="A1707">
        <v>1706</v>
      </c>
      <c r="B1707" t="s">
        <v>1855</v>
      </c>
      <c r="C1707">
        <v>1</v>
      </c>
      <c r="D1707" t="str">
        <f t="shared" si="54"/>
        <v>S</v>
      </c>
      <c r="E1707" t="str">
        <f t="shared" si="53"/>
        <v xml:space="preserve">Según Lucía Martinelli, ¿Cómo concebía Mary Richmond la tarea asistencial? </v>
      </c>
    </row>
    <row r="1708" spans="1:5" x14ac:dyDescent="0.25">
      <c r="A1708">
        <v>1707</v>
      </c>
      <c r="B1708" t="s">
        <v>976</v>
      </c>
      <c r="C1708">
        <v>0</v>
      </c>
      <c r="D1708" t="str">
        <f t="shared" si="54"/>
        <v>a</v>
      </c>
      <c r="E1708" t="str">
        <f t="shared" si="53"/>
        <v>a) Benefactora y con participación activa del individuo.</v>
      </c>
    </row>
    <row r="1709" spans="1:5" x14ac:dyDescent="0.25">
      <c r="A1709">
        <v>1708</v>
      </c>
      <c r="B1709" t="s">
        <v>977</v>
      </c>
      <c r="C1709">
        <v>0</v>
      </c>
      <c r="D1709" t="str">
        <f t="shared" si="54"/>
        <v>b</v>
      </c>
      <c r="E1709" t="str">
        <f t="shared" si="53"/>
        <v>b) Organizada y sistematizada para la investigación social.</v>
      </c>
    </row>
    <row r="1710" spans="1:5" x14ac:dyDescent="0.25">
      <c r="A1710">
        <v>1709</v>
      </c>
      <c r="B1710" t="s">
        <v>978</v>
      </c>
      <c r="C1710">
        <v>0</v>
      </c>
      <c r="D1710" t="str">
        <f t="shared" si="54"/>
        <v>*</v>
      </c>
      <c r="E1710" t="str">
        <f t="shared" si="53"/>
        <v>c) Reintegradora y reformadora del carácter.</v>
      </c>
    </row>
    <row r="1711" spans="1:5" x14ac:dyDescent="0.25">
      <c r="A1711">
        <v>1710</v>
      </c>
      <c r="B1711" t="s">
        <v>979</v>
      </c>
      <c r="C1711">
        <v>0</v>
      </c>
      <c r="D1711" t="str">
        <f t="shared" si="54"/>
        <v>d</v>
      </c>
      <c r="E1711" t="str">
        <f t="shared" si="53"/>
        <v>d) Reinvindicativa de los derechos sociales.</v>
      </c>
    </row>
    <row r="1712" spans="1:5" x14ac:dyDescent="0.25">
      <c r="A1712">
        <v>1711</v>
      </c>
      <c r="B1712" t="s">
        <v>1856</v>
      </c>
      <c r="C1712">
        <v>1</v>
      </c>
      <c r="D1712" t="str">
        <f t="shared" si="54"/>
        <v>E</v>
      </c>
      <c r="E1712" t="str">
        <f t="shared" si="53"/>
        <v>En M. Lucía Martinelli, según la Sociedad de Organización de la Caridad, ¿Qué se podría asegurar cohibiendo las prácticas de la clase trabajadora, impidiendo sus manifestaciones colectivas y manteniendo un control sobre la "cuestión social"?</v>
      </c>
    </row>
    <row r="1713" spans="1:5" x14ac:dyDescent="0.25">
      <c r="A1713">
        <v>1712</v>
      </c>
      <c r="B1713" t="s">
        <v>980</v>
      </c>
      <c r="C1713">
        <v>0</v>
      </c>
      <c r="D1713" t="str">
        <f t="shared" si="54"/>
        <v>*</v>
      </c>
      <c r="E1713" t="str">
        <f t="shared" si="53"/>
        <v>a) El funcionamiento social adecuado.</v>
      </c>
    </row>
    <row r="1714" spans="1:5" x14ac:dyDescent="0.25">
      <c r="A1714">
        <v>1713</v>
      </c>
      <c r="B1714" t="s">
        <v>981</v>
      </c>
      <c r="C1714">
        <v>0</v>
      </c>
      <c r="D1714" t="str">
        <f t="shared" si="54"/>
        <v>b</v>
      </c>
      <c r="E1714" t="str">
        <f t="shared" si="53"/>
        <v>b) El final de la lucha de clases.</v>
      </c>
    </row>
    <row r="1715" spans="1:5" x14ac:dyDescent="0.25">
      <c r="A1715">
        <v>1714</v>
      </c>
      <c r="B1715" t="s">
        <v>982</v>
      </c>
      <c r="C1715">
        <v>0</v>
      </c>
      <c r="D1715" t="str">
        <f t="shared" si="54"/>
        <v>c</v>
      </c>
      <c r="E1715" t="str">
        <f t="shared" si="53"/>
        <v>c) La consolidación del Estado Capitalista.</v>
      </c>
    </row>
    <row r="1716" spans="1:5" x14ac:dyDescent="0.25">
      <c r="A1716">
        <v>1715</v>
      </c>
      <c r="B1716" t="s">
        <v>983</v>
      </c>
      <c r="C1716">
        <v>0</v>
      </c>
      <c r="D1716" t="str">
        <f t="shared" si="54"/>
        <v>d</v>
      </c>
      <c r="E1716" t="str">
        <f t="shared" si="53"/>
        <v>d) La mejora en las condiciones de vida de la población.</v>
      </c>
    </row>
    <row r="1717" spans="1:5" x14ac:dyDescent="0.25">
      <c r="A1717">
        <v>1716</v>
      </c>
      <c r="B1717" t="s">
        <v>1857</v>
      </c>
      <c r="C1717">
        <v>1</v>
      </c>
      <c r="D1717" t="str">
        <f t="shared" si="54"/>
        <v>E</v>
      </c>
      <c r="E1717" t="str">
        <f t="shared" si="53"/>
        <v>En el texto "La investigación diagnóstica en Trabajo Social", según Bibiana Travi, ¿Con qué suelen confundir los trabajadores sociales, la demanda explícita que formula un sujeto?</v>
      </c>
    </row>
    <row r="1718" spans="1:5" x14ac:dyDescent="0.25">
      <c r="A1718">
        <v>1717</v>
      </c>
      <c r="B1718" t="s">
        <v>984</v>
      </c>
      <c r="C1718">
        <v>0</v>
      </c>
      <c r="D1718" t="str">
        <f t="shared" si="54"/>
        <v>*</v>
      </c>
      <c r="E1718" t="str">
        <f t="shared" si="53"/>
        <v>a) Con el problema objeto de intervención.</v>
      </c>
    </row>
    <row r="1719" spans="1:5" x14ac:dyDescent="0.25">
      <c r="A1719">
        <v>1718</v>
      </c>
      <c r="B1719" t="s">
        <v>985</v>
      </c>
      <c r="C1719">
        <v>0</v>
      </c>
      <c r="D1719" t="str">
        <f t="shared" si="54"/>
        <v>b</v>
      </c>
      <c r="E1719" t="str">
        <f t="shared" si="53"/>
        <v>b) Con la causa estructural de la problemática.</v>
      </c>
    </row>
    <row r="1720" spans="1:5" x14ac:dyDescent="0.25">
      <c r="A1720">
        <v>1719</v>
      </c>
      <c r="B1720" t="s">
        <v>986</v>
      </c>
      <c r="C1720">
        <v>0</v>
      </c>
      <c r="D1720" t="str">
        <f t="shared" si="54"/>
        <v>c</v>
      </c>
      <c r="E1720" t="str">
        <f t="shared" si="53"/>
        <v>c) Con las necesidades sentidas de la población.</v>
      </c>
    </row>
    <row r="1721" spans="1:5" x14ac:dyDescent="0.25">
      <c r="A1721">
        <v>1720</v>
      </c>
      <c r="B1721" t="s">
        <v>987</v>
      </c>
      <c r="C1721">
        <v>0</v>
      </c>
      <c r="D1721" t="str">
        <f t="shared" si="54"/>
        <v>d</v>
      </c>
      <c r="E1721" t="str">
        <f t="shared" si="53"/>
        <v>d) Con las limitaciones del individuo.</v>
      </c>
    </row>
    <row r="1722" spans="1:5" x14ac:dyDescent="0.25">
      <c r="A1722">
        <v>1721</v>
      </c>
      <c r="B1722" t="s">
        <v>1858</v>
      </c>
      <c r="C1722">
        <v>1</v>
      </c>
      <c r="D1722" t="str">
        <f t="shared" si="54"/>
        <v>P</v>
      </c>
      <c r="E1722" t="str">
        <f t="shared" si="53"/>
        <v>Para Bibiana Travi, cuando Mary Richmond denuncia el enfoque exclusivamente económico en loas modalidades de ayuda y organización de los servicios sociales ¿Cuál es la perspectiva quepropone?</v>
      </c>
    </row>
    <row r="1723" spans="1:5" x14ac:dyDescent="0.25">
      <c r="A1723">
        <v>1722</v>
      </c>
      <c r="B1723" t="s">
        <v>988</v>
      </c>
      <c r="C1723">
        <v>0</v>
      </c>
      <c r="D1723" t="str">
        <f t="shared" si="54"/>
        <v>a</v>
      </c>
      <c r="E1723" t="str">
        <f t="shared" si="53"/>
        <v>a) Disminución de la discriminación.</v>
      </c>
    </row>
    <row r="1724" spans="1:5" x14ac:dyDescent="0.25">
      <c r="A1724">
        <v>1723</v>
      </c>
      <c r="B1724" t="s">
        <v>989</v>
      </c>
      <c r="C1724">
        <v>0</v>
      </c>
      <c r="D1724" t="str">
        <f t="shared" si="54"/>
        <v>b</v>
      </c>
      <c r="E1724" t="str">
        <f t="shared" si="53"/>
        <v>b) Enfoque moralizante.</v>
      </c>
    </row>
    <row r="1725" spans="1:5" x14ac:dyDescent="0.25">
      <c r="A1725">
        <v>1724</v>
      </c>
      <c r="B1725" t="s">
        <v>990</v>
      </c>
      <c r="C1725">
        <v>0</v>
      </c>
      <c r="D1725" t="str">
        <f t="shared" si="54"/>
        <v>*</v>
      </c>
      <c r="E1725" t="str">
        <f t="shared" si="53"/>
        <v>c) Mayor integralidad.</v>
      </c>
    </row>
    <row r="1726" spans="1:5" x14ac:dyDescent="0.25">
      <c r="A1726">
        <v>1725</v>
      </c>
      <c r="B1726" t="s">
        <v>991</v>
      </c>
      <c r="C1726">
        <v>0</v>
      </c>
      <c r="D1726" t="str">
        <f t="shared" si="54"/>
        <v>d</v>
      </c>
      <c r="E1726" t="str">
        <f t="shared" si="53"/>
        <v>d) Rutinización de prácticas profesionales.</v>
      </c>
    </row>
    <row r="1727" spans="1:5" x14ac:dyDescent="0.25">
      <c r="A1727">
        <v>1726</v>
      </c>
      <c r="B1727" s="1" t="s">
        <v>1859</v>
      </c>
      <c r="C1727">
        <v>1</v>
      </c>
      <c r="D1727" t="str">
        <f t="shared" si="54"/>
        <v>E</v>
      </c>
      <c r="E1727" t="str">
        <f t="shared" si="53"/>
        <v>En el libro "La dimensión Técnico- instrumental en Trabajo Social", Bibiana Travia señala que en Estados Unidos los pragmáticos formaron parte de una generación y de un movimiento intelectual para los que la resolución de los problemas sociales no podía estar escindida de la investigación y de una práctica política y académica coherente con los principios ético-políticos. ¿Cuál era uno de estos principios que ellos citaban?</v>
      </c>
    </row>
    <row r="1728" spans="1:5" x14ac:dyDescent="0.25">
      <c r="A1728">
        <v>1727</v>
      </c>
      <c r="B1728" t="s">
        <v>992</v>
      </c>
      <c r="C1728">
        <v>0</v>
      </c>
      <c r="D1728" t="str">
        <f t="shared" si="54"/>
        <v>a</v>
      </c>
      <c r="E1728" t="str">
        <f t="shared" si="53"/>
        <v>a) El desarrollo constante de la solidaridad.</v>
      </c>
    </row>
    <row r="1729" spans="1:5" x14ac:dyDescent="0.25">
      <c r="A1729">
        <v>1728</v>
      </c>
      <c r="B1729" t="s">
        <v>993</v>
      </c>
      <c r="C1729">
        <v>0</v>
      </c>
      <c r="D1729" t="str">
        <f t="shared" si="54"/>
        <v>b</v>
      </c>
      <c r="E1729" t="str">
        <f t="shared" si="53"/>
        <v>b) El favorecimiento creciente de la participación social.</v>
      </c>
    </row>
    <row r="1730" spans="1:5" x14ac:dyDescent="0.25">
      <c r="A1730">
        <v>1729</v>
      </c>
      <c r="B1730" t="s">
        <v>994</v>
      </c>
      <c r="C1730">
        <v>0</v>
      </c>
      <c r="D1730" t="str">
        <f t="shared" si="54"/>
        <v>*</v>
      </c>
      <c r="E1730" t="str">
        <f t="shared" si="53"/>
        <v>c) La defensa irrestricta de la democracia.</v>
      </c>
    </row>
    <row r="1731" spans="1:5" x14ac:dyDescent="0.25">
      <c r="A1731">
        <v>1730</v>
      </c>
      <c r="B1731" t="s">
        <v>995</v>
      </c>
      <c r="C1731">
        <v>0</v>
      </c>
      <c r="D1731" t="str">
        <f t="shared" si="54"/>
        <v>d</v>
      </c>
      <c r="E1731" t="str">
        <f t="shared" ref="E1731:E1794" si="55">+IF(D1731="*",MID(B1731,3,500),B1731)</f>
        <v>d) La organización sostenida de las organizaciones no gubernamentales.</v>
      </c>
    </row>
    <row r="1732" spans="1:5" x14ac:dyDescent="0.25">
      <c r="A1732">
        <v>1731</v>
      </c>
      <c r="B1732" s="1" t="s">
        <v>1860</v>
      </c>
      <c r="C1732">
        <v>1</v>
      </c>
      <c r="D1732" t="str">
        <f t="shared" si="54"/>
        <v>P</v>
      </c>
      <c r="E1732" t="str">
        <f t="shared" si="55"/>
        <v>Para Bibiana Travi en "La dimensión Técnico- Instrumental", las rupturas del Trabajo Social profesionalizado con las prácticas de beneficencia abarca distintas dimensiones constitutivas de la disciplina, ¿Cuál es, según la autora, la nueva concepción de los sujetos que se desarrolla?</v>
      </c>
    </row>
    <row r="1733" spans="1:5" x14ac:dyDescent="0.25">
      <c r="A1733">
        <v>1732</v>
      </c>
      <c r="B1733" t="s">
        <v>996</v>
      </c>
      <c r="C1733">
        <v>0</v>
      </c>
      <c r="D1733" t="str">
        <f t="shared" si="54"/>
        <v>a</v>
      </c>
      <c r="E1733" t="str">
        <f t="shared" si="55"/>
        <v>a) Individuos cuyas características personales son la causa de sus problemas pero capaces de mejorar su situación.</v>
      </c>
    </row>
    <row r="1734" spans="1:5" x14ac:dyDescent="0.25">
      <c r="A1734">
        <v>1733</v>
      </c>
      <c r="B1734" t="s">
        <v>997</v>
      </c>
      <c r="C1734">
        <v>0</v>
      </c>
      <c r="D1734" t="str">
        <f t="shared" si="54"/>
        <v>b</v>
      </c>
      <c r="E1734" t="str">
        <f t="shared" si="55"/>
        <v>b) Personas carecientes, objeto de asistencia y corrección.</v>
      </c>
    </row>
    <row r="1735" spans="1:5" x14ac:dyDescent="0.25">
      <c r="A1735">
        <v>1734</v>
      </c>
      <c r="B1735" t="s">
        <v>998</v>
      </c>
      <c r="C1735">
        <v>0</v>
      </c>
      <c r="D1735" t="str">
        <f t="shared" si="54"/>
        <v>*</v>
      </c>
      <c r="E1735" t="str">
        <f t="shared" si="55"/>
        <v>c) Sujetos de derecho, activos, capaces de cambio y modificación de su entorno.</v>
      </c>
    </row>
    <row r="1736" spans="1:5" x14ac:dyDescent="0.25">
      <c r="A1736">
        <v>1735</v>
      </c>
      <c r="B1736" t="s">
        <v>999</v>
      </c>
      <c r="C1736">
        <v>0</v>
      </c>
      <c r="D1736" t="str">
        <f t="shared" si="54"/>
        <v>d</v>
      </c>
      <c r="E1736" t="str">
        <f t="shared" si="55"/>
        <v>d) Sujetos merecedores de asistencia, responsables de sus problemas sociales.</v>
      </c>
    </row>
    <row r="1737" spans="1:5" x14ac:dyDescent="0.25">
      <c r="A1737">
        <v>1736</v>
      </c>
      <c r="B1737" t="s">
        <v>1861</v>
      </c>
      <c r="C1737">
        <v>1</v>
      </c>
      <c r="D1737" t="str">
        <f t="shared" si="54"/>
        <v>¿</v>
      </c>
      <c r="E1737" t="str">
        <f t="shared" si="55"/>
        <v>¿Cómo define Pichardo Muñiz al momento de configurar el objeto de intervención dentro de la elaboración de diagnósticos para la toma de decisiones?</v>
      </c>
    </row>
    <row r="1738" spans="1:5" x14ac:dyDescent="0.25">
      <c r="A1738">
        <v>1737</v>
      </c>
      <c r="B1738" t="s">
        <v>1000</v>
      </c>
      <c r="C1738">
        <v>0</v>
      </c>
      <c r="D1738" t="str">
        <f t="shared" si="54"/>
        <v>a</v>
      </c>
      <c r="E1738" t="str">
        <f t="shared" si="55"/>
        <v xml:space="preserve">a) Como el análisis y la evaluación de las respuestas institucionales vinculadas con el área de intervención de la temática seleccionada y delimitada. </v>
      </c>
    </row>
    <row r="1739" spans="1:5" x14ac:dyDescent="0.25">
      <c r="A1739">
        <v>1738</v>
      </c>
      <c r="B1739" t="s">
        <v>1001</v>
      </c>
      <c r="C1739">
        <v>0</v>
      </c>
      <c r="D1739" t="str">
        <f t="shared" si="54"/>
        <v>b</v>
      </c>
      <c r="E1739" t="str">
        <f t="shared" si="55"/>
        <v>b) Como la caracterización y análisis de la acción de los actores considerando su comportamiento, como así también la tendencia histórica que lo origina y explica.</v>
      </c>
    </row>
    <row r="1740" spans="1:5" x14ac:dyDescent="0.25">
      <c r="A1740">
        <v>1739</v>
      </c>
      <c r="B1740" t="s">
        <v>1002</v>
      </c>
      <c r="C1740">
        <v>0</v>
      </c>
      <c r="D1740" t="str">
        <f t="shared" si="54"/>
        <v>c</v>
      </c>
      <c r="E1740" t="str">
        <f t="shared" si="55"/>
        <v>c) Como la definición a partir de una determinada perspectiva de análisis y selección de categorías conceptuales para esclarecer el problema de interés.</v>
      </c>
    </row>
    <row r="1741" spans="1:5" x14ac:dyDescent="0.25">
      <c r="A1741">
        <v>1740</v>
      </c>
      <c r="B1741" t="s">
        <v>1003</v>
      </c>
      <c r="C1741">
        <v>0</v>
      </c>
      <c r="D1741" t="str">
        <f t="shared" si="54"/>
        <v>*</v>
      </c>
      <c r="E1741" t="str">
        <f t="shared" si="55"/>
        <v>d) Como la especificación espacial y temporal del área problemática a la que irán dirigidos los programas que se formularán posteriormente.</v>
      </c>
    </row>
    <row r="1742" spans="1:5" x14ac:dyDescent="0.25">
      <c r="A1742">
        <v>1741</v>
      </c>
      <c r="B1742" s="1" t="s">
        <v>1862</v>
      </c>
      <c r="C1742">
        <v>1</v>
      </c>
      <c r="D1742" t="str">
        <f t="shared" si="54"/>
        <v>L</v>
      </c>
      <c r="E1742" t="str">
        <f t="shared" si="55"/>
        <v>La propuesta de Aguilar Idáñez en cuanto al modo de establecer las relaciones de supervisión, seinspira en Carl Rogers y se resumen en tres características: Brindar aprecio, aceptación y confianza; Comprensión empática ¿Qué otra característica menciona la autora?</v>
      </c>
    </row>
    <row r="1743" spans="1:5" x14ac:dyDescent="0.25">
      <c r="A1743">
        <v>1742</v>
      </c>
      <c r="B1743" t="s">
        <v>1004</v>
      </c>
      <c r="C1743">
        <v>0</v>
      </c>
      <c r="D1743" t="str">
        <f t="shared" si="54"/>
        <v>a</v>
      </c>
      <c r="E1743" t="str">
        <f t="shared" si="55"/>
        <v>a) Establecer un diálogo claro con el entrevistado.</v>
      </c>
    </row>
    <row r="1744" spans="1:5" x14ac:dyDescent="0.25">
      <c r="A1744">
        <v>1743</v>
      </c>
      <c r="B1744" t="s">
        <v>1005</v>
      </c>
      <c r="C1744">
        <v>0</v>
      </c>
      <c r="D1744" t="str">
        <f t="shared" si="54"/>
        <v>*</v>
      </c>
      <c r="E1744" t="str">
        <f t="shared" si="55"/>
        <v>b) La relación debe ser auténtica.</v>
      </c>
    </row>
    <row r="1745" spans="1:5" x14ac:dyDescent="0.25">
      <c r="A1745">
        <v>1744</v>
      </c>
      <c r="B1745" t="s">
        <v>1006</v>
      </c>
      <c r="C1745">
        <v>0</v>
      </c>
      <c r="D1745" t="str">
        <f t="shared" si="54"/>
        <v>c</v>
      </c>
      <c r="E1745" t="str">
        <f t="shared" si="55"/>
        <v>c) La relación no debe ser simétrica.</v>
      </c>
    </row>
    <row r="1746" spans="1:5" x14ac:dyDescent="0.25">
      <c r="A1746">
        <v>1745</v>
      </c>
      <c r="B1746" t="s">
        <v>1007</v>
      </c>
      <c r="C1746">
        <v>0</v>
      </c>
      <c r="D1746" t="str">
        <f t="shared" si="54"/>
        <v>d</v>
      </c>
      <c r="E1746" t="str">
        <f t="shared" si="55"/>
        <v>d) Pautar y organizar los encuentros con anticipación.</v>
      </c>
    </row>
    <row r="1747" spans="1:5" x14ac:dyDescent="0.25">
      <c r="A1747">
        <v>1746</v>
      </c>
      <c r="B1747" t="s">
        <v>1863</v>
      </c>
      <c r="C1747">
        <v>1</v>
      </c>
      <c r="D1747" t="str">
        <f t="shared" si="54"/>
        <v>E</v>
      </c>
      <c r="E1747" t="str">
        <f t="shared" si="55"/>
        <v>En Cáceres y otros, según Van Foerster Heinz, ¿Qué determina la manera en que se formula una pregunta?</v>
      </c>
    </row>
    <row r="1748" spans="1:5" x14ac:dyDescent="0.25">
      <c r="A1748">
        <v>1747</v>
      </c>
      <c r="B1748" t="s">
        <v>1008</v>
      </c>
      <c r="C1748">
        <v>0</v>
      </c>
      <c r="D1748" t="str">
        <f t="shared" si="54"/>
        <v>*</v>
      </c>
      <c r="E1748" t="str">
        <f t="shared" si="55"/>
        <v>a) El camino por el que se puede encontrar una respuesta.</v>
      </c>
    </row>
    <row r="1749" spans="1:5" x14ac:dyDescent="0.25">
      <c r="A1749">
        <v>1748</v>
      </c>
      <c r="B1749" t="s">
        <v>1009</v>
      </c>
      <c r="C1749">
        <v>0</v>
      </c>
      <c r="D1749" t="str">
        <f t="shared" si="54"/>
        <v>b</v>
      </c>
      <c r="E1749" t="str">
        <f t="shared" si="55"/>
        <v>b) El marco institucional y las normas donde se lleva a cabo la entrevista.</v>
      </c>
    </row>
    <row r="1750" spans="1:5" x14ac:dyDescent="0.25">
      <c r="A1750">
        <v>1749</v>
      </c>
      <c r="B1750" t="s">
        <v>1010</v>
      </c>
      <c r="C1750">
        <v>0</v>
      </c>
      <c r="D1750" t="str">
        <f t="shared" si="54"/>
        <v>c</v>
      </c>
      <c r="E1750" t="str">
        <f t="shared" si="55"/>
        <v>c) La ideología del profesional que desarrolla la intervención.</v>
      </c>
    </row>
    <row r="1751" spans="1:5" x14ac:dyDescent="0.25">
      <c r="A1751">
        <v>1750</v>
      </c>
      <c r="B1751" t="s">
        <v>1011</v>
      </c>
      <c r="C1751">
        <v>0</v>
      </c>
      <c r="D1751" t="str">
        <f t="shared" si="54"/>
        <v>d</v>
      </c>
      <c r="E1751" t="str">
        <f t="shared" si="55"/>
        <v>d) La posibilidad que el entrevistado pueda acceder a lo solicitado.</v>
      </c>
    </row>
    <row r="1752" spans="1:5" x14ac:dyDescent="0.25">
      <c r="A1752">
        <v>1751</v>
      </c>
      <c r="B1752" t="s">
        <v>1864</v>
      </c>
      <c r="C1752">
        <v>1</v>
      </c>
      <c r="D1752" t="str">
        <f t="shared" si="54"/>
        <v>S</v>
      </c>
      <c r="E1752" t="str">
        <f t="shared" si="55"/>
        <v>Según Mastrangelo de De Pamphilis ¿Cuál es la estructura que se requiere construir para organizar los distintos elementos intervinientes en la investigación?</v>
      </c>
    </row>
    <row r="1753" spans="1:5" x14ac:dyDescent="0.25">
      <c r="A1753">
        <v>1752</v>
      </c>
      <c r="B1753" t="s">
        <v>1012</v>
      </c>
      <c r="C1753">
        <v>0</v>
      </c>
      <c r="D1753" t="str">
        <f t="shared" si="54"/>
        <v>a</v>
      </c>
      <c r="E1753" t="str">
        <f t="shared" si="55"/>
        <v>a) Hipótesis.</v>
      </c>
    </row>
    <row r="1754" spans="1:5" x14ac:dyDescent="0.25">
      <c r="A1754">
        <v>1753</v>
      </c>
      <c r="B1754" t="s">
        <v>1013</v>
      </c>
      <c r="C1754">
        <v>0</v>
      </c>
      <c r="D1754" t="str">
        <f t="shared" si="54"/>
        <v>*</v>
      </c>
      <c r="E1754" t="str">
        <f t="shared" si="55"/>
        <v>b) Matriz de datos.</v>
      </c>
    </row>
    <row r="1755" spans="1:5" x14ac:dyDescent="0.25">
      <c r="A1755">
        <v>1754</v>
      </c>
      <c r="B1755" t="s">
        <v>1014</v>
      </c>
      <c r="C1755">
        <v>0</v>
      </c>
      <c r="D1755" t="str">
        <f t="shared" si="54"/>
        <v>c</v>
      </c>
      <c r="E1755" t="str">
        <f t="shared" si="55"/>
        <v>c) Objeto de investigación.</v>
      </c>
    </row>
    <row r="1756" spans="1:5" x14ac:dyDescent="0.25">
      <c r="A1756">
        <v>1755</v>
      </c>
      <c r="B1756" t="s">
        <v>1015</v>
      </c>
      <c r="C1756">
        <v>0</v>
      </c>
      <c r="D1756" t="str">
        <f t="shared" si="54"/>
        <v>d</v>
      </c>
      <c r="E1756" t="str">
        <f t="shared" si="55"/>
        <v>d) Problema de estudio.</v>
      </c>
    </row>
    <row r="1757" spans="1:5" x14ac:dyDescent="0.25">
      <c r="A1757">
        <v>1756</v>
      </c>
      <c r="B1757" t="s">
        <v>1865</v>
      </c>
      <c r="C1757">
        <v>1</v>
      </c>
      <c r="D1757" t="str">
        <f t="shared" si="54"/>
        <v>E</v>
      </c>
      <c r="E1757" t="str">
        <f t="shared" si="55"/>
        <v>En Tonón, según Bourdieu, para reducir al mínimo la violencia simbólica que puede ejercerse a través de la entrevista ¿Qué se pretende establecer?</v>
      </c>
    </row>
    <row r="1758" spans="1:5" x14ac:dyDescent="0.25">
      <c r="A1758">
        <v>1757</v>
      </c>
      <c r="B1758" t="s">
        <v>1016</v>
      </c>
      <c r="C1758">
        <v>0</v>
      </c>
      <c r="D1758" t="str">
        <f t="shared" si="54"/>
        <v>a</v>
      </c>
      <c r="E1758" t="str">
        <f t="shared" si="55"/>
        <v>a) Un diálogo constructivo que facilite la empatía y la confianza.</v>
      </c>
    </row>
    <row r="1759" spans="1:5" x14ac:dyDescent="0.25">
      <c r="A1759">
        <v>1758</v>
      </c>
      <c r="B1759" t="s">
        <v>1017</v>
      </c>
      <c r="C1759">
        <v>0</v>
      </c>
      <c r="D1759" t="str">
        <f t="shared" si="54"/>
        <v>b</v>
      </c>
      <c r="E1759" t="str">
        <f t="shared" si="55"/>
        <v>b) Una correlación con el lenguaje del entrevistado y una posterior codificación científica.</v>
      </c>
    </row>
    <row r="1760" spans="1:5" x14ac:dyDescent="0.25">
      <c r="A1760">
        <v>1759</v>
      </c>
      <c r="B1760" t="s">
        <v>1018</v>
      </c>
      <c r="C1760">
        <v>0</v>
      </c>
      <c r="D1760" t="str">
        <f t="shared" si="54"/>
        <v>*</v>
      </c>
      <c r="E1760" t="str">
        <f t="shared" si="55"/>
        <v>c) Una relación de escucha activa y metódica.</v>
      </c>
    </row>
    <row r="1761" spans="1:5" x14ac:dyDescent="0.25">
      <c r="A1761">
        <v>1760</v>
      </c>
      <c r="B1761" t="s">
        <v>1019</v>
      </c>
      <c r="C1761">
        <v>0</v>
      </c>
      <c r="D1761" t="str">
        <f t="shared" si="54"/>
        <v>d</v>
      </c>
      <c r="E1761" t="str">
        <f t="shared" si="55"/>
        <v>d) Una relación simétrica que favorezca la confianza.</v>
      </c>
    </row>
    <row r="1762" spans="1:5" x14ac:dyDescent="0.25">
      <c r="A1762">
        <v>1761</v>
      </c>
      <c r="B1762" s="1" t="s">
        <v>1866</v>
      </c>
      <c r="C1762">
        <v>1</v>
      </c>
      <c r="D1762" t="str">
        <f t="shared" si="54"/>
        <v>S</v>
      </c>
      <c r="E1762" t="str">
        <f t="shared" si="55"/>
        <v>Según Kisnerman, ¿Cómo se denomina la acción que proporciona una manera de escuchar e interpretar la visión de los acontecimientos que comunican  las personas en el contexto de sus vidas cotidianas así como las resonancias que ellos tiene de los actores, incluyéndonos a nosotros mismos?</v>
      </c>
    </row>
    <row r="1763" spans="1:5" x14ac:dyDescent="0.25">
      <c r="A1763">
        <v>1762</v>
      </c>
      <c r="B1763" t="s">
        <v>1020</v>
      </c>
      <c r="C1763">
        <v>0</v>
      </c>
      <c r="D1763" t="str">
        <f t="shared" si="54"/>
        <v>*</v>
      </c>
      <c r="E1763" t="str">
        <f t="shared" si="55"/>
        <v>a) Análisis de contenido.</v>
      </c>
    </row>
    <row r="1764" spans="1:5" x14ac:dyDescent="0.25">
      <c r="A1764">
        <v>1763</v>
      </c>
      <c r="B1764" t="s">
        <v>1021</v>
      </c>
      <c r="C1764">
        <v>0</v>
      </c>
      <c r="D1764" t="str">
        <f t="shared" ref="D1764:D1827" si="56">+MID(B1764,1,1)</f>
        <v>b</v>
      </c>
      <c r="E1764" t="str">
        <f t="shared" si="55"/>
        <v>b) Atención flotante.</v>
      </c>
    </row>
    <row r="1765" spans="1:5" x14ac:dyDescent="0.25">
      <c r="A1765">
        <v>1764</v>
      </c>
      <c r="B1765" t="s">
        <v>1022</v>
      </c>
      <c r="C1765">
        <v>0</v>
      </c>
      <c r="D1765" t="str">
        <f t="shared" si="56"/>
        <v>c</v>
      </c>
      <c r="E1765" t="str">
        <f t="shared" si="55"/>
        <v>c) Observación participante.</v>
      </c>
    </row>
    <row r="1766" spans="1:5" x14ac:dyDescent="0.25">
      <c r="A1766">
        <v>1765</v>
      </c>
      <c r="B1766" t="s">
        <v>1023</v>
      </c>
      <c r="C1766">
        <v>0</v>
      </c>
      <c r="D1766" t="str">
        <f t="shared" si="56"/>
        <v>d</v>
      </c>
      <c r="E1766" t="str">
        <f t="shared" si="55"/>
        <v>d) Identificación de significantes.</v>
      </c>
    </row>
    <row r="1767" spans="1:5" x14ac:dyDescent="0.25">
      <c r="A1767">
        <v>1766</v>
      </c>
      <c r="B1767" t="s">
        <v>1867</v>
      </c>
      <c r="C1767">
        <v>1</v>
      </c>
      <c r="D1767" t="str">
        <f t="shared" si="56"/>
        <v>P</v>
      </c>
      <c r="E1767" t="str">
        <f t="shared" si="55"/>
        <v xml:space="preserve">Para Kisnerman, ¿Por qué debe estar determinada la duración de una reunión de supervisión? </v>
      </c>
    </row>
    <row r="1768" spans="1:5" x14ac:dyDescent="0.25">
      <c r="A1768">
        <v>1767</v>
      </c>
      <c r="B1768" t="s">
        <v>1024</v>
      </c>
      <c r="C1768">
        <v>0</v>
      </c>
      <c r="D1768" t="str">
        <f t="shared" si="56"/>
        <v>a</v>
      </c>
      <c r="E1768" t="str">
        <f t="shared" si="55"/>
        <v>a) Por las demandas que vayan surgiendo de los supervisados.</v>
      </c>
    </row>
    <row r="1769" spans="1:5" x14ac:dyDescent="0.25">
      <c r="A1769">
        <v>1768</v>
      </c>
      <c r="B1769" t="s">
        <v>1025</v>
      </c>
      <c r="C1769">
        <v>0</v>
      </c>
      <c r="D1769" t="str">
        <f t="shared" si="56"/>
        <v>b</v>
      </c>
      <c r="E1769" t="str">
        <f t="shared" si="55"/>
        <v>b) Por la necesidad de tocar todos los temas propuestos.</v>
      </c>
    </row>
    <row r="1770" spans="1:5" x14ac:dyDescent="0.25">
      <c r="A1770">
        <v>1769</v>
      </c>
      <c r="B1770" t="s">
        <v>1026</v>
      </c>
      <c r="C1770">
        <v>0</v>
      </c>
      <c r="D1770" t="str">
        <f t="shared" si="56"/>
        <v>*</v>
      </c>
      <c r="E1770" t="str">
        <f t="shared" si="55"/>
        <v>c) Por los objetivos y contenidos.</v>
      </c>
    </row>
    <row r="1771" spans="1:5" x14ac:dyDescent="0.25">
      <c r="A1771">
        <v>1770</v>
      </c>
      <c r="B1771" t="s">
        <v>1027</v>
      </c>
      <c r="C1771">
        <v>0</v>
      </c>
      <c r="D1771" t="str">
        <f t="shared" si="56"/>
        <v>d</v>
      </c>
      <c r="E1771" t="str">
        <f t="shared" si="55"/>
        <v>d) Por la superación de los obstáculos.</v>
      </c>
    </row>
    <row r="1772" spans="1:5" x14ac:dyDescent="0.25">
      <c r="A1772">
        <v>1771</v>
      </c>
      <c r="B1772" s="1" t="s">
        <v>1868</v>
      </c>
      <c r="C1772">
        <v>1</v>
      </c>
      <c r="D1772" t="str">
        <f t="shared" si="56"/>
        <v>E</v>
      </c>
      <c r="E1772" t="str">
        <f t="shared" si="55"/>
        <v>En Tonón, Velez Restrepo refiere que la noción de actuación inscribe al Trabajo Social dentro de una compleja trama socio institucional, planteando un giro metodológio y político importante para la profesión. Según la autora ¿Qué otro giro importante plantea?</v>
      </c>
    </row>
    <row r="1773" spans="1:5" x14ac:dyDescent="0.25">
      <c r="A1773">
        <v>1772</v>
      </c>
      <c r="B1773" t="s">
        <v>1028</v>
      </c>
      <c r="C1773">
        <v>0</v>
      </c>
      <c r="D1773" t="str">
        <f t="shared" si="56"/>
        <v>*</v>
      </c>
      <c r="E1773" t="str">
        <f t="shared" si="55"/>
        <v>a) Epistemológico.</v>
      </c>
    </row>
    <row r="1774" spans="1:5" x14ac:dyDescent="0.25">
      <c r="A1774">
        <v>1773</v>
      </c>
      <c r="B1774" t="s">
        <v>1029</v>
      </c>
      <c r="C1774">
        <v>0</v>
      </c>
      <c r="D1774" t="str">
        <f t="shared" si="56"/>
        <v>b</v>
      </c>
      <c r="E1774" t="str">
        <f t="shared" si="55"/>
        <v>b) Ético.</v>
      </c>
    </row>
    <row r="1775" spans="1:5" x14ac:dyDescent="0.25">
      <c r="A1775">
        <v>1774</v>
      </c>
      <c r="B1775" t="s">
        <v>1030</v>
      </c>
      <c r="C1775">
        <v>0</v>
      </c>
      <c r="D1775" t="str">
        <f t="shared" si="56"/>
        <v>c</v>
      </c>
      <c r="E1775" t="str">
        <f t="shared" si="55"/>
        <v>c) Jurídico.</v>
      </c>
    </row>
    <row r="1776" spans="1:5" x14ac:dyDescent="0.25">
      <c r="A1776">
        <v>1775</v>
      </c>
      <c r="B1776" t="s">
        <v>1031</v>
      </c>
      <c r="C1776">
        <v>0</v>
      </c>
      <c r="D1776" t="str">
        <f t="shared" si="56"/>
        <v>d</v>
      </c>
      <c r="E1776" t="str">
        <f t="shared" si="55"/>
        <v>d) Técnico- instrumental.</v>
      </c>
    </row>
    <row r="1777" spans="1:5" x14ac:dyDescent="0.25">
      <c r="A1777">
        <v>1776</v>
      </c>
      <c r="B1777" s="1" t="s">
        <v>1869</v>
      </c>
      <c r="C1777">
        <v>1</v>
      </c>
      <c r="D1777" t="str">
        <f t="shared" si="56"/>
        <v>E</v>
      </c>
      <c r="E1777" t="str">
        <f t="shared" si="55"/>
        <v>En la hipótesis: En el marco de una investigación en salud desarrollada por Trabajadores Sociales en el Centro de Saud Nº 83, la aplicación de técnicas cualitativas a la población de la zona permitirá conocer el grado de accesibilidad a la institución. ¿Qué tipo de variable es: "grado de accesibilidad institucional"?</v>
      </c>
    </row>
    <row r="1778" spans="1:5" x14ac:dyDescent="0.25">
      <c r="A1778">
        <v>1777</v>
      </c>
      <c r="B1778" t="s">
        <v>1032</v>
      </c>
      <c r="C1778">
        <v>0</v>
      </c>
      <c r="D1778" t="str">
        <f t="shared" si="56"/>
        <v>a</v>
      </c>
      <c r="E1778" t="str">
        <f t="shared" si="55"/>
        <v>a) Concomitante.</v>
      </c>
    </row>
    <row r="1779" spans="1:5" x14ac:dyDescent="0.25">
      <c r="A1779">
        <v>1778</v>
      </c>
      <c r="B1779" t="s">
        <v>802</v>
      </c>
      <c r="C1779">
        <v>0</v>
      </c>
      <c r="D1779" t="str">
        <f t="shared" si="56"/>
        <v>*</v>
      </c>
      <c r="E1779" t="str">
        <f t="shared" si="55"/>
        <v>b) Dependiente.</v>
      </c>
    </row>
    <row r="1780" spans="1:5" x14ac:dyDescent="0.25">
      <c r="A1780">
        <v>1779</v>
      </c>
      <c r="B1780" t="s">
        <v>803</v>
      </c>
      <c r="C1780">
        <v>0</v>
      </c>
      <c r="D1780" t="str">
        <f t="shared" si="56"/>
        <v>c</v>
      </c>
      <c r="E1780" t="str">
        <f t="shared" si="55"/>
        <v>c) Independiente.</v>
      </c>
    </row>
    <row r="1781" spans="1:5" x14ac:dyDescent="0.25">
      <c r="A1781">
        <v>1780</v>
      </c>
      <c r="B1781" t="s">
        <v>191</v>
      </c>
      <c r="C1781">
        <v>0</v>
      </c>
      <c r="D1781" t="str">
        <f t="shared" si="56"/>
        <v>d</v>
      </c>
      <c r="E1781" t="str">
        <f t="shared" si="55"/>
        <v>d) Relacional.</v>
      </c>
    </row>
    <row r="1782" spans="1:5" x14ac:dyDescent="0.25">
      <c r="A1782">
        <v>1781</v>
      </c>
      <c r="B1782" t="s">
        <v>1870</v>
      </c>
      <c r="C1782">
        <v>1</v>
      </c>
      <c r="D1782" t="str">
        <f t="shared" si="56"/>
        <v>E</v>
      </c>
      <c r="E1782" t="str">
        <f t="shared" si="55"/>
        <v>En la hipótesis: A mayores y mejores campañas de difusión y prevención contra el Dengue, menor será la incidencia de contagio de dengue en la población adulta. ¿Qué tipo de variable es "la incidencia de contagio de dengue?</v>
      </c>
    </row>
    <row r="1783" spans="1:5" x14ac:dyDescent="0.25">
      <c r="A1783">
        <v>1782</v>
      </c>
      <c r="B1783" t="s">
        <v>188</v>
      </c>
      <c r="C1783">
        <v>0</v>
      </c>
      <c r="D1783" t="str">
        <f t="shared" si="56"/>
        <v>*</v>
      </c>
      <c r="E1783" t="str">
        <f t="shared" si="55"/>
        <v>a) Dependiente.</v>
      </c>
    </row>
    <row r="1784" spans="1:5" x14ac:dyDescent="0.25">
      <c r="A1784">
        <v>1783</v>
      </c>
      <c r="B1784" t="s">
        <v>189</v>
      </c>
      <c r="C1784">
        <v>0</v>
      </c>
      <c r="D1784" t="str">
        <f t="shared" si="56"/>
        <v>b</v>
      </c>
      <c r="E1784" t="str">
        <f t="shared" si="55"/>
        <v>b) Independiente.</v>
      </c>
    </row>
    <row r="1785" spans="1:5" x14ac:dyDescent="0.25">
      <c r="A1785">
        <v>1784</v>
      </c>
      <c r="B1785" t="s">
        <v>186</v>
      </c>
      <c r="C1785">
        <v>0</v>
      </c>
      <c r="D1785" t="str">
        <f t="shared" si="56"/>
        <v>c</v>
      </c>
      <c r="E1785" t="str">
        <f t="shared" si="55"/>
        <v>c) Interviniente.</v>
      </c>
    </row>
    <row r="1786" spans="1:5" x14ac:dyDescent="0.25">
      <c r="A1786">
        <v>1785</v>
      </c>
      <c r="B1786" t="s">
        <v>191</v>
      </c>
      <c r="C1786">
        <v>0</v>
      </c>
      <c r="D1786" t="str">
        <f t="shared" si="56"/>
        <v>d</v>
      </c>
      <c r="E1786" t="str">
        <f t="shared" si="55"/>
        <v>d) Relacional.</v>
      </c>
    </row>
    <row r="1787" spans="1:5" x14ac:dyDescent="0.25">
      <c r="A1787">
        <v>1786</v>
      </c>
      <c r="B1787" t="s">
        <v>1871</v>
      </c>
      <c r="C1787">
        <v>1</v>
      </c>
      <c r="D1787" t="str">
        <f t="shared" si="56"/>
        <v>E</v>
      </c>
      <c r="E1787" t="str">
        <f t="shared" si="55"/>
        <v>En la hipótesis: En los accidentes de moto, el uso de casco está relacionado con la gravedad de las lesiones que sufren los motociclistas. ¿Qué tipo de variable es "el uso de casco"?</v>
      </c>
    </row>
    <row r="1788" spans="1:5" x14ac:dyDescent="0.25">
      <c r="A1788">
        <v>1787</v>
      </c>
      <c r="B1788" t="s">
        <v>1032</v>
      </c>
      <c r="C1788">
        <v>0</v>
      </c>
      <c r="D1788" t="str">
        <f t="shared" si="56"/>
        <v>a</v>
      </c>
      <c r="E1788" t="str">
        <f t="shared" si="55"/>
        <v>a) Concomitante.</v>
      </c>
    </row>
    <row r="1789" spans="1:5" x14ac:dyDescent="0.25">
      <c r="A1789">
        <v>1788</v>
      </c>
      <c r="B1789" t="s">
        <v>181</v>
      </c>
      <c r="C1789">
        <v>0</v>
      </c>
      <c r="D1789" t="str">
        <f t="shared" si="56"/>
        <v>b</v>
      </c>
      <c r="E1789" t="str">
        <f t="shared" si="55"/>
        <v>b) Dependiente.</v>
      </c>
    </row>
    <row r="1790" spans="1:5" x14ac:dyDescent="0.25">
      <c r="A1790">
        <v>1789</v>
      </c>
      <c r="B1790" t="s">
        <v>803</v>
      </c>
      <c r="C1790">
        <v>0</v>
      </c>
      <c r="D1790" t="str">
        <f t="shared" si="56"/>
        <v>c</v>
      </c>
      <c r="E1790" t="str">
        <f t="shared" si="55"/>
        <v>c) Independiente.</v>
      </c>
    </row>
    <row r="1791" spans="1:5" x14ac:dyDescent="0.25">
      <c r="A1791">
        <v>1790</v>
      </c>
      <c r="B1791" t="s">
        <v>1033</v>
      </c>
      <c r="C1791">
        <v>0</v>
      </c>
      <c r="D1791" t="str">
        <f t="shared" si="56"/>
        <v>*</v>
      </c>
      <c r="E1791" t="str">
        <f t="shared" si="55"/>
        <v>d) Interviniente.</v>
      </c>
    </row>
    <row r="1792" spans="1:5" x14ac:dyDescent="0.25">
      <c r="A1792">
        <v>1791</v>
      </c>
      <c r="B1792" t="s">
        <v>1872</v>
      </c>
      <c r="C1792">
        <v>1</v>
      </c>
      <c r="D1792" t="str">
        <f t="shared" si="56"/>
        <v>E</v>
      </c>
      <c r="E1792" t="str">
        <f t="shared" si="55"/>
        <v>En la hipótesis: El trabajar en ámbitos de prestaciones de salud favorece el riesgo de exposición al contagio de Gripe A (H1N1). ¿Qué variable es "tipo de lugar de trabajo"?</v>
      </c>
    </row>
    <row r="1793" spans="1:5" x14ac:dyDescent="0.25">
      <c r="A1793">
        <v>1792</v>
      </c>
      <c r="B1793" t="s">
        <v>1034</v>
      </c>
      <c r="C1793">
        <v>0</v>
      </c>
      <c r="D1793" t="str">
        <f t="shared" si="56"/>
        <v>a</v>
      </c>
      <c r="E1793" t="str">
        <f t="shared" si="55"/>
        <v>a) Aleatoria.</v>
      </c>
    </row>
    <row r="1794" spans="1:5" x14ac:dyDescent="0.25">
      <c r="A1794">
        <v>1793</v>
      </c>
      <c r="B1794" t="s">
        <v>181</v>
      </c>
      <c r="C1794">
        <v>0</v>
      </c>
      <c r="D1794" t="str">
        <f t="shared" si="56"/>
        <v>b</v>
      </c>
      <c r="E1794" t="str">
        <f t="shared" si="55"/>
        <v>b) Dependiente.</v>
      </c>
    </row>
    <row r="1795" spans="1:5" x14ac:dyDescent="0.25">
      <c r="A1795">
        <v>1794</v>
      </c>
      <c r="B1795" t="s">
        <v>182</v>
      </c>
      <c r="C1795">
        <v>0</v>
      </c>
      <c r="D1795" t="str">
        <f t="shared" si="56"/>
        <v>*</v>
      </c>
      <c r="E1795" t="str">
        <f t="shared" ref="E1795:E1858" si="57">+IF(D1795="*",MID(B1795,3,500),B1795)</f>
        <v>c) Independiente.</v>
      </c>
    </row>
    <row r="1796" spans="1:5" x14ac:dyDescent="0.25">
      <c r="A1796">
        <v>1795</v>
      </c>
      <c r="B1796" t="s">
        <v>801</v>
      </c>
      <c r="C1796">
        <v>0</v>
      </c>
      <c r="D1796" t="str">
        <f t="shared" si="56"/>
        <v>d</v>
      </c>
      <c r="E1796" t="str">
        <f t="shared" si="57"/>
        <v>d) Interviniente.</v>
      </c>
    </row>
    <row r="1797" spans="1:5" x14ac:dyDescent="0.25">
      <c r="A1797">
        <v>1796</v>
      </c>
      <c r="B1797" s="1" t="s">
        <v>1873</v>
      </c>
      <c r="C1797">
        <v>1</v>
      </c>
      <c r="D1797" t="str">
        <f t="shared" si="56"/>
        <v>C</v>
      </c>
      <c r="E1797" t="str">
        <f t="shared" si="57"/>
        <v>Carlos Sabino plantea que en el proceso de investigación existen diferentes tipos de escalas de acuerdo a la rigurosidad con que han sido construídas y al propio comportamiento que miden. Se acostrumbra a clasificarlas en cuatro tipos generales: escalas nominales, ordinales, de cocientes o razones.¿Cómo se denomina a la cuarta escala?</v>
      </c>
    </row>
    <row r="1798" spans="1:5" x14ac:dyDescent="0.25">
      <c r="A1798">
        <v>1797</v>
      </c>
      <c r="B1798" t="s">
        <v>1035</v>
      </c>
      <c r="C1798">
        <v>0</v>
      </c>
      <c r="D1798" t="str">
        <f t="shared" si="56"/>
        <v>*</v>
      </c>
      <c r="E1798" t="str">
        <f t="shared" si="57"/>
        <v>a) De intervalos iguales.</v>
      </c>
    </row>
    <row r="1799" spans="1:5" x14ac:dyDescent="0.25">
      <c r="A1799">
        <v>1798</v>
      </c>
      <c r="B1799" t="s">
        <v>1036</v>
      </c>
      <c r="C1799">
        <v>0</v>
      </c>
      <c r="D1799" t="str">
        <f t="shared" si="56"/>
        <v>b</v>
      </c>
      <c r="E1799" t="str">
        <f t="shared" si="57"/>
        <v>b) De alternancias sistemáticas.</v>
      </c>
    </row>
    <row r="1800" spans="1:5" x14ac:dyDescent="0.25">
      <c r="A1800">
        <v>1799</v>
      </c>
      <c r="B1800" t="s">
        <v>1037</v>
      </c>
      <c r="C1800">
        <v>0</v>
      </c>
      <c r="D1800" t="str">
        <f t="shared" si="56"/>
        <v>c</v>
      </c>
      <c r="E1800" t="str">
        <f t="shared" si="57"/>
        <v>c) Generales.</v>
      </c>
    </row>
    <row r="1801" spans="1:5" x14ac:dyDescent="0.25">
      <c r="A1801">
        <v>1800</v>
      </c>
      <c r="B1801" t="s">
        <v>1038</v>
      </c>
      <c r="C1801">
        <v>0</v>
      </c>
      <c r="D1801" t="str">
        <f t="shared" si="56"/>
        <v>d</v>
      </c>
      <c r="E1801" t="str">
        <f t="shared" si="57"/>
        <v>d) Seriales.</v>
      </c>
    </row>
    <row r="1802" spans="1:5" x14ac:dyDescent="0.25">
      <c r="A1802">
        <v>1801</v>
      </c>
      <c r="B1802" s="1" t="s">
        <v>1874</v>
      </c>
      <c r="C1802">
        <v>1</v>
      </c>
      <c r="D1802" t="str">
        <f t="shared" si="56"/>
        <v>S</v>
      </c>
      <c r="E1802" t="str">
        <f t="shared" si="57"/>
        <v>Según Carlos Sabino, para estudiar la forma en que diversos elementos pueden determinarse entre sí, convendrá analizar los diferentes tipos de condicionamientos que pueden existir entre un hecho y otro hecho. Señala cuatro tipos de condiciones más importantes: necesarias, suficientes, ¿Cuáles son las otras dos condiciones que destaca el autor?</v>
      </c>
    </row>
    <row r="1803" spans="1:5" x14ac:dyDescent="0.25">
      <c r="A1803">
        <v>1802</v>
      </c>
      <c r="B1803" t="s">
        <v>1039</v>
      </c>
      <c r="C1803">
        <v>0</v>
      </c>
      <c r="D1803" t="str">
        <f t="shared" si="56"/>
        <v>a</v>
      </c>
      <c r="E1803" t="str">
        <f t="shared" si="57"/>
        <v>a) Aleatorias y excepcionales.</v>
      </c>
    </row>
    <row r="1804" spans="1:5" x14ac:dyDescent="0.25">
      <c r="A1804">
        <v>1803</v>
      </c>
      <c r="B1804" t="s">
        <v>1040</v>
      </c>
      <c r="C1804">
        <v>0</v>
      </c>
      <c r="D1804" t="str">
        <f t="shared" si="56"/>
        <v>*</v>
      </c>
      <c r="E1804" t="str">
        <f t="shared" si="57"/>
        <v>b) Contingentes y contribuyentes.</v>
      </c>
    </row>
    <row r="1805" spans="1:5" x14ac:dyDescent="0.25">
      <c r="A1805">
        <v>1804</v>
      </c>
      <c r="B1805" t="s">
        <v>1041</v>
      </c>
      <c r="C1805">
        <v>0</v>
      </c>
      <c r="D1805" t="str">
        <f t="shared" si="56"/>
        <v>c</v>
      </c>
      <c r="E1805" t="str">
        <f t="shared" si="57"/>
        <v>c) Esporádicas y ocasionales.</v>
      </c>
    </row>
    <row r="1806" spans="1:5" x14ac:dyDescent="0.25">
      <c r="A1806">
        <v>1805</v>
      </c>
      <c r="B1806" t="s">
        <v>1042</v>
      </c>
      <c r="C1806">
        <v>0</v>
      </c>
      <c r="D1806" t="str">
        <f t="shared" si="56"/>
        <v>d</v>
      </c>
      <c r="E1806" t="str">
        <f t="shared" si="57"/>
        <v>d) Intervinientes y contextuales.</v>
      </c>
    </row>
    <row r="1807" spans="1:5" x14ac:dyDescent="0.25">
      <c r="A1807">
        <v>1806</v>
      </c>
      <c r="B1807" t="s">
        <v>1875</v>
      </c>
      <c r="C1807">
        <v>1</v>
      </c>
      <c r="D1807" t="str">
        <f t="shared" si="56"/>
        <v>D</v>
      </c>
      <c r="E1807" t="str">
        <f t="shared" si="57"/>
        <v>Desde el desarrollo realizado por Victoria Barreda en su artículo " Prevención y Travestismo", ¿Qué es lo que cuestiona el travestismo?</v>
      </c>
    </row>
    <row r="1808" spans="1:5" x14ac:dyDescent="0.25">
      <c r="A1808">
        <v>1807</v>
      </c>
      <c r="B1808" t="s">
        <v>1043</v>
      </c>
      <c r="C1808">
        <v>0</v>
      </c>
      <c r="D1808" t="str">
        <f t="shared" si="56"/>
        <v>a</v>
      </c>
      <c r="E1808" t="str">
        <f t="shared" si="57"/>
        <v>a) El biologicismo médico en la atención hospitalaria.</v>
      </c>
    </row>
    <row r="1809" spans="1:5" x14ac:dyDescent="0.25">
      <c r="A1809">
        <v>1808</v>
      </c>
      <c r="B1809" t="s">
        <v>1044</v>
      </c>
      <c r="C1809">
        <v>0</v>
      </c>
      <c r="D1809" t="str">
        <f t="shared" si="56"/>
        <v>b</v>
      </c>
      <c r="E1809" t="str">
        <f t="shared" si="57"/>
        <v>b) El discurso moderno de bisexualidad, homosexualidad y heterosexualidad.</v>
      </c>
    </row>
    <row r="1810" spans="1:5" x14ac:dyDescent="0.25">
      <c r="A1810">
        <v>1809</v>
      </c>
      <c r="B1810" t="s">
        <v>1045</v>
      </c>
      <c r="C1810">
        <v>0</v>
      </c>
      <c r="D1810" t="str">
        <f t="shared" si="56"/>
        <v>c</v>
      </c>
      <c r="E1810" t="str">
        <f t="shared" si="57"/>
        <v>c) La concepción más tradicional de la división sexual hombre- mujer.</v>
      </c>
    </row>
    <row r="1811" spans="1:5" x14ac:dyDescent="0.25">
      <c r="A1811">
        <v>1810</v>
      </c>
      <c r="B1811" t="s">
        <v>1046</v>
      </c>
      <c r="C1811">
        <v>0</v>
      </c>
      <c r="D1811" t="str">
        <f t="shared" si="56"/>
        <v>*</v>
      </c>
      <c r="E1811" t="str">
        <f t="shared" si="57"/>
        <v>d) La idea de género como una derivación de la diferencia sexual anatómica.</v>
      </c>
    </row>
    <row r="1812" spans="1:5" x14ac:dyDescent="0.25">
      <c r="A1812">
        <v>1811</v>
      </c>
      <c r="B1812" t="s">
        <v>1876</v>
      </c>
      <c r="C1812">
        <v>1</v>
      </c>
      <c r="D1812" t="str">
        <f t="shared" si="56"/>
        <v>E</v>
      </c>
      <c r="E1812" t="str">
        <f t="shared" si="57"/>
        <v>El Dr. Pablo Bonazzola destaca algunos puntos salientes de la Ley Básica de Salud de la Ciudad de Buenos Aires, que establece el marco general para el sistema de salud. ¿Cuál de los siguientes puntos es mencionado por el autor?</v>
      </c>
    </row>
    <row r="1813" spans="1:5" x14ac:dyDescent="0.25">
      <c r="A1813">
        <v>1812</v>
      </c>
      <c r="B1813" t="s">
        <v>1047</v>
      </c>
      <c r="C1813">
        <v>0</v>
      </c>
      <c r="D1813" t="str">
        <f t="shared" si="56"/>
        <v>*</v>
      </c>
      <c r="E1813" t="str">
        <f t="shared" si="57"/>
        <v>a) La concepción universalista del derecho a la salud.</v>
      </c>
    </row>
    <row r="1814" spans="1:5" x14ac:dyDescent="0.25">
      <c r="A1814">
        <v>1813</v>
      </c>
      <c r="B1814" t="s">
        <v>1048</v>
      </c>
      <c r="C1814">
        <v>0</v>
      </c>
      <c r="D1814" t="str">
        <f t="shared" si="56"/>
        <v>b</v>
      </c>
      <c r="E1814" t="str">
        <f t="shared" si="57"/>
        <v>b) La organización de programas que atraviesen en forma transversal a hospitales.</v>
      </c>
    </row>
    <row r="1815" spans="1:5" x14ac:dyDescent="0.25">
      <c r="A1815">
        <v>1814</v>
      </c>
      <c r="B1815" t="s">
        <v>1049</v>
      </c>
      <c r="C1815">
        <v>0</v>
      </c>
      <c r="D1815" t="str">
        <f t="shared" si="56"/>
        <v>c</v>
      </c>
      <c r="E1815" t="str">
        <f t="shared" si="57"/>
        <v>c) La priorización de atención a los residentes de la Ciudad de Buenos Aires.</v>
      </c>
    </row>
    <row r="1816" spans="1:5" x14ac:dyDescent="0.25">
      <c r="A1816">
        <v>1815</v>
      </c>
      <c r="B1816" t="s">
        <v>1050</v>
      </c>
      <c r="C1816">
        <v>0</v>
      </c>
      <c r="D1816" t="str">
        <f t="shared" si="56"/>
        <v>d</v>
      </c>
      <c r="E1816" t="str">
        <f t="shared" si="57"/>
        <v>d) La tercerización de los servicios de alta complejidad.</v>
      </c>
    </row>
    <row r="1817" spans="1:5" x14ac:dyDescent="0.25">
      <c r="A1817">
        <v>1816</v>
      </c>
      <c r="B1817" t="s">
        <v>1877</v>
      </c>
      <c r="C1817">
        <v>1</v>
      </c>
      <c r="D1817" t="str">
        <f t="shared" si="56"/>
        <v>E</v>
      </c>
      <c r="E1817" t="str">
        <f t="shared" si="57"/>
        <v>En "Teoría del Hospital", Ramón Carrillo afirma que la medicina no sólo debe curar enfermos. Para el autor, ¿Qué debe enseñar la medicina al Pueblo?</v>
      </c>
    </row>
    <row r="1818" spans="1:5" x14ac:dyDescent="0.25">
      <c r="A1818">
        <v>1817</v>
      </c>
      <c r="B1818" t="s">
        <v>1051</v>
      </c>
      <c r="C1818">
        <v>0</v>
      </c>
      <c r="D1818" t="str">
        <f t="shared" si="56"/>
        <v>a</v>
      </c>
      <c r="E1818" t="str">
        <f t="shared" si="57"/>
        <v>a) Autodetectar y tratar enfermedades complejas para ser atendidas.</v>
      </c>
    </row>
    <row r="1819" spans="1:5" x14ac:dyDescent="0.25">
      <c r="A1819">
        <v>1818</v>
      </c>
      <c r="B1819" t="s">
        <v>1052</v>
      </c>
      <c r="C1819">
        <v>0</v>
      </c>
      <c r="D1819" t="str">
        <f t="shared" si="56"/>
        <v>b</v>
      </c>
      <c r="E1819" t="str">
        <f t="shared" si="57"/>
        <v>b) Evitar y controlar los microbios para no infectarse y enfermar.</v>
      </c>
    </row>
    <row r="1820" spans="1:5" x14ac:dyDescent="0.25">
      <c r="A1820">
        <v>1819</v>
      </c>
      <c r="B1820" t="s">
        <v>1053</v>
      </c>
      <c r="C1820">
        <v>0</v>
      </c>
      <c r="D1820" t="str">
        <f t="shared" si="56"/>
        <v>c</v>
      </c>
      <c r="E1820" t="str">
        <f t="shared" si="57"/>
        <v>c) Tomar medidas higiénicas adecuadas para salir de la miseria y la ignorancia.</v>
      </c>
    </row>
    <row r="1821" spans="1:5" x14ac:dyDescent="0.25">
      <c r="A1821">
        <v>1820</v>
      </c>
      <c r="B1821" t="s">
        <v>1054</v>
      </c>
      <c r="C1821">
        <v>0</v>
      </c>
      <c r="D1821" t="str">
        <f t="shared" si="56"/>
        <v>*</v>
      </c>
      <c r="E1821" t="str">
        <f t="shared" si="57"/>
        <v>d) Vivir en salud y con optimismo para que la vida se prolongue.</v>
      </c>
    </row>
    <row r="1822" spans="1:5" x14ac:dyDescent="0.25">
      <c r="A1822">
        <v>1821</v>
      </c>
      <c r="B1822" t="s">
        <v>1878</v>
      </c>
      <c r="C1822">
        <v>1</v>
      </c>
      <c r="D1822" t="str">
        <f t="shared" si="56"/>
        <v>S</v>
      </c>
      <c r="E1822" t="str">
        <f t="shared" si="57"/>
        <v>Según Ramón Carrillo ¿Qué tipo de política debe desarrollarse para que pueda existir una medicina destinada a la protección de la colectividad?</v>
      </c>
    </row>
    <row r="1823" spans="1:5" x14ac:dyDescent="0.25">
      <c r="A1823">
        <v>1822</v>
      </c>
      <c r="B1823" t="s">
        <v>1055</v>
      </c>
      <c r="C1823">
        <v>0</v>
      </c>
      <c r="D1823" t="str">
        <f t="shared" si="56"/>
        <v>a</v>
      </c>
      <c r="E1823" t="str">
        <f t="shared" si="57"/>
        <v>a) Una política de formación y capacitación permanente de los trabajadores de la salud.</v>
      </c>
    </row>
    <row r="1824" spans="1:5" x14ac:dyDescent="0.25">
      <c r="A1824">
        <v>1823</v>
      </c>
      <c r="B1824" t="s">
        <v>1056</v>
      </c>
      <c r="C1824">
        <v>0</v>
      </c>
      <c r="D1824" t="str">
        <f t="shared" si="56"/>
        <v>b</v>
      </c>
      <c r="E1824" t="str">
        <f t="shared" si="57"/>
        <v>b) Una política educativa que imparta contenidos de educación para la salud a toda la población.</v>
      </c>
    </row>
    <row r="1825" spans="1:5" x14ac:dyDescent="0.25">
      <c r="A1825">
        <v>1824</v>
      </c>
      <c r="B1825" t="s">
        <v>1057</v>
      </c>
      <c r="C1825">
        <v>0</v>
      </c>
      <c r="D1825" t="str">
        <f t="shared" si="56"/>
        <v>c</v>
      </c>
      <c r="E1825" t="str">
        <f t="shared" si="57"/>
        <v>c) Una política sanitaria que mejore el diagnóstico de las enfermedades prevalentes para la prevención.</v>
      </c>
    </row>
    <row r="1826" spans="1:5" x14ac:dyDescent="0.25">
      <c r="A1826">
        <v>1825</v>
      </c>
      <c r="B1826" t="s">
        <v>1058</v>
      </c>
      <c r="C1826">
        <v>0</v>
      </c>
      <c r="D1826" t="str">
        <f t="shared" si="56"/>
        <v>*</v>
      </c>
      <c r="E1826" t="str">
        <f t="shared" si="57"/>
        <v>d) Una política social bien sistematizada para evitar el hambre, el pauperismo y la desocupación.</v>
      </c>
    </row>
    <row r="1827" spans="1:5" x14ac:dyDescent="0.25">
      <c r="A1827">
        <v>1826</v>
      </c>
      <c r="B1827" t="s">
        <v>1879</v>
      </c>
      <c r="C1827">
        <v>1</v>
      </c>
      <c r="D1827" t="str">
        <f t="shared" si="56"/>
        <v>S</v>
      </c>
      <c r="E1827" t="str">
        <f t="shared" si="57"/>
        <v>Según Dabas y Perone en "Redes en Salud", ¿Qué promueven las prácticas interactivas que se desarrollan en el nivel de redes intersectoriales?</v>
      </c>
    </row>
    <row r="1828" spans="1:5" x14ac:dyDescent="0.25">
      <c r="A1828">
        <v>1827</v>
      </c>
      <c r="B1828" t="s">
        <v>1059</v>
      </c>
      <c r="C1828">
        <v>0</v>
      </c>
      <c r="D1828" t="str">
        <f t="shared" ref="D1828:D1891" si="58">+MID(B1828,1,1)</f>
        <v>*</v>
      </c>
      <c r="E1828" t="str">
        <f t="shared" si="57"/>
        <v>a) La cultura del relacionamiento.</v>
      </c>
    </row>
    <row r="1829" spans="1:5" x14ac:dyDescent="0.25">
      <c r="A1829">
        <v>1828</v>
      </c>
      <c r="B1829" t="s">
        <v>1060</v>
      </c>
      <c r="C1829">
        <v>0</v>
      </c>
      <c r="D1829" t="str">
        <f t="shared" si="58"/>
        <v>b</v>
      </c>
      <c r="E1829" t="str">
        <f t="shared" si="57"/>
        <v>b) La historización del diagnóstico sanitario.</v>
      </c>
    </row>
    <row r="1830" spans="1:5" x14ac:dyDescent="0.25">
      <c r="A1830">
        <v>1829</v>
      </c>
      <c r="B1830" t="s">
        <v>1061</v>
      </c>
      <c r="C1830">
        <v>0</v>
      </c>
      <c r="D1830" t="str">
        <f t="shared" si="58"/>
        <v>c</v>
      </c>
      <c r="E1830" t="str">
        <f t="shared" si="57"/>
        <v>c) La producción de datos epidemiológicos.</v>
      </c>
    </row>
    <row r="1831" spans="1:5" x14ac:dyDescent="0.25">
      <c r="A1831">
        <v>1830</v>
      </c>
      <c r="B1831" t="s">
        <v>1062</v>
      </c>
      <c r="C1831">
        <v>0</v>
      </c>
      <c r="D1831" t="str">
        <f t="shared" si="58"/>
        <v>d</v>
      </c>
      <c r="E1831" t="str">
        <f t="shared" si="57"/>
        <v>d) Un menor esfuerzo profesional.</v>
      </c>
    </row>
    <row r="1832" spans="1:5" x14ac:dyDescent="0.25">
      <c r="A1832">
        <v>1831</v>
      </c>
      <c r="B1832" t="s">
        <v>1880</v>
      </c>
      <c r="C1832">
        <v>1</v>
      </c>
      <c r="D1832" t="str">
        <f t="shared" si="58"/>
        <v>E</v>
      </c>
      <c r="E1832" t="str">
        <f t="shared" si="57"/>
        <v>En "Redes en Salud" según Dabas y Perone ¿Qué es necesario para operacionalizar la estrategia de APS en el nivel de redes comunitarias?</v>
      </c>
    </row>
    <row r="1833" spans="1:5" x14ac:dyDescent="0.25">
      <c r="A1833">
        <v>1832</v>
      </c>
      <c r="B1833" t="s">
        <v>1063</v>
      </c>
      <c r="C1833">
        <v>0</v>
      </c>
      <c r="D1833" t="str">
        <f t="shared" si="58"/>
        <v>a</v>
      </c>
      <c r="E1833" t="str">
        <f t="shared" si="57"/>
        <v>a) Atender en los centros de salud e implementar campañas de prevención.</v>
      </c>
    </row>
    <row r="1834" spans="1:5" x14ac:dyDescent="0.25">
      <c r="A1834">
        <v>1833</v>
      </c>
      <c r="B1834" t="s">
        <v>1064</v>
      </c>
      <c r="C1834">
        <v>0</v>
      </c>
      <c r="D1834" t="str">
        <f t="shared" si="58"/>
        <v>b</v>
      </c>
      <c r="E1834" t="str">
        <f t="shared" si="57"/>
        <v>b) Generar espacios de resolución de la demanda espontánea y derivar lo complejo.</v>
      </c>
    </row>
    <row r="1835" spans="1:5" x14ac:dyDescent="0.25">
      <c r="A1835">
        <v>1834</v>
      </c>
      <c r="B1835" t="s">
        <v>1065</v>
      </c>
      <c r="C1835">
        <v>0</v>
      </c>
      <c r="D1835" t="str">
        <f t="shared" si="58"/>
        <v>c</v>
      </c>
      <c r="E1835" t="str">
        <f t="shared" si="57"/>
        <v>c) Incorporar más médicos, enfermeros y agentes sanitarios.</v>
      </c>
    </row>
    <row r="1836" spans="1:5" x14ac:dyDescent="0.25">
      <c r="A1836">
        <v>1835</v>
      </c>
      <c r="B1836" t="s">
        <v>1066</v>
      </c>
      <c r="C1836">
        <v>0</v>
      </c>
      <c r="D1836" t="str">
        <f t="shared" si="58"/>
        <v>*</v>
      </c>
      <c r="E1836" t="str">
        <f t="shared" si="57"/>
        <v>d) Priorizar la actividad comunitaria y la visita domiciliaria.</v>
      </c>
    </row>
    <row r="1837" spans="1:5" x14ac:dyDescent="0.25">
      <c r="A1837">
        <v>1836</v>
      </c>
      <c r="B1837" t="s">
        <v>1881</v>
      </c>
      <c r="C1837">
        <v>1</v>
      </c>
      <c r="D1837" t="str">
        <f t="shared" si="58"/>
        <v>P</v>
      </c>
      <c r="E1837" t="str">
        <f t="shared" si="57"/>
        <v>Para Silvia Faraone, ¿A qué contribuye el conjunto de supuestos que constituyen las prácticas psiquiátricas instituídas, basadas en la legitimación del paradigma positivista?</v>
      </c>
    </row>
    <row r="1838" spans="1:5" x14ac:dyDescent="0.25">
      <c r="A1838">
        <v>1837</v>
      </c>
      <c r="B1838" t="s">
        <v>1067</v>
      </c>
      <c r="C1838">
        <v>0</v>
      </c>
      <c r="D1838" t="str">
        <f t="shared" si="58"/>
        <v>*</v>
      </c>
      <c r="E1838" t="str">
        <f t="shared" si="57"/>
        <v>a) A la curación y rehabilitación del paciente.</v>
      </c>
    </row>
    <row r="1839" spans="1:5" x14ac:dyDescent="0.25">
      <c r="A1839">
        <v>1838</v>
      </c>
      <c r="B1839" t="s">
        <v>1068</v>
      </c>
      <c r="C1839">
        <v>0</v>
      </c>
      <c r="D1839" t="str">
        <f t="shared" si="58"/>
        <v>b</v>
      </c>
      <c r="E1839" t="str">
        <f t="shared" si="57"/>
        <v>b) A la fragmentación y dispersión de un sujeto.</v>
      </c>
    </row>
    <row r="1840" spans="1:5" x14ac:dyDescent="0.25">
      <c r="A1840">
        <v>1839</v>
      </c>
      <c r="B1840" t="s">
        <v>1069</v>
      </c>
      <c r="C1840">
        <v>0</v>
      </c>
      <c r="D1840" t="str">
        <f t="shared" si="58"/>
        <v>c</v>
      </c>
      <c r="E1840" t="str">
        <f t="shared" si="57"/>
        <v>c) A la reclusión y desafiliación del ciudadano.</v>
      </c>
    </row>
    <row r="1841" spans="1:5" x14ac:dyDescent="0.25">
      <c r="A1841">
        <v>1840</v>
      </c>
      <c r="B1841" t="s">
        <v>1070</v>
      </c>
      <c r="C1841">
        <v>0</v>
      </c>
      <c r="D1841" t="str">
        <f t="shared" si="58"/>
        <v>d</v>
      </c>
      <c r="E1841" t="str">
        <f t="shared" si="57"/>
        <v>d) Al bienestar y restitución identitaria del enfermo.</v>
      </c>
    </row>
    <row r="1842" spans="1:5" x14ac:dyDescent="0.25">
      <c r="A1842">
        <v>1841</v>
      </c>
      <c r="B1842" t="s">
        <v>1882</v>
      </c>
      <c r="C1842">
        <v>1</v>
      </c>
      <c r="D1842" t="str">
        <f t="shared" si="58"/>
        <v>P</v>
      </c>
      <c r="E1842" t="str">
        <f t="shared" si="57"/>
        <v>Para Silvia Faraone ¿Cómo se expresa desde lo discursivo formal lo que se lee como custodia institucional del paciente?</v>
      </c>
    </row>
    <row r="1843" spans="1:5" x14ac:dyDescent="0.25">
      <c r="A1843">
        <v>1842</v>
      </c>
      <c r="B1843" t="s">
        <v>1071</v>
      </c>
      <c r="C1843">
        <v>0</v>
      </c>
      <c r="D1843" t="str">
        <f t="shared" si="58"/>
        <v>a</v>
      </c>
      <c r="E1843" t="str">
        <f t="shared" si="57"/>
        <v>a) Como modalidad asistencial.</v>
      </c>
    </row>
    <row r="1844" spans="1:5" x14ac:dyDescent="0.25">
      <c r="A1844">
        <v>1843</v>
      </c>
      <c r="B1844" t="s">
        <v>1072</v>
      </c>
      <c r="C1844">
        <v>0</v>
      </c>
      <c r="D1844" t="str">
        <f t="shared" si="58"/>
        <v>*</v>
      </c>
      <c r="E1844" t="str">
        <f t="shared" si="57"/>
        <v>b) Como necesidad proteccional.</v>
      </c>
    </row>
    <row r="1845" spans="1:5" x14ac:dyDescent="0.25">
      <c r="A1845">
        <v>1844</v>
      </c>
      <c r="B1845" t="s">
        <v>1073</v>
      </c>
      <c r="C1845">
        <v>0</v>
      </c>
      <c r="D1845" t="str">
        <f t="shared" si="58"/>
        <v>c</v>
      </c>
      <c r="E1845" t="str">
        <f t="shared" si="57"/>
        <v>c) Como rehabilitación biopsicosocial.</v>
      </c>
    </row>
    <row r="1846" spans="1:5" x14ac:dyDescent="0.25">
      <c r="A1846">
        <v>1845</v>
      </c>
      <c r="B1846" t="s">
        <v>1074</v>
      </c>
      <c r="C1846">
        <v>0</v>
      </c>
      <c r="D1846" t="str">
        <f t="shared" si="58"/>
        <v>d</v>
      </c>
      <c r="E1846" t="str">
        <f t="shared" si="57"/>
        <v>d) Como situación de cura.</v>
      </c>
    </row>
    <row r="1847" spans="1:5" x14ac:dyDescent="0.25">
      <c r="A1847">
        <v>1846</v>
      </c>
      <c r="B1847" t="s">
        <v>1883</v>
      </c>
      <c r="C1847">
        <v>1</v>
      </c>
      <c r="D1847" t="str">
        <f t="shared" si="58"/>
        <v>¿</v>
      </c>
      <c r="E1847" t="str">
        <f t="shared" si="57"/>
        <v>¿Cómo concibe Floreal Ferrara a la salud, donde se combina en una estructura determinada lo biológico y lo social y se destruye la antigua concepción de la Atención Médica dedicada a la atención del enfermo?</v>
      </c>
    </row>
    <row r="1848" spans="1:5" x14ac:dyDescent="0.25">
      <c r="A1848">
        <v>1847</v>
      </c>
      <c r="B1848" t="s">
        <v>1075</v>
      </c>
      <c r="C1848">
        <v>0</v>
      </c>
      <c r="D1848" t="str">
        <f t="shared" si="58"/>
        <v>a</v>
      </c>
      <c r="E1848" t="str">
        <f t="shared" si="57"/>
        <v>a) Como atención clínica integral.</v>
      </c>
    </row>
    <row r="1849" spans="1:5" x14ac:dyDescent="0.25">
      <c r="A1849">
        <v>1848</v>
      </c>
      <c r="B1849" t="s">
        <v>1076</v>
      </c>
      <c r="C1849">
        <v>0</v>
      </c>
      <c r="D1849" t="str">
        <f t="shared" si="58"/>
        <v>b</v>
      </c>
      <c r="E1849" t="str">
        <f t="shared" si="57"/>
        <v>b) Como medicina sanitarista.</v>
      </c>
    </row>
    <row r="1850" spans="1:5" x14ac:dyDescent="0.25">
      <c r="A1850">
        <v>1849</v>
      </c>
      <c r="B1850" t="s">
        <v>1077</v>
      </c>
      <c r="C1850">
        <v>0</v>
      </c>
      <c r="D1850" t="str">
        <f t="shared" si="58"/>
        <v>*</v>
      </c>
      <c r="E1850" t="str">
        <f t="shared" si="57"/>
        <v>c) Como proceso globalizador.</v>
      </c>
    </row>
    <row r="1851" spans="1:5" x14ac:dyDescent="0.25">
      <c r="A1851">
        <v>1850</v>
      </c>
      <c r="B1851" t="s">
        <v>1078</v>
      </c>
      <c r="C1851">
        <v>0</v>
      </c>
      <c r="D1851" t="str">
        <f t="shared" si="58"/>
        <v>d</v>
      </c>
      <c r="E1851" t="str">
        <f t="shared" si="57"/>
        <v>d) Como proceso de salud.</v>
      </c>
    </row>
    <row r="1852" spans="1:5" x14ac:dyDescent="0.25">
      <c r="A1852">
        <v>1851</v>
      </c>
      <c r="B1852" t="s">
        <v>1884</v>
      </c>
      <c r="C1852">
        <v>1</v>
      </c>
      <c r="D1852" t="str">
        <f t="shared" si="58"/>
        <v>M</v>
      </c>
      <c r="E1852" t="str">
        <f t="shared" si="57"/>
        <v>Maitena Fidalgo sostiene que para alcanzar la finalidad de atención de la salud de sus destinatarios, todo sistema de salud requiere un dole modelo simultáneo.¿A qué modelos hace referencia?</v>
      </c>
    </row>
    <row r="1853" spans="1:5" x14ac:dyDescent="0.25">
      <c r="A1853">
        <v>1852</v>
      </c>
      <c r="B1853" t="s">
        <v>1079</v>
      </c>
      <c r="C1853">
        <v>0</v>
      </c>
      <c r="D1853" t="str">
        <f t="shared" si="58"/>
        <v>a</v>
      </c>
      <c r="E1853" t="str">
        <f t="shared" si="57"/>
        <v>a) Asistencial y preventivo.</v>
      </c>
    </row>
    <row r="1854" spans="1:5" x14ac:dyDescent="0.25">
      <c r="A1854">
        <v>1853</v>
      </c>
      <c r="B1854" t="s">
        <v>1080</v>
      </c>
      <c r="C1854">
        <v>0</v>
      </c>
      <c r="D1854" t="str">
        <f t="shared" si="58"/>
        <v>b</v>
      </c>
      <c r="E1854" t="str">
        <f t="shared" si="57"/>
        <v>b) Económico y social.</v>
      </c>
    </row>
    <row r="1855" spans="1:5" x14ac:dyDescent="0.25">
      <c r="A1855">
        <v>1854</v>
      </c>
      <c r="B1855" t="s">
        <v>1081</v>
      </c>
      <c r="C1855">
        <v>0</v>
      </c>
      <c r="D1855" t="str">
        <f t="shared" si="58"/>
        <v>*</v>
      </c>
      <c r="E1855" t="str">
        <f t="shared" si="57"/>
        <v>c) Organización y financiamiento.</v>
      </c>
    </row>
    <row r="1856" spans="1:5" x14ac:dyDescent="0.25">
      <c r="A1856">
        <v>1855</v>
      </c>
      <c r="B1856" t="s">
        <v>1082</v>
      </c>
      <c r="C1856">
        <v>0</v>
      </c>
      <c r="D1856" t="str">
        <f t="shared" si="58"/>
        <v>d</v>
      </c>
      <c r="E1856" t="str">
        <f t="shared" si="57"/>
        <v>d) Promoción y rehabilitación.</v>
      </c>
    </row>
    <row r="1857" spans="1:5" x14ac:dyDescent="0.25">
      <c r="A1857">
        <v>1856</v>
      </c>
      <c r="B1857" t="s">
        <v>1885</v>
      </c>
      <c r="C1857">
        <v>1</v>
      </c>
      <c r="D1857" t="str">
        <f t="shared" si="58"/>
        <v>S</v>
      </c>
      <c r="E1857" t="str">
        <f t="shared" si="57"/>
        <v>Según Gonzalez García y Tobar, citados por Maitena Fidalgo, ¿Cuáles son los principios rectores en relación a los cuales los sistemas de salud suelen definir una postura implícita o explícita?</v>
      </c>
    </row>
    <row r="1858" spans="1:5" x14ac:dyDescent="0.25">
      <c r="A1858">
        <v>1857</v>
      </c>
      <c r="B1858" t="s">
        <v>1083</v>
      </c>
      <c r="C1858">
        <v>0</v>
      </c>
      <c r="D1858" t="str">
        <f t="shared" si="58"/>
        <v>a</v>
      </c>
      <c r="E1858" t="str">
        <f t="shared" si="57"/>
        <v>a) Beneficiarios, riesgos y cobertura.</v>
      </c>
    </row>
    <row r="1859" spans="1:5" x14ac:dyDescent="0.25">
      <c r="A1859">
        <v>1858</v>
      </c>
      <c r="B1859" t="s">
        <v>1084</v>
      </c>
      <c r="C1859">
        <v>0</v>
      </c>
      <c r="D1859" t="str">
        <f t="shared" si="58"/>
        <v>b</v>
      </c>
      <c r="E1859" t="str">
        <f t="shared" ref="E1859:E1922" si="59">+IF(D1859="*",MID(B1859,3,500),B1859)</f>
        <v>b) Equidad, eficacia y ética.</v>
      </c>
    </row>
    <row r="1860" spans="1:5" x14ac:dyDescent="0.25">
      <c r="A1860">
        <v>1859</v>
      </c>
      <c r="B1860" t="s">
        <v>1085</v>
      </c>
      <c r="C1860">
        <v>0</v>
      </c>
      <c r="D1860" t="str">
        <f t="shared" si="58"/>
        <v>c</v>
      </c>
      <c r="E1860" t="str">
        <f t="shared" si="59"/>
        <v>c) Homogéneo, básico y general.</v>
      </c>
    </row>
    <row r="1861" spans="1:5" x14ac:dyDescent="0.25">
      <c r="A1861">
        <v>1860</v>
      </c>
      <c r="B1861" t="s">
        <v>1086</v>
      </c>
      <c r="C1861">
        <v>0</v>
      </c>
      <c r="D1861" t="str">
        <f t="shared" si="58"/>
        <v>*</v>
      </c>
      <c r="E1861" t="str">
        <f t="shared" si="59"/>
        <v>d) Solidaridad, calidad y eficiencia.</v>
      </c>
    </row>
    <row r="1862" spans="1:5" x14ac:dyDescent="0.25">
      <c r="A1862">
        <v>1861</v>
      </c>
      <c r="B1862" t="s">
        <v>1886</v>
      </c>
      <c r="C1862">
        <v>1</v>
      </c>
      <c r="D1862" t="str">
        <f t="shared" si="58"/>
        <v>P</v>
      </c>
      <c r="E1862" t="str">
        <f t="shared" si="59"/>
        <v>Para Foucault en la Edad Media ¿Cuál era el mecanismo para la purificación del medio urbano ante un caso de lepra?</v>
      </c>
    </row>
    <row r="1863" spans="1:5" x14ac:dyDescent="0.25">
      <c r="A1863">
        <v>1862</v>
      </c>
      <c r="B1863" t="s">
        <v>1087</v>
      </c>
      <c r="C1863">
        <v>0</v>
      </c>
      <c r="D1863" t="str">
        <f t="shared" si="58"/>
        <v>a</v>
      </c>
      <c r="E1863" t="str">
        <f t="shared" si="59"/>
        <v>a) La asistencia.</v>
      </c>
    </row>
    <row r="1864" spans="1:5" x14ac:dyDescent="0.25">
      <c r="A1864">
        <v>1863</v>
      </c>
      <c r="B1864" t="s">
        <v>1088</v>
      </c>
      <c r="C1864">
        <v>0</v>
      </c>
      <c r="D1864" t="str">
        <f t="shared" si="58"/>
        <v>*</v>
      </c>
      <c r="E1864" t="str">
        <f t="shared" si="59"/>
        <v>b) La exclusión.</v>
      </c>
    </row>
    <row r="1865" spans="1:5" x14ac:dyDescent="0.25">
      <c r="A1865">
        <v>1864</v>
      </c>
      <c r="B1865" t="s">
        <v>1089</v>
      </c>
      <c r="C1865">
        <v>0</v>
      </c>
      <c r="D1865" t="str">
        <f t="shared" si="58"/>
        <v>c</v>
      </c>
      <c r="E1865" t="str">
        <f t="shared" si="59"/>
        <v>c) La reclusión.</v>
      </c>
    </row>
    <row r="1866" spans="1:5" x14ac:dyDescent="0.25">
      <c r="A1866">
        <v>1865</v>
      </c>
      <c r="B1866" t="s">
        <v>1090</v>
      </c>
      <c r="C1866">
        <v>0</v>
      </c>
      <c r="D1866" t="str">
        <f t="shared" si="58"/>
        <v>d</v>
      </c>
      <c r="E1866" t="str">
        <f t="shared" si="59"/>
        <v>d) La sanación.</v>
      </c>
    </row>
    <row r="1867" spans="1:5" x14ac:dyDescent="0.25">
      <c r="A1867">
        <v>1866</v>
      </c>
      <c r="B1867" s="1" t="s">
        <v>1887</v>
      </c>
      <c r="C1867">
        <v>1</v>
      </c>
      <c r="D1867" t="str">
        <f t="shared" si="58"/>
        <v>F</v>
      </c>
      <c r="E1867" t="str">
        <f t="shared" si="59"/>
        <v>Foucault refiere cuatro grandes procesos que caracterizan a la medicina del Siglo XVIII: -la aparición de una autoridad médica, -de un campo de intervención distinto de las enfermedades, -la introducción del hospital como aparato de medicalización colectiva, ¿Cuál es el cuarto proceso?</v>
      </c>
    </row>
    <row r="1868" spans="1:5" x14ac:dyDescent="0.25">
      <c r="A1868">
        <v>1867</v>
      </c>
      <c r="B1868" t="s">
        <v>1091</v>
      </c>
      <c r="C1868">
        <v>0</v>
      </c>
      <c r="D1868" t="str">
        <f t="shared" si="58"/>
        <v>a</v>
      </c>
      <c r="E1868" t="str">
        <f t="shared" si="59"/>
        <v>a) Aumento de la industrialización y población urbana.</v>
      </c>
    </row>
    <row r="1869" spans="1:5" x14ac:dyDescent="0.25">
      <c r="A1869">
        <v>1868</v>
      </c>
      <c r="B1869" t="s">
        <v>1092</v>
      </c>
      <c r="C1869">
        <v>0</v>
      </c>
      <c r="D1869" t="str">
        <f t="shared" si="58"/>
        <v>b</v>
      </c>
      <c r="E1869" t="str">
        <f t="shared" si="59"/>
        <v>b) Desarrollo de la homeopatía y alopatía.</v>
      </c>
    </row>
    <row r="1870" spans="1:5" x14ac:dyDescent="0.25">
      <c r="A1870">
        <v>1869</v>
      </c>
      <c r="B1870" t="s">
        <v>1093</v>
      </c>
      <c r="C1870">
        <v>0</v>
      </c>
      <c r="D1870" t="str">
        <f t="shared" si="58"/>
        <v>c</v>
      </c>
      <c r="E1870" t="str">
        <f t="shared" si="59"/>
        <v>c) Incorporación de otros ámbitos de acción como la ingeniería.</v>
      </c>
    </row>
    <row r="1871" spans="1:5" x14ac:dyDescent="0.25">
      <c r="A1871">
        <v>1870</v>
      </c>
      <c r="B1871" t="s">
        <v>1094</v>
      </c>
      <c r="C1871">
        <v>0</v>
      </c>
      <c r="D1871" t="str">
        <f t="shared" si="58"/>
        <v>*</v>
      </c>
      <c r="E1871" t="str">
        <f t="shared" si="59"/>
        <v>d) Introducción de mecanismos de administración médica.</v>
      </c>
    </row>
    <row r="1872" spans="1:5" x14ac:dyDescent="0.25">
      <c r="A1872">
        <v>1871</v>
      </c>
      <c r="B1872" t="s">
        <v>1888</v>
      </c>
      <c r="C1872">
        <v>1</v>
      </c>
      <c r="D1872" t="str">
        <f t="shared" si="58"/>
        <v>S</v>
      </c>
      <c r="E1872" t="str">
        <f t="shared" si="59"/>
        <v>Según Graciela Touzé en su artículo "Uso de drogas y VIH-SIDA", ¿Cuándo comienza a ser definido como anormal y como problema el uso de drogas?</v>
      </c>
    </row>
    <row r="1873" spans="1:5" x14ac:dyDescent="0.25">
      <c r="A1873">
        <v>1872</v>
      </c>
      <c r="B1873" t="s">
        <v>1095</v>
      </c>
      <c r="C1873">
        <v>0</v>
      </c>
      <c r="D1873" t="str">
        <f t="shared" si="58"/>
        <v>a</v>
      </c>
      <c r="E1873" t="str">
        <f t="shared" si="59"/>
        <v>a) Fines del Siglo XVIII.</v>
      </c>
    </row>
    <row r="1874" spans="1:5" x14ac:dyDescent="0.25">
      <c r="A1874">
        <v>1873</v>
      </c>
      <c r="B1874" t="s">
        <v>1096</v>
      </c>
      <c r="C1874">
        <v>0</v>
      </c>
      <c r="D1874" t="str">
        <f t="shared" si="58"/>
        <v>*</v>
      </c>
      <c r="E1874" t="str">
        <f t="shared" si="59"/>
        <v>b) Segunda mitad del Siglo XIX.</v>
      </c>
    </row>
    <row r="1875" spans="1:5" x14ac:dyDescent="0.25">
      <c r="A1875">
        <v>1874</v>
      </c>
      <c r="B1875" t="s">
        <v>1097</v>
      </c>
      <c r="C1875">
        <v>0</v>
      </c>
      <c r="D1875" t="str">
        <f t="shared" si="58"/>
        <v>c</v>
      </c>
      <c r="E1875" t="str">
        <f t="shared" si="59"/>
        <v>c) Principios del Siglo XX.</v>
      </c>
    </row>
    <row r="1876" spans="1:5" x14ac:dyDescent="0.25">
      <c r="A1876">
        <v>1875</v>
      </c>
      <c r="B1876" t="s">
        <v>1098</v>
      </c>
      <c r="C1876">
        <v>0</v>
      </c>
      <c r="D1876" t="str">
        <f t="shared" si="58"/>
        <v>d</v>
      </c>
      <c r="E1876" t="str">
        <f t="shared" si="59"/>
        <v>d) Segunda mitad del Siglo XX.</v>
      </c>
    </row>
    <row r="1877" spans="1:5" x14ac:dyDescent="0.25">
      <c r="A1877">
        <v>1876</v>
      </c>
      <c r="B1877" t="s">
        <v>1889</v>
      </c>
      <c r="C1877">
        <v>1</v>
      </c>
      <c r="D1877" t="str">
        <f t="shared" si="58"/>
        <v>E</v>
      </c>
      <c r="E1877" t="str">
        <f t="shared" si="59"/>
        <v>En "La enfermedad y sus metáforas"¿Cómo considera Susan Sontag a las fantasías inspiradas por la tuberculosis en el siglo pasado y por el cáncer  hoy, en una época en que la premisa de la medicina es que todas las enfermedades pueden curarse?</v>
      </c>
    </row>
    <row r="1878" spans="1:5" x14ac:dyDescent="0.25">
      <c r="A1878">
        <v>1877</v>
      </c>
      <c r="B1878" t="s">
        <v>1099</v>
      </c>
      <c r="C1878">
        <v>0</v>
      </c>
      <c r="D1878" t="str">
        <f t="shared" si="58"/>
        <v>a</v>
      </c>
      <c r="E1878" t="str">
        <f t="shared" si="59"/>
        <v>a) Son construcciones sociales para controlar a la población a través del poder médico.</v>
      </c>
    </row>
    <row r="1879" spans="1:5" x14ac:dyDescent="0.25">
      <c r="A1879">
        <v>1878</v>
      </c>
      <c r="B1879" t="s">
        <v>1100</v>
      </c>
      <c r="C1879">
        <v>0</v>
      </c>
      <c r="D1879" t="str">
        <f t="shared" si="58"/>
        <v>b</v>
      </c>
      <c r="E1879" t="str">
        <f t="shared" si="59"/>
        <v>b) Son miedos producto del desconocimiento y de la falta de información en la población.</v>
      </c>
    </row>
    <row r="1880" spans="1:5" x14ac:dyDescent="0.25">
      <c r="A1880">
        <v>1879</v>
      </c>
      <c r="B1880" t="s">
        <v>1101</v>
      </c>
      <c r="C1880">
        <v>0</v>
      </c>
      <c r="D1880" t="str">
        <f t="shared" si="58"/>
        <v>*</v>
      </c>
      <c r="E1880" t="str">
        <f t="shared" si="59"/>
        <v>c) Son reacciones ante enfermedades consideradas intratables y caprichosas.</v>
      </c>
    </row>
    <row r="1881" spans="1:5" x14ac:dyDescent="0.25">
      <c r="A1881">
        <v>1880</v>
      </c>
      <c r="B1881" t="s">
        <v>1102</v>
      </c>
      <c r="C1881">
        <v>0</v>
      </c>
      <c r="D1881" t="str">
        <f t="shared" si="58"/>
        <v>d</v>
      </c>
      <c r="E1881" t="str">
        <f t="shared" si="59"/>
        <v>d) Son sensaciones masificadas e incontroladas ante la posibilidad de morir.</v>
      </c>
    </row>
    <row r="1882" spans="1:5" x14ac:dyDescent="0.25">
      <c r="A1882">
        <v>1881</v>
      </c>
      <c r="B1882" s="1" t="s">
        <v>1890</v>
      </c>
      <c r="C1882">
        <v>1</v>
      </c>
      <c r="D1882" t="str">
        <f t="shared" si="58"/>
        <v>D</v>
      </c>
      <c r="E1882" t="str">
        <f t="shared" si="59"/>
        <v>Desde el Ministerio de Salud de San Pedrito, un equipo de gestión está evaluando un cambio importante en la política de salud. Como existe poca información sanitaria y están próximas las elecciones a concejales, deciden organizar y lanzar el Programa de Atención Personal Inmediata en Salud, para tener mayor impacto en la población. Según el texto de Nicolini, ¿Qué tipo de planificación está utilizando este equipo?</v>
      </c>
    </row>
    <row r="1883" spans="1:5" x14ac:dyDescent="0.25">
      <c r="A1883">
        <v>1882</v>
      </c>
      <c r="B1883" t="s">
        <v>1103</v>
      </c>
      <c r="C1883">
        <v>0</v>
      </c>
      <c r="D1883" t="str">
        <f t="shared" si="58"/>
        <v>a</v>
      </c>
      <c r="E1883" t="str">
        <f t="shared" si="59"/>
        <v>a) Planificación de Emergencia.</v>
      </c>
    </row>
    <row r="1884" spans="1:5" x14ac:dyDescent="0.25">
      <c r="A1884">
        <v>1883</v>
      </c>
      <c r="B1884" t="s">
        <v>1104</v>
      </c>
      <c r="C1884">
        <v>0</v>
      </c>
      <c r="D1884" t="str">
        <f t="shared" si="58"/>
        <v>b</v>
      </c>
      <c r="E1884" t="str">
        <f t="shared" si="59"/>
        <v>b) Planificación Estratégica.</v>
      </c>
    </row>
    <row r="1885" spans="1:5" x14ac:dyDescent="0.25">
      <c r="A1885">
        <v>1884</v>
      </c>
      <c r="B1885" t="s">
        <v>1105</v>
      </c>
      <c r="C1885">
        <v>0</v>
      </c>
      <c r="D1885" t="str">
        <f t="shared" si="58"/>
        <v>c</v>
      </c>
      <c r="E1885" t="str">
        <f t="shared" si="59"/>
        <v>c) Planificación Participativa.</v>
      </c>
    </row>
    <row r="1886" spans="1:5" x14ac:dyDescent="0.25">
      <c r="A1886">
        <v>1885</v>
      </c>
      <c r="B1886" t="s">
        <v>1106</v>
      </c>
      <c r="C1886">
        <v>0</v>
      </c>
      <c r="D1886" t="str">
        <f t="shared" si="58"/>
        <v>*</v>
      </c>
      <c r="E1886" t="str">
        <f t="shared" si="59"/>
        <v>d) Planificación Normativa.</v>
      </c>
    </row>
    <row r="1887" spans="1:5" x14ac:dyDescent="0.25">
      <c r="A1887">
        <v>1886</v>
      </c>
      <c r="B1887" t="s">
        <v>1891</v>
      </c>
      <c r="C1887">
        <v>1</v>
      </c>
      <c r="D1887" t="str">
        <f t="shared" si="58"/>
        <v>¿</v>
      </c>
      <c r="E1887" t="str">
        <f t="shared" si="59"/>
        <v>¿Por qué, para María Eugenia Royer, la tasa de mortalidad infantil es usada como medida del estado de salud global de una población?</v>
      </c>
    </row>
    <row r="1888" spans="1:5" x14ac:dyDescent="0.25">
      <c r="A1888">
        <v>1887</v>
      </c>
      <c r="B1888" t="s">
        <v>1107</v>
      </c>
      <c r="C1888">
        <v>0</v>
      </c>
      <c r="D1888" t="str">
        <f t="shared" si="58"/>
        <v>*</v>
      </c>
      <c r="E1888" t="str">
        <f t="shared" si="59"/>
        <v>a) Porque se constituye en un dato sensible a los cambios socioeconómicos y a las intervenciones de atención sanitaria.</v>
      </c>
    </row>
    <row r="1889" spans="1:5" x14ac:dyDescent="0.25">
      <c r="A1889">
        <v>1888</v>
      </c>
      <c r="B1889" t="s">
        <v>1108</v>
      </c>
      <c r="C1889">
        <v>0</v>
      </c>
      <c r="D1889" t="str">
        <f t="shared" si="58"/>
        <v>b</v>
      </c>
      <c r="E1889" t="str">
        <f t="shared" si="59"/>
        <v>b) Porque es el promedio de la población infantil que muere sobre la que vive y un dato a partir del cual puede realizarse un diagnóstico situacional de salud.</v>
      </c>
    </row>
    <row r="1890" spans="1:5" x14ac:dyDescent="0.25">
      <c r="A1890">
        <v>1889</v>
      </c>
      <c r="B1890" t="s">
        <v>1109</v>
      </c>
      <c r="C1890">
        <v>0</v>
      </c>
      <c r="D1890" t="str">
        <f t="shared" si="58"/>
        <v>c</v>
      </c>
      <c r="E1890" t="str">
        <f t="shared" si="59"/>
        <v>c) Porque las políticas sociales inclusivas tienen como prioridad mejorar las condiciones de los niños recién nacidos y sus madres.</v>
      </c>
    </row>
    <row r="1891" spans="1:5" x14ac:dyDescent="0.25">
      <c r="A1891">
        <v>1890</v>
      </c>
      <c r="B1891" t="s">
        <v>1110</v>
      </c>
      <c r="C1891">
        <v>0</v>
      </c>
      <c r="D1891" t="str">
        <f t="shared" si="58"/>
        <v>d</v>
      </c>
      <c r="E1891" t="str">
        <f t="shared" si="59"/>
        <v>d) Porque actúa en consonancia con la Ley de los derechos de los niños, niñas y adolescentes.</v>
      </c>
    </row>
    <row r="1892" spans="1:5" x14ac:dyDescent="0.25">
      <c r="A1892">
        <v>1891</v>
      </c>
      <c r="B1892" s="1" t="s">
        <v>1892</v>
      </c>
      <c r="C1892">
        <v>1</v>
      </c>
      <c r="D1892" t="str">
        <f t="shared" ref="D1892:D1955" si="60">+MID(B1892,1,1)</f>
        <v>E</v>
      </c>
      <c r="E1892" t="str">
        <f t="shared" si="59"/>
        <v>En "Maltrato infantil intrafamiliar" Graciela Tonón menciona que la intervención específica del trabajador social remite a la posibilidad de integrar dos dimensiones, históricamente divididas en la realidad del trabajo con casos, ¿A qué dimesiones hace referencia la autora?</v>
      </c>
    </row>
    <row r="1893" spans="1:5" x14ac:dyDescent="0.25">
      <c r="A1893">
        <v>1892</v>
      </c>
      <c r="B1893" t="s">
        <v>1111</v>
      </c>
      <c r="C1893">
        <v>0</v>
      </c>
      <c r="D1893" t="str">
        <f t="shared" si="60"/>
        <v>a</v>
      </c>
      <c r="E1893" t="str">
        <f t="shared" si="59"/>
        <v>a) De la teoría y de la práctica.</v>
      </c>
    </row>
    <row r="1894" spans="1:5" x14ac:dyDescent="0.25">
      <c r="A1894">
        <v>1893</v>
      </c>
      <c r="B1894" t="s">
        <v>1112</v>
      </c>
      <c r="C1894">
        <v>0</v>
      </c>
      <c r="D1894" t="str">
        <f t="shared" si="60"/>
        <v>*</v>
      </c>
      <c r="E1894" t="str">
        <f t="shared" si="59"/>
        <v>b) Del adentro y del afuera de la institución.</v>
      </c>
    </row>
    <row r="1895" spans="1:5" x14ac:dyDescent="0.25">
      <c r="A1895">
        <v>1894</v>
      </c>
      <c r="B1895" t="s">
        <v>1113</v>
      </c>
      <c r="C1895">
        <v>0</v>
      </c>
      <c r="D1895" t="str">
        <f t="shared" si="60"/>
        <v>c</v>
      </c>
      <c r="E1895" t="str">
        <f t="shared" si="59"/>
        <v>c) Del trabajo de investigación y del trabajo asistencial.</v>
      </c>
    </row>
    <row r="1896" spans="1:5" x14ac:dyDescent="0.25">
      <c r="A1896">
        <v>1895</v>
      </c>
      <c r="B1896" t="s">
        <v>1114</v>
      </c>
      <c r="C1896">
        <v>0</v>
      </c>
      <c r="D1896" t="str">
        <f t="shared" si="60"/>
        <v>d</v>
      </c>
      <c r="E1896" t="str">
        <f t="shared" si="59"/>
        <v>d) La familiar y la individual.</v>
      </c>
    </row>
    <row r="1897" spans="1:5" x14ac:dyDescent="0.25">
      <c r="A1897">
        <v>1896</v>
      </c>
      <c r="B1897" s="1" t="s">
        <v>1893</v>
      </c>
      <c r="C1897">
        <v>1</v>
      </c>
      <c r="D1897" t="str">
        <f t="shared" si="60"/>
        <v>C</v>
      </c>
      <c r="E1897" t="str">
        <f t="shared" si="59"/>
        <v>Cuando media inexistencia o privación del grupo familiar de pertenencia ¿Qué otra forma alternativa de convivencia contempla la Ley 114 de Protección Integral de los Derechos de niños,niñas y adolescentes de la Ciudad de Buenos Aires, además de las líneas de parentesco por consaguinidad o por afinidad y miembros de la familia ampliada?</v>
      </c>
    </row>
    <row r="1898" spans="1:5" x14ac:dyDescent="0.25">
      <c r="A1898">
        <v>1897</v>
      </c>
      <c r="B1898" t="s">
        <v>1115</v>
      </c>
      <c r="C1898">
        <v>0</v>
      </c>
      <c r="D1898" t="str">
        <f t="shared" si="60"/>
        <v>a</v>
      </c>
      <c r="E1898" t="str">
        <f t="shared" si="59"/>
        <v>a) Dispositivos de familias sustitutas.</v>
      </c>
    </row>
    <row r="1899" spans="1:5" x14ac:dyDescent="0.25">
      <c r="A1899">
        <v>1898</v>
      </c>
      <c r="B1899" t="s">
        <v>1116</v>
      </c>
      <c r="C1899">
        <v>0</v>
      </c>
      <c r="D1899" t="str">
        <f t="shared" si="60"/>
        <v>b</v>
      </c>
      <c r="E1899" t="str">
        <f t="shared" si="59"/>
        <v>b) Hogares protegidos.</v>
      </c>
    </row>
    <row r="1900" spans="1:5" x14ac:dyDescent="0.25">
      <c r="A1900">
        <v>1899</v>
      </c>
      <c r="B1900" t="s">
        <v>1117</v>
      </c>
      <c r="C1900">
        <v>0</v>
      </c>
      <c r="D1900" t="str">
        <f t="shared" si="60"/>
        <v>c</v>
      </c>
      <c r="E1900" t="str">
        <f t="shared" si="59"/>
        <v>c) Institutos de menores.</v>
      </c>
    </row>
    <row r="1901" spans="1:5" x14ac:dyDescent="0.25">
      <c r="A1901">
        <v>1900</v>
      </c>
      <c r="B1901" t="s">
        <v>1118</v>
      </c>
      <c r="C1901">
        <v>0</v>
      </c>
      <c r="D1901" t="str">
        <f t="shared" si="60"/>
        <v>*</v>
      </c>
      <c r="E1901" t="str">
        <f t="shared" si="59"/>
        <v>d) Miembros de la comunidad.</v>
      </c>
    </row>
    <row r="1902" spans="1:5" x14ac:dyDescent="0.25">
      <c r="A1902">
        <v>1901</v>
      </c>
      <c r="B1902" t="s">
        <v>1894</v>
      </c>
      <c r="C1902">
        <v>1</v>
      </c>
      <c r="D1902" t="str">
        <f t="shared" si="60"/>
        <v>S</v>
      </c>
      <c r="E1902" t="str">
        <f t="shared" si="59"/>
        <v>Según la Ley 26.061 de Protección Integral de los niños, niñas y adolescentes, ¿Cuáles son los requisitos que debe reunir quien se postule como Defensor de los Derechos de las Niñas,niños y adolescentes?</v>
      </c>
    </row>
    <row r="1903" spans="1:5" x14ac:dyDescent="0.25">
      <c r="A1903">
        <v>1902</v>
      </c>
      <c r="B1903" t="s">
        <v>1119</v>
      </c>
      <c r="C1903">
        <v>0</v>
      </c>
      <c r="D1903" t="str">
        <f t="shared" si="60"/>
        <v>a</v>
      </c>
      <c r="E1903" t="str">
        <f t="shared" si="59"/>
        <v>a) Acreditar una especialidad en Niños, niñas, Adolescencia y familia, ser Argentino o extranjero nacionalizado.</v>
      </c>
    </row>
    <row r="1904" spans="1:5" x14ac:dyDescent="0.25">
      <c r="A1904">
        <v>1903</v>
      </c>
      <c r="B1904" t="s">
        <v>1120</v>
      </c>
      <c r="C1904">
        <v>0</v>
      </c>
      <c r="D1904" t="str">
        <f t="shared" si="60"/>
        <v>b</v>
      </c>
      <c r="E1904" t="str">
        <f t="shared" si="59"/>
        <v>b) Tener menos de 50 años, formación en Derecho e Infancia, y amplia trayectoria en el área jurídica.</v>
      </c>
    </row>
    <row r="1905" spans="1:5" x14ac:dyDescent="0.25">
      <c r="A1905">
        <v>1904</v>
      </c>
      <c r="B1905" t="s">
        <v>1121</v>
      </c>
      <c r="C1905">
        <v>0</v>
      </c>
      <c r="D1905" t="str">
        <f t="shared" si="60"/>
        <v>*</v>
      </c>
      <c r="E1905" t="str">
        <f t="shared" si="59"/>
        <v>c) Ser Argentino, haber cumplido 30 años y acreditar idoneidad y especialización en la defensa y protección de los derechos de los niños, niñas, adolescentes y familia.</v>
      </c>
    </row>
    <row r="1906" spans="1:5" x14ac:dyDescent="0.25">
      <c r="A1906">
        <v>1905</v>
      </c>
      <c r="B1906" t="s">
        <v>1122</v>
      </c>
      <c r="C1906">
        <v>0</v>
      </c>
      <c r="D1906" t="str">
        <f t="shared" si="60"/>
        <v>d</v>
      </c>
      <c r="E1906" t="str">
        <f t="shared" si="59"/>
        <v>d) Ser elegido por las tres cuartas partes de los miembros del Consejo Federal de Niñez, Adolescencia y Familia, a través del voto directo.</v>
      </c>
    </row>
    <row r="1907" spans="1:5" x14ac:dyDescent="0.25">
      <c r="A1907">
        <v>1906</v>
      </c>
      <c r="B1907" s="1" t="s">
        <v>1895</v>
      </c>
      <c r="C1907">
        <v>1</v>
      </c>
      <c r="D1907" t="str">
        <f t="shared" si="60"/>
        <v>E</v>
      </c>
      <c r="E1907" t="str">
        <f t="shared" si="59"/>
        <v>El Sr. Juan Sosa de 63 años, oriundo de la provincia de San Luis, visitaba a su hermana en la Ciudad de Buenos Aires, cuando sufrio una descompensación y fue internado en el Hospital Zubizarreta. Allí le realizan estudios y le informan que padece una enfermedad oncológica avanzada, que debe quedarse internado para comenzar el tratamiento en forma inmediata y que por el momento no podrá regresar a su provincia por los cuidados que implica dicho tratamiento. Triste y confundido el Sr. Sosa, junto con su hermana, se acercan al Servicio Social para buscar orientación, ya que desea volver a su ciudad para reunirse con su mujer, hijos y nietos y comenzar allí a atender su problema de salud. ¿Cómo puede orientar el Trabajador Social al Sr. Juan Sosa, según la Ley Básica de Salud?</v>
      </c>
    </row>
    <row r="1908" spans="1:5" x14ac:dyDescent="0.25">
      <c r="A1908">
        <v>1907</v>
      </c>
      <c r="B1908" t="s">
        <v>1123</v>
      </c>
      <c r="C1908">
        <v>0</v>
      </c>
      <c r="D1908" t="str">
        <f t="shared" si="60"/>
        <v>a</v>
      </c>
      <c r="E1908" t="str">
        <f t="shared" si="59"/>
        <v>a) Que si su médico lo indica, él deberá comenzar aquí el tratamiento dado lo crítico de su estado y que es lo mejor para su salud.</v>
      </c>
    </row>
    <row r="1909" spans="1:5" x14ac:dyDescent="0.25">
      <c r="A1909">
        <v>1908</v>
      </c>
      <c r="B1909" t="s">
        <v>1124</v>
      </c>
      <c r="C1909">
        <v>0</v>
      </c>
      <c r="D1909" t="str">
        <f t="shared" si="60"/>
        <v>*</v>
      </c>
      <c r="E1909" t="str">
        <f t="shared" si="59"/>
        <v>b) Que si no desea aceptar la indicación terapéutica debe firmar la historia clínica y el alta voluntaria.</v>
      </c>
    </row>
    <row r="1910" spans="1:5" x14ac:dyDescent="0.25">
      <c r="A1910">
        <v>1909</v>
      </c>
      <c r="B1910" t="s">
        <v>1125</v>
      </c>
      <c r="C1910">
        <v>0</v>
      </c>
      <c r="D1910" t="str">
        <f t="shared" si="60"/>
        <v>c</v>
      </c>
      <c r="E1910" t="str">
        <f t="shared" si="59"/>
        <v>c) Que si no desea iniciar su tratamiento debe solicitar autorización escrita al Director del Hospital para retirarse.</v>
      </c>
    </row>
    <row r="1911" spans="1:5" x14ac:dyDescent="0.25">
      <c r="A1911">
        <v>1910</v>
      </c>
      <c r="B1911" t="s">
        <v>1198</v>
      </c>
      <c r="C1911">
        <v>0</v>
      </c>
      <c r="D1911" t="str">
        <f t="shared" si="60"/>
        <v>d</v>
      </c>
      <c r="E1911" t="str">
        <f t="shared" si="59"/>
        <v>d) Que para retirarse del hospital en situación de salud crítica un responsable legal debe hacerse cargo firmando un consentimiento informado.</v>
      </c>
    </row>
    <row r="1912" spans="1:5" x14ac:dyDescent="0.25">
      <c r="A1912">
        <v>1911</v>
      </c>
      <c r="B1912" s="1" t="s">
        <v>1896</v>
      </c>
      <c r="C1912">
        <v>1</v>
      </c>
      <c r="D1912" t="str">
        <f t="shared" si="60"/>
        <v>L</v>
      </c>
      <c r="E1912" t="str">
        <f t="shared" si="59"/>
        <v>La Sra Susana Monti ingresa en ambulancia a la guardia del Hospital luego de que se desmayara en la vía pública, trayendo consigo sólo su DNI. Los médicos evalúan que debe someterse a una intervención quirúrgica menor y una vez compensada intentan explicarle pero resulta muy dificultoso entablar un diálogo con ella ya que es sordomuda y sólo se maneja con lenguaje de señas. En el marco de la Ley Básica de Salud Nº153, ¿Qué recomendación podrá realizar la Trabajadora Social al equipo de salud interviniente?</v>
      </c>
    </row>
    <row r="1913" spans="1:5" x14ac:dyDescent="0.25">
      <c r="A1913">
        <v>1912</v>
      </c>
      <c r="B1913" t="s">
        <v>1126</v>
      </c>
      <c r="C1913">
        <v>0</v>
      </c>
      <c r="D1913" t="str">
        <f t="shared" si="60"/>
        <v>*</v>
      </c>
      <c r="E1913" t="str">
        <f t="shared" si="59"/>
        <v>a) Que el paciente tiene derecho a recibir información completa y comprensible sobre su proceso de salud enfermedad por lo que sugiere la búsqueda  de algún intérprete.</v>
      </c>
    </row>
    <row r="1914" spans="1:5" x14ac:dyDescent="0.25">
      <c r="A1914">
        <v>1913</v>
      </c>
      <c r="B1914" t="s">
        <v>1127</v>
      </c>
      <c r="C1914">
        <v>0</v>
      </c>
      <c r="D1914" t="str">
        <f t="shared" si="60"/>
        <v>b</v>
      </c>
      <c r="E1914" t="str">
        <f t="shared" si="59"/>
        <v>b) Que se debe dar intervención a la Defensoría de Menores e Incapaces de Turno para que autoricen la intervención dada la discapacidad del paciente.</v>
      </c>
    </row>
    <row r="1915" spans="1:5" x14ac:dyDescent="0.25">
      <c r="A1915">
        <v>1914</v>
      </c>
      <c r="B1915" t="s">
        <v>1128</v>
      </c>
      <c r="C1915">
        <v>0</v>
      </c>
      <c r="D1915" t="str">
        <f t="shared" si="60"/>
        <v>c</v>
      </c>
      <c r="E1915" t="str">
        <f t="shared" si="59"/>
        <v>c) Que se debe realizar la intervención con el consentimiento único del médico tratante aunque el paciente esté fuera de peligro.</v>
      </c>
    </row>
    <row r="1916" spans="1:5" x14ac:dyDescent="0.25">
      <c r="A1916">
        <v>1915</v>
      </c>
      <c r="B1916" t="s">
        <v>1129</v>
      </c>
      <c r="C1916">
        <v>0</v>
      </c>
      <c r="D1916" t="str">
        <f t="shared" si="60"/>
        <v>d</v>
      </c>
      <c r="E1916" t="str">
        <f t="shared" si="59"/>
        <v>d) Que se debe dar de alta a la paciente ante la imposibilidad de comprender la indicación médica ya que no es una intervención quirúrgica urgente.</v>
      </c>
    </row>
    <row r="1917" spans="1:5" x14ac:dyDescent="0.25">
      <c r="A1917">
        <v>1916</v>
      </c>
      <c r="B1917" s="1" t="s">
        <v>1897</v>
      </c>
      <c r="C1917">
        <v>1</v>
      </c>
      <c r="D1917" t="str">
        <f t="shared" si="60"/>
        <v>U</v>
      </c>
      <c r="E1917" t="str">
        <f t="shared" si="59"/>
        <v>Una joven de 15 años comienza una relación de pareja con un compañero de curso. Ambos deciden cuidarse y realizar una consulta pero no están seguros de adónde dirigirse y si deben ir solos o acompañados al Hospital o centro de salud. Para resolver una mejor orientación concurren al Servicio Social del Centro de Salud cercano a la escuela. En el marco de la Ley Nº418 de Salud Sexual y Reproductiva ¿Cuál será la intervención adecuada de la Trabajadora Social?</v>
      </c>
    </row>
    <row r="1918" spans="1:5" x14ac:dyDescent="0.25">
      <c r="A1918">
        <v>1917</v>
      </c>
      <c r="B1918" t="s">
        <v>1130</v>
      </c>
      <c r="C1918">
        <v>0</v>
      </c>
      <c r="D1918" t="str">
        <f t="shared" si="60"/>
        <v>*</v>
      </c>
      <c r="E1918" t="str">
        <f t="shared" si="59"/>
        <v>a) Desarrollar acciones para garantizar la información y el acceso a métodos y prestaciones de anticoncepción para promover su libre elección.</v>
      </c>
    </row>
    <row r="1919" spans="1:5" x14ac:dyDescent="0.25">
      <c r="A1919">
        <v>1918</v>
      </c>
      <c r="B1919" t="s">
        <v>1131</v>
      </c>
      <c r="C1919">
        <v>0</v>
      </c>
      <c r="D1919" t="str">
        <f t="shared" si="60"/>
        <v>b</v>
      </c>
      <c r="E1919" t="str">
        <f t="shared" si="59"/>
        <v>b) Dado que son menores de edad deberá solicitar a los jóvenes que regresen con alguno de sus padres para poder brindarles información.</v>
      </c>
    </row>
    <row r="1920" spans="1:5" x14ac:dyDescent="0.25">
      <c r="A1920">
        <v>1919</v>
      </c>
      <c r="B1920" t="s">
        <v>1132</v>
      </c>
      <c r="C1920">
        <v>0</v>
      </c>
      <c r="D1920" t="str">
        <f t="shared" si="60"/>
        <v>c</v>
      </c>
      <c r="E1920" t="str">
        <f t="shared" si="59"/>
        <v>c) Articulará acciones con la escuela para la entrega gratuita de profilácticos como mejor método anticonceptivo.</v>
      </c>
    </row>
    <row r="1921" spans="1:5" x14ac:dyDescent="0.25">
      <c r="A1921">
        <v>1920</v>
      </c>
      <c r="B1921" t="s">
        <v>1133</v>
      </c>
      <c r="C1921">
        <v>0</v>
      </c>
      <c r="D1921" t="str">
        <f t="shared" si="60"/>
        <v>d</v>
      </c>
      <c r="E1921" t="str">
        <f t="shared" si="59"/>
        <v>d) Sólo se les brindará información sobre métodos anticonceptivos, para retirar alguno de ellos les solicitará un consentimiento escrito de alguno de sus padres.</v>
      </c>
    </row>
    <row r="1922" spans="1:5" x14ac:dyDescent="0.25">
      <c r="A1922">
        <v>1921</v>
      </c>
      <c r="B1922" t="s">
        <v>1898</v>
      </c>
      <c r="C1922">
        <v>1</v>
      </c>
      <c r="D1922" t="str">
        <f t="shared" si="60"/>
        <v>S</v>
      </c>
      <c r="E1922" t="str">
        <f t="shared" si="59"/>
        <v>Según la Ley 448 de Salud Mental de la Ciudad de Buenos Aires, ¿Cómo debe ser considera el alta de una persona afectada por un padecimiento mental?</v>
      </c>
    </row>
    <row r="1923" spans="1:5" x14ac:dyDescent="0.25">
      <c r="A1923">
        <v>1922</v>
      </c>
      <c r="B1923" t="s">
        <v>1134</v>
      </c>
      <c r="C1923">
        <v>0</v>
      </c>
      <c r="D1923" t="str">
        <f t="shared" si="60"/>
        <v>a</v>
      </c>
      <c r="E1923" t="str">
        <f t="shared" ref="E1923:E1986" si="61">+IF(D1923="*",MID(B1923,3,500),B1923)</f>
        <v>a) Como la desaparición del malestar psíquico.</v>
      </c>
    </row>
    <row r="1924" spans="1:5" x14ac:dyDescent="0.25">
      <c r="A1924">
        <v>1923</v>
      </c>
      <c r="B1924" t="s">
        <v>1135</v>
      </c>
      <c r="C1924">
        <v>0</v>
      </c>
      <c r="D1924" t="str">
        <f t="shared" si="60"/>
        <v>*</v>
      </c>
      <c r="E1924" t="str">
        <f t="shared" si="61"/>
        <v>b) Como parte del tratamiento.</v>
      </c>
    </row>
    <row r="1925" spans="1:5" x14ac:dyDescent="0.25">
      <c r="A1925">
        <v>1924</v>
      </c>
      <c r="B1925" t="s">
        <v>1136</v>
      </c>
      <c r="C1925">
        <v>0</v>
      </c>
      <c r="D1925" t="str">
        <f t="shared" si="60"/>
        <v>c</v>
      </c>
      <c r="E1925" t="str">
        <f t="shared" si="61"/>
        <v>c) Como la última instancia del proceso de atención.</v>
      </c>
    </row>
    <row r="1926" spans="1:5" x14ac:dyDescent="0.25">
      <c r="A1926">
        <v>1925</v>
      </c>
      <c r="B1926" t="s">
        <v>1137</v>
      </c>
      <c r="C1926">
        <v>0</v>
      </c>
      <c r="D1926" t="str">
        <f t="shared" si="60"/>
        <v>d</v>
      </c>
      <c r="E1926" t="str">
        <f t="shared" si="61"/>
        <v>d) Como la recuperación de la capacidad de circular socialmente.</v>
      </c>
    </row>
    <row r="1927" spans="1:5" x14ac:dyDescent="0.25">
      <c r="A1927">
        <v>1926</v>
      </c>
      <c r="B1927" s="1" t="s">
        <v>1899</v>
      </c>
      <c r="C1927">
        <v>1</v>
      </c>
      <c r="D1927" t="str">
        <f t="shared" si="60"/>
        <v>E</v>
      </c>
      <c r="E1927" t="str">
        <f t="shared" si="61"/>
        <v>Esteban, de 25 años de edad, fue llevado por la policía e internado de urgencia en la guardia de un Hospital Psiquiátrico debido a la agudización de su cuadro, cumpliéndose con todos los requisitos y comunicaciones correspondientes a este tipo de internación. Al sexto día de internación,el equipo de salud interviniente evalúa que el paciente se encuentra en condiciones de ser dado de alta.No habiendo orden judicial que disponga la continuidad de internación, el director del establecimiento comunica tal situación al Ministerio de Menores e Incapaces. Dentro del tercer día siguiente a la última comunicación, no habiendo recibido la orden judicial referida,y habiendo desaparecido las causas que justificaron la internación, según la Ley 22.914 de Internación y Egreso de Establecimientos de Salud Mental ¿Quién puede disponer el cese de la internación?</v>
      </c>
    </row>
    <row r="1928" spans="1:5" x14ac:dyDescent="0.25">
      <c r="A1928">
        <v>1927</v>
      </c>
      <c r="B1928" t="s">
        <v>1138</v>
      </c>
      <c r="C1928">
        <v>0</v>
      </c>
      <c r="D1928" t="str">
        <f t="shared" si="60"/>
        <v>*</v>
      </c>
      <c r="E1928" t="str">
        <f t="shared" si="61"/>
        <v>a) El director del establecimiento.</v>
      </c>
    </row>
    <row r="1929" spans="1:5" x14ac:dyDescent="0.25">
      <c r="A1929">
        <v>1928</v>
      </c>
      <c r="B1929" t="s">
        <v>1139</v>
      </c>
      <c r="C1929">
        <v>0</v>
      </c>
      <c r="D1929" t="str">
        <f t="shared" si="60"/>
        <v>b</v>
      </c>
      <c r="E1929" t="str">
        <f t="shared" si="61"/>
        <v>b) El Departamento Legal y Técnico del Hospital.</v>
      </c>
    </row>
    <row r="1930" spans="1:5" x14ac:dyDescent="0.25">
      <c r="A1930">
        <v>1929</v>
      </c>
      <c r="B1930" t="s">
        <v>1140</v>
      </c>
      <c r="C1930">
        <v>0</v>
      </c>
      <c r="D1930" t="str">
        <f t="shared" si="60"/>
        <v>c</v>
      </c>
      <c r="E1930" t="str">
        <f t="shared" si="61"/>
        <v>c) El Departamento de Servicio Social.</v>
      </c>
    </row>
    <row r="1931" spans="1:5" x14ac:dyDescent="0.25">
      <c r="A1931">
        <v>1930</v>
      </c>
      <c r="B1931" t="s">
        <v>1141</v>
      </c>
      <c r="C1931">
        <v>0</v>
      </c>
      <c r="D1931" t="str">
        <f t="shared" si="60"/>
        <v>d</v>
      </c>
      <c r="E1931" t="str">
        <f t="shared" si="61"/>
        <v>d) El Ministerio de Menores e Incapaces.</v>
      </c>
    </row>
    <row r="1932" spans="1:5" x14ac:dyDescent="0.25">
      <c r="A1932">
        <v>1931</v>
      </c>
      <c r="B1932" s="1" t="s">
        <v>1900</v>
      </c>
      <c r="C1932">
        <v>1</v>
      </c>
      <c r="D1932" t="str">
        <f t="shared" si="60"/>
        <v>J</v>
      </c>
      <c r="E1932" t="str">
        <f t="shared" si="61"/>
        <v>Juana tiene un hijo, Octavio de 6 años con parálisis en sus piernas. Hasta el momento y por consejo del médico siempre lo ha enviado a jardines especiales. A punto de comenzar la primaria, Juana no sabe adónde enviar a cursar primer grado a su hijo, pues teme que sea discriminado. Se acerca a la Dirección de Discapacidad del Gobierno de la Ciudad buscando orientación sobre el tema. Según la Ley 22.431 "Sistema de Protección integral de personas discapacitadas" ¿Dónde deben realizar la escolarización las personas con bajo grado de discapacidad?</v>
      </c>
    </row>
    <row r="1933" spans="1:5" x14ac:dyDescent="0.25">
      <c r="A1933">
        <v>1932</v>
      </c>
      <c r="B1933" t="s">
        <v>1142</v>
      </c>
      <c r="C1933">
        <v>0</v>
      </c>
      <c r="D1933" t="str">
        <f t="shared" si="60"/>
        <v>a</v>
      </c>
      <c r="E1933" t="str">
        <f t="shared" si="61"/>
        <v>a) Escuelas especiales con docentes y apoyos provistos por los interesados.</v>
      </c>
    </row>
    <row r="1934" spans="1:5" x14ac:dyDescent="0.25">
      <c r="A1934">
        <v>1933</v>
      </c>
      <c r="B1934" t="s">
        <v>1143</v>
      </c>
      <c r="C1934">
        <v>0</v>
      </c>
      <c r="D1934" t="str">
        <f t="shared" si="60"/>
        <v>*</v>
      </c>
      <c r="E1934" t="str">
        <f t="shared" si="61"/>
        <v>b) Establecimientos comunes con los apoyos necesarios provistos gratuitamente.</v>
      </c>
    </row>
    <row r="1935" spans="1:5" x14ac:dyDescent="0.25">
      <c r="A1935">
        <v>1934</v>
      </c>
      <c r="B1935" t="s">
        <v>1144</v>
      </c>
      <c r="C1935">
        <v>0</v>
      </c>
      <c r="D1935" t="str">
        <f t="shared" si="60"/>
        <v>c</v>
      </c>
      <c r="E1935" t="str">
        <f t="shared" si="61"/>
        <v>c) Centros de día subvencionados por el Estado o por las obras sociales.</v>
      </c>
    </row>
    <row r="1936" spans="1:5" x14ac:dyDescent="0.25">
      <c r="A1936">
        <v>1935</v>
      </c>
      <c r="B1936" t="s">
        <v>1145</v>
      </c>
      <c r="C1936">
        <v>0</v>
      </c>
      <c r="D1936" t="str">
        <f t="shared" si="60"/>
        <v>d</v>
      </c>
      <c r="E1936" t="str">
        <f t="shared" si="61"/>
        <v>d) Escuelas de oficio para chicos con discapacidades y con docentes especiales.</v>
      </c>
    </row>
    <row r="1937" spans="1:5" x14ac:dyDescent="0.25">
      <c r="A1937">
        <v>1936</v>
      </c>
      <c r="B1937" s="1" t="s">
        <v>1901</v>
      </c>
      <c r="C1937">
        <v>1</v>
      </c>
      <c r="D1937" t="str">
        <f t="shared" si="60"/>
        <v>O</v>
      </c>
      <c r="E1937" t="str">
        <f t="shared" si="61"/>
        <v>Olga y Rogelio residen en la Villa 1-11-14 desde hace siete años. Ellos son originarios de Perú y hace menos de un año acaban de dar a luz a una  niña llamada Abigail en el hospital Piñero, donde la inscribieron. Olga desea ir a visitar a su madre que reside en Perú, para ello planea viajar con su hija pero sin su marido, ya que por razones laborales él no la podrá acompañar. Se acerca al Servicio Social del CESAC pidiendo asesoramiento  sobre los requerimientos para viajar con su hija. Según la Ley 23264 de Filiación y Patria Potestad, ¿Qué orientación podrá realizar la Trabajadora Social del CESAC?</v>
      </c>
    </row>
    <row r="1938" spans="1:5" x14ac:dyDescent="0.25">
      <c r="A1938">
        <v>1937</v>
      </c>
      <c r="B1938" t="s">
        <v>1146</v>
      </c>
      <c r="C1938">
        <v>0</v>
      </c>
      <c r="D1938" t="str">
        <f t="shared" si="60"/>
        <v>a</v>
      </c>
      <c r="E1938" t="str">
        <f t="shared" si="61"/>
        <v>a) Le informará que no podrá viajar sola con su hija.</v>
      </c>
    </row>
    <row r="1939" spans="1:5" x14ac:dyDescent="0.25">
      <c r="A1939">
        <v>1938</v>
      </c>
      <c r="B1939" t="s">
        <v>1147</v>
      </c>
      <c r="C1939">
        <v>0</v>
      </c>
      <c r="D1939" t="str">
        <f t="shared" si="60"/>
        <v>b</v>
      </c>
      <c r="E1939" t="str">
        <f t="shared" si="61"/>
        <v>b) Le explicará que requerirá la autorización de un juez de menores para viajar con su hija.</v>
      </c>
    </row>
    <row r="1940" spans="1:5" x14ac:dyDescent="0.25">
      <c r="A1940">
        <v>1939</v>
      </c>
      <c r="B1940" t="s">
        <v>1148</v>
      </c>
      <c r="C1940">
        <v>0</v>
      </c>
      <c r="D1940" t="str">
        <f t="shared" si="60"/>
        <v>c</v>
      </c>
      <c r="E1940" t="str">
        <f t="shared" si="61"/>
        <v>c) Le informará que podrá viajar por ser el bebé de nacionalidad argentina.</v>
      </c>
    </row>
    <row r="1941" spans="1:5" x14ac:dyDescent="0.25">
      <c r="A1941">
        <v>1940</v>
      </c>
      <c r="B1941" t="s">
        <v>1149</v>
      </c>
      <c r="C1941">
        <v>0</v>
      </c>
      <c r="D1941" t="str">
        <f t="shared" si="60"/>
        <v>*</v>
      </c>
      <c r="E1941" t="str">
        <f t="shared" si="61"/>
        <v>d) Le explicará que requerirá el consentimiento de ambos padres para salir de la república.</v>
      </c>
    </row>
    <row r="1942" spans="1:5" x14ac:dyDescent="0.25">
      <c r="A1942">
        <v>1941</v>
      </c>
      <c r="B1942" s="1" t="s">
        <v>1902</v>
      </c>
      <c r="C1942">
        <v>1</v>
      </c>
      <c r="D1942" t="str">
        <f t="shared" si="60"/>
        <v>D</v>
      </c>
      <c r="E1942" t="str">
        <f t="shared" si="61"/>
        <v>Durante el período 2008-2010 por primera vez la Comisión Directiva del Consejo Profesional, estuvo conformada por los integrantes de la Lista Gris. Al finalizar los dos años de duración en sus funciones se convoca a una nueva elección. La Lista Gris decide presentarse a la próxima elección,a partir de la Ley 23.377 de Ejercicio Profesional de Servicio Social o Trabajo Social, ¿Qué podrán hacer los miembros de la Lista Gris?</v>
      </c>
    </row>
    <row r="1943" spans="1:5" x14ac:dyDescent="0.25">
      <c r="A1943">
        <v>1942</v>
      </c>
      <c r="B1943" t="s">
        <v>1150</v>
      </c>
      <c r="C1943">
        <v>0</v>
      </c>
      <c r="D1943" t="str">
        <f t="shared" si="60"/>
        <v>a</v>
      </c>
      <c r="E1943" t="str">
        <f t="shared" si="61"/>
        <v>a) No podrán presentarse a la próxima elección dado que deben dejar pasar un período de dos años.</v>
      </c>
    </row>
    <row r="1944" spans="1:5" x14ac:dyDescent="0.25">
      <c r="A1944">
        <v>1943</v>
      </c>
      <c r="B1944" t="s">
        <v>1151</v>
      </c>
      <c r="C1944">
        <v>0</v>
      </c>
      <c r="D1944" t="str">
        <f t="shared" si="60"/>
        <v>b</v>
      </c>
      <c r="E1944" t="str">
        <f t="shared" si="61"/>
        <v>b) No podrán ser reelectos para el mismo cargo dado que sólo pueden ejercer su función en un solo período.</v>
      </c>
    </row>
    <row r="1945" spans="1:5" x14ac:dyDescent="0.25">
      <c r="A1945">
        <v>1944</v>
      </c>
      <c r="B1945" t="s">
        <v>1152</v>
      </c>
      <c r="C1945">
        <v>0</v>
      </c>
      <c r="D1945" t="str">
        <f t="shared" si="60"/>
        <v>c</v>
      </c>
      <c r="E1945" t="str">
        <f t="shared" si="61"/>
        <v>c) Podrán presentarse en todos los llamados a elección sin restricciones.</v>
      </c>
    </row>
    <row r="1946" spans="1:5" x14ac:dyDescent="0.25">
      <c r="A1946">
        <v>1945</v>
      </c>
      <c r="B1946" t="s">
        <v>1153</v>
      </c>
      <c r="C1946">
        <v>0</v>
      </c>
      <c r="D1946" t="str">
        <f t="shared" si="60"/>
        <v>*</v>
      </c>
      <c r="E1946" t="str">
        <f t="shared" si="61"/>
        <v>d) Podrán ser reelectos para el mismo cargo por una sóla vez para el período inmendiato siguiente.</v>
      </c>
    </row>
    <row r="1947" spans="1:5" x14ac:dyDescent="0.25">
      <c r="A1947">
        <v>1946</v>
      </c>
      <c r="B1947" s="1" t="s">
        <v>1903</v>
      </c>
      <c r="C1947">
        <v>1</v>
      </c>
      <c r="D1947" t="str">
        <f t="shared" si="60"/>
        <v>E</v>
      </c>
      <c r="E1947" t="str">
        <f t="shared" si="61"/>
        <v>Edson y Andresa, nacidos en Brasil, contrajeron matrimonio en Argentina, país de residencia permanente de ambos, luego de siete años de convivencia. Los mismos concibieron a Thiago, quien actualmente cuenta con 6 años. Durante los últimos meses, y debido a las reiteradas discusiones y peleas, la pareja decidió iniciar los trámites de divorcio. Ya separados con sentencia firme, en las audiencias no pueden ponerse de acuerdo en relación al régimen de visitas y tenencia del niño. De acuerdo a la Ley 23.515 de Matrimonio en su artículo 206, ¿A cargo de quién quedará el niño?</v>
      </c>
    </row>
    <row r="1948" spans="1:5" x14ac:dyDescent="0.25">
      <c r="A1948">
        <v>1947</v>
      </c>
      <c r="B1948" t="s">
        <v>1154</v>
      </c>
      <c r="C1948">
        <v>0</v>
      </c>
      <c r="D1948" t="str">
        <f t="shared" si="60"/>
        <v>a</v>
      </c>
      <c r="E1948" t="str">
        <f t="shared" si="61"/>
        <v>a) Los mayores de 5 años a falta de acuerdo de los cónyuges, siempre quedarán a cargo de aquel que cuente con mayor solvencia económica.</v>
      </c>
    </row>
    <row r="1949" spans="1:5" x14ac:dyDescent="0.25">
      <c r="A1949">
        <v>1948</v>
      </c>
      <c r="B1949" t="s">
        <v>1155</v>
      </c>
      <c r="C1949">
        <v>0</v>
      </c>
      <c r="D1949" t="str">
        <f t="shared" si="60"/>
        <v>*</v>
      </c>
      <c r="E1949" t="str">
        <f t="shared" si="61"/>
        <v>b) Los mayores de 5 años a falta de acuerdo de los cónyuges, quedarán a cargo de aquel a quien el Juez considere mas idóneo.</v>
      </c>
    </row>
    <row r="1950" spans="1:5" x14ac:dyDescent="0.25">
      <c r="A1950">
        <v>1949</v>
      </c>
      <c r="B1950" t="s">
        <v>1156</v>
      </c>
      <c r="C1950">
        <v>0</v>
      </c>
      <c r="D1950" t="str">
        <f t="shared" si="60"/>
        <v>c</v>
      </c>
      <c r="E1950" t="str">
        <f t="shared" si="61"/>
        <v>c) Los mayores de 5 años siempre quedarán a cargo de la madre, salvo causas graves que afecten el interés del menor.</v>
      </c>
    </row>
    <row r="1951" spans="1:5" x14ac:dyDescent="0.25">
      <c r="A1951">
        <v>1950</v>
      </c>
      <c r="B1951" t="s">
        <v>1157</v>
      </c>
      <c r="C1951">
        <v>0</v>
      </c>
      <c r="D1951" t="str">
        <f t="shared" si="60"/>
        <v>d</v>
      </c>
      <c r="E1951" t="str">
        <f t="shared" si="61"/>
        <v>d) Los menores de 18 años a falta de acuerdo de los cónyuges, siempre podrán decidir con quién quieren quedarse.</v>
      </c>
    </row>
    <row r="1952" spans="1:5" x14ac:dyDescent="0.25">
      <c r="A1952">
        <v>1951</v>
      </c>
      <c r="B1952" s="1" t="s">
        <v>1904</v>
      </c>
      <c r="C1952">
        <v>1</v>
      </c>
      <c r="D1952" t="str">
        <f t="shared" si="60"/>
        <v>E</v>
      </c>
      <c r="E1952" t="str">
        <f t="shared" si="61"/>
        <v xml:space="preserve">El Señor Juan Bautista está preocupado porque su hijo de 18 años fue detenido por la policía ya que por la noche habia sido encontrado con un grupo de amigos fumando marihuana en el hall de un edificio y en los bolsillos también tenía dos cigarrillos de la misma sustancia. Teniendo en cuenta que esta detención es la primera vez que le ocurre al hijo de Juan y que nunca antes había consumido ningún tipo de drogas, según la Ley 23.737 de Tenencia y Tráfico de Estupefacientes ¿Qué medida podrá adoptar el Juez o Jueza ante un consumidor de estupefacientes principiante o sin experimentación que no tenga dependencia psíquica ni física? </v>
      </c>
    </row>
    <row r="1953" spans="1:5" x14ac:dyDescent="0.25">
      <c r="A1953">
        <v>1952</v>
      </c>
      <c r="B1953" t="s">
        <v>1158</v>
      </c>
      <c r="C1953">
        <v>0</v>
      </c>
      <c r="D1953" t="str">
        <f t="shared" si="60"/>
        <v>a</v>
      </c>
      <c r="E1953" t="str">
        <f t="shared" si="61"/>
        <v>a) Puede asignar una pena de un mes de prisión y tratamiento curativo de dos años de duración como máximo.</v>
      </c>
    </row>
    <row r="1954" spans="1:5" x14ac:dyDescent="0.25">
      <c r="A1954">
        <v>1953</v>
      </c>
      <c r="B1954" t="s">
        <v>1159</v>
      </c>
      <c r="C1954">
        <v>0</v>
      </c>
      <c r="D1954" t="str">
        <f t="shared" si="60"/>
        <v>*</v>
      </c>
      <c r="E1954" t="str">
        <f t="shared" si="61"/>
        <v>b) Puede otorgar una medida de seguridad educativa con una duración mínima de tres meses.</v>
      </c>
    </row>
    <row r="1955" spans="1:5" x14ac:dyDescent="0.25">
      <c r="A1955">
        <v>1954</v>
      </c>
      <c r="B1955" t="s">
        <v>1160</v>
      </c>
      <c r="C1955">
        <v>0</v>
      </c>
      <c r="D1955" t="str">
        <f t="shared" si="60"/>
        <v>c</v>
      </c>
      <c r="E1955" t="str">
        <f t="shared" si="61"/>
        <v>c) Puede otorgar una medida de seguridad curativa supervisada en forma conjunta por la familia y por peritos del área judicial, con un plazo de doce  meses.</v>
      </c>
    </row>
    <row r="1956" spans="1:5" x14ac:dyDescent="0.25">
      <c r="A1956">
        <v>1955</v>
      </c>
      <c r="B1956" t="s">
        <v>1161</v>
      </c>
      <c r="C1956">
        <v>0</v>
      </c>
      <c r="D1956" t="str">
        <f t="shared" ref="D1956:D2019" si="62">+MID(B1956,1,1)</f>
        <v>d</v>
      </c>
      <c r="E1956" t="str">
        <f t="shared" si="61"/>
        <v>d) No requiere de medidas de recuperación por no depender psíquica ni físicamentes de los estupefacientes.</v>
      </c>
    </row>
    <row r="1957" spans="1:5" x14ac:dyDescent="0.25">
      <c r="A1957">
        <v>1956</v>
      </c>
      <c r="B1957" s="1" t="s">
        <v>1905</v>
      </c>
      <c r="C1957">
        <v>1</v>
      </c>
      <c r="D1957" t="str">
        <f t="shared" si="62"/>
        <v>I</v>
      </c>
      <c r="E1957" t="str">
        <f t="shared" si="61"/>
        <v>Ivana de 34 años, concurre a la consulta con su médico, preocupada le comenta que mantuvo relaciones sexuales ocasionales sin protección con un joven. Refiere que luego de algunos meses se enteró que es portador de VIH. Según la Ley Nacional de SIDA Nº 23.798 en su artículo 8, ¿Cómo debería proceder el profesional?</v>
      </c>
    </row>
    <row r="1958" spans="1:5" x14ac:dyDescent="0.25">
      <c r="A1958">
        <v>1957</v>
      </c>
      <c r="B1958" t="s">
        <v>1162</v>
      </c>
      <c r="C1958">
        <v>0</v>
      </c>
      <c r="D1958" t="str">
        <f t="shared" si="62"/>
        <v>*</v>
      </c>
      <c r="E1958" t="str">
        <f t="shared" si="61"/>
        <v>a) Brindarle información sobre las características de la enfermedad, sus formas de transmisión y su derecho a recibir la asistencia adecuada.</v>
      </c>
    </row>
    <row r="1959" spans="1:5" x14ac:dyDescent="0.25">
      <c r="A1959">
        <v>1958</v>
      </c>
      <c r="B1959" t="s">
        <v>1163</v>
      </c>
      <c r="C1959">
        <v>0</v>
      </c>
      <c r="D1959" t="str">
        <f t="shared" si="62"/>
        <v>b</v>
      </c>
      <c r="E1959" t="str">
        <f t="shared" si="61"/>
        <v>b) Indicarle que obligatoriamente deberá realizarse un test de VIH.</v>
      </c>
    </row>
    <row r="1960" spans="1:5" x14ac:dyDescent="0.25">
      <c r="A1960">
        <v>1959</v>
      </c>
      <c r="B1960" t="s">
        <v>1164</v>
      </c>
      <c r="C1960">
        <v>0</v>
      </c>
      <c r="D1960" t="str">
        <f t="shared" si="62"/>
        <v>c</v>
      </c>
      <c r="E1960" t="str">
        <f t="shared" si="61"/>
        <v>c) Informarle que deberá esperar a que se manifieste algún síntoma para evaluar los pasos a seguir.</v>
      </c>
    </row>
    <row r="1961" spans="1:5" x14ac:dyDescent="0.25">
      <c r="A1961">
        <v>1960</v>
      </c>
      <c r="B1961" t="s">
        <v>1165</v>
      </c>
      <c r="C1961">
        <v>0</v>
      </c>
      <c r="D1961" t="str">
        <f t="shared" si="62"/>
        <v>d</v>
      </c>
      <c r="E1961" t="str">
        <f t="shared" si="61"/>
        <v>d) Solcitarle que busque al joven y que juntos se realicen el Test de VIH con la mayor celeridad posible.</v>
      </c>
    </row>
    <row r="1962" spans="1:5" x14ac:dyDescent="0.25">
      <c r="A1962">
        <v>1961</v>
      </c>
      <c r="B1962" s="1" t="s">
        <v>1906</v>
      </c>
      <c r="C1962">
        <v>1</v>
      </c>
      <c r="D1962" t="str">
        <f t="shared" si="62"/>
        <v>F</v>
      </c>
      <c r="E1962" t="str">
        <f t="shared" si="61"/>
        <v>Francisca convive con José desde hace ocho años con quien tiene tres hijos. Desde el primer año de convivencia José ha maltratado a Francisca física y verbalmente en escala ascendente. Cansada de esta situación y temerosa por su vida y la de sus hijos, decide irse de su hogar y realizar la denuncia correspondiente. Según el artículo 4 de la Ley 24417 de Protección contra la Violencia Familiar, ¿Qué medida cautelar podrá adoptar el Juez?</v>
      </c>
    </row>
    <row r="1963" spans="1:5" x14ac:dyDescent="0.25">
      <c r="A1963">
        <v>1962</v>
      </c>
      <c r="B1963" t="s">
        <v>1166</v>
      </c>
      <c r="C1963">
        <v>0</v>
      </c>
      <c r="D1963" t="str">
        <f t="shared" si="62"/>
        <v>*</v>
      </c>
      <c r="E1963" t="str">
        <f t="shared" si="61"/>
        <v>a) Decretar provisoriamente alimentos, tenencia y derecho de comunicación con los hijos.</v>
      </c>
    </row>
    <row r="1964" spans="1:5" x14ac:dyDescent="0.25">
      <c r="A1964">
        <v>1963</v>
      </c>
      <c r="B1964" t="s">
        <v>1167</v>
      </c>
      <c r="C1964">
        <v>0</v>
      </c>
      <c r="D1964" t="str">
        <f t="shared" si="62"/>
        <v>b</v>
      </c>
      <c r="E1964" t="str">
        <f t="shared" si="61"/>
        <v xml:space="preserve">b) Ordenar tratamiento psicológico al autor y a todo el grupo familiar. </v>
      </c>
    </row>
    <row r="1965" spans="1:5" x14ac:dyDescent="0.25">
      <c r="A1965">
        <v>1964</v>
      </c>
      <c r="B1965" t="s">
        <v>1168</v>
      </c>
      <c r="C1965">
        <v>0</v>
      </c>
      <c r="D1965" t="str">
        <f t="shared" si="62"/>
        <v>c</v>
      </c>
      <c r="E1965" t="str">
        <f t="shared" si="61"/>
        <v>c) Regular el acceso del autor al domicilio del damnificado.</v>
      </c>
    </row>
    <row r="1966" spans="1:5" x14ac:dyDescent="0.25">
      <c r="A1966">
        <v>1965</v>
      </c>
      <c r="B1966" t="s">
        <v>1169</v>
      </c>
      <c r="C1966">
        <v>0</v>
      </c>
      <c r="D1966" t="str">
        <f t="shared" si="62"/>
        <v>d</v>
      </c>
      <c r="E1966" t="str">
        <f t="shared" si="61"/>
        <v>d) Privar temporalmente de la libertad al autor y pedir un aprobation como sanción.</v>
      </c>
    </row>
    <row r="1967" spans="1:5" x14ac:dyDescent="0.25">
      <c r="A1967">
        <v>1966</v>
      </c>
      <c r="B1967" s="1" t="s">
        <v>1907</v>
      </c>
      <c r="C1967">
        <v>1</v>
      </c>
      <c r="D1967" t="str">
        <f t="shared" si="62"/>
        <v>S</v>
      </c>
      <c r="E1967" t="str">
        <f t="shared" si="61"/>
        <v>Soledad vivió en matrimonio durante ocho años con Joaquín. Hace un año se divorciaron debido a que él había comenzado otra relación de pareja. A los cuatro años de casados, Soledad y Joaquín, habían consumado la adopción simple de dos niños: Valentina y Lautaro de 6 y 4 años respectivamente. En la actualidad Joaquín no visita a sus hijos y dejó de aportar la cuota alimentaria a pesar de los correspondientes reclamos judiciales. Desde la Ley Nº 24.779 de Adopción ¿Por qué razón se podría solicitar la revocabilidad de la adopción simple de Joaquín hacia los niños?</v>
      </c>
    </row>
    <row r="1968" spans="1:5" x14ac:dyDescent="0.25">
      <c r="A1968">
        <v>1967</v>
      </c>
      <c r="B1968" t="s">
        <v>1170</v>
      </c>
      <c r="C1968">
        <v>0</v>
      </c>
      <c r="D1968" t="str">
        <f t="shared" si="62"/>
        <v>a</v>
      </c>
      <c r="E1968" t="str">
        <f t="shared" si="61"/>
        <v>a) Por ejercer adulterio.</v>
      </c>
    </row>
    <row r="1969" spans="1:5" x14ac:dyDescent="0.25">
      <c r="A1969">
        <v>1968</v>
      </c>
      <c r="B1969" t="s">
        <v>1171</v>
      </c>
      <c r="C1969">
        <v>0</v>
      </c>
      <c r="D1969" t="str">
        <f t="shared" si="62"/>
        <v>b</v>
      </c>
      <c r="E1969" t="str">
        <f t="shared" si="61"/>
        <v>b) Por figurar en el veraz.</v>
      </c>
    </row>
    <row r="1970" spans="1:5" x14ac:dyDescent="0.25">
      <c r="A1970">
        <v>1969</v>
      </c>
      <c r="B1970" t="s">
        <v>1172</v>
      </c>
      <c r="C1970">
        <v>0</v>
      </c>
      <c r="D1970" t="str">
        <f t="shared" si="62"/>
        <v>*</v>
      </c>
      <c r="E1970" t="str">
        <f t="shared" si="61"/>
        <v>c) Por haberse negado a alimentos sin causa justificada.</v>
      </c>
    </row>
    <row r="1971" spans="1:5" x14ac:dyDescent="0.25">
      <c r="A1971">
        <v>1970</v>
      </c>
      <c r="B1971" t="s">
        <v>1173</v>
      </c>
      <c r="C1971">
        <v>0</v>
      </c>
      <c r="D1971" t="str">
        <f t="shared" si="62"/>
        <v>d</v>
      </c>
      <c r="E1971" t="str">
        <f t="shared" si="61"/>
        <v>d) Por no cumplir con su rol paterno.</v>
      </c>
    </row>
    <row r="1972" spans="1:5" x14ac:dyDescent="0.25">
      <c r="A1972">
        <v>1971</v>
      </c>
      <c r="B1972" s="1" t="s">
        <v>1908</v>
      </c>
      <c r="C1972">
        <v>1</v>
      </c>
      <c r="D1972" t="str">
        <f t="shared" si="62"/>
        <v>R</v>
      </c>
      <c r="E1972" t="str">
        <f t="shared" si="61"/>
        <v>Ramón es un niño de un año con discapacidad auditiva. Aldana, su madre, ha tratamitado el Certificado de Discapacidad para su hijo y debe iniciar un tratamiento de rehabilitación en el Hospital Rocca. Ellos viven en la Villa 31 de Retiro y no tienen familiares que los ayuden. Aldana no tiene trabajo fijo que les permita un ingreso estable con el que solventar las necesidades del grupo familiar, y el tratamiento de rehabilitación dificulta las posibilidades de una inserción laboral estable.¿Qué tipo de prestación complementaria favorecería a Aldana y a su hijo según la Ley 24.901 Sistema de prestaciones básicas en habilitación y rehabilitación a favor de las personas con discapacidad?</v>
      </c>
    </row>
    <row r="1973" spans="1:5" x14ac:dyDescent="0.25">
      <c r="A1973">
        <v>1972</v>
      </c>
      <c r="B1973" t="s">
        <v>1174</v>
      </c>
      <c r="C1973">
        <v>0</v>
      </c>
      <c r="D1973" t="str">
        <f t="shared" si="62"/>
        <v>*</v>
      </c>
      <c r="E1973" t="str">
        <f t="shared" si="61"/>
        <v>a) Cobertura económica.</v>
      </c>
    </row>
    <row r="1974" spans="1:5" x14ac:dyDescent="0.25">
      <c r="A1974">
        <v>1973</v>
      </c>
      <c r="B1974" t="s">
        <v>1175</v>
      </c>
      <c r="C1974">
        <v>0</v>
      </c>
      <c r="D1974" t="str">
        <f t="shared" si="62"/>
        <v>b</v>
      </c>
      <c r="E1974" t="str">
        <f t="shared" si="61"/>
        <v>b) Derivación a Cáritas.</v>
      </c>
    </row>
    <row r="1975" spans="1:5" x14ac:dyDescent="0.25">
      <c r="A1975">
        <v>1974</v>
      </c>
      <c r="B1975" t="s">
        <v>1176</v>
      </c>
      <c r="C1975">
        <v>0</v>
      </c>
      <c r="D1975" t="str">
        <f t="shared" si="62"/>
        <v>c</v>
      </c>
      <c r="E1975" t="str">
        <f t="shared" si="61"/>
        <v>c) Inclusión en un comedor comunitario.</v>
      </c>
    </row>
    <row r="1976" spans="1:5" x14ac:dyDescent="0.25">
      <c r="A1976">
        <v>1975</v>
      </c>
      <c r="B1976" t="s">
        <v>1177</v>
      </c>
      <c r="C1976">
        <v>0</v>
      </c>
      <c r="D1976" t="str">
        <f t="shared" si="62"/>
        <v>d</v>
      </c>
      <c r="E1976" t="str">
        <f t="shared" si="61"/>
        <v>d) Un Alojamiento cercano al lugar de rehabilitación del niño.</v>
      </c>
    </row>
    <row r="1977" spans="1:5" x14ac:dyDescent="0.25">
      <c r="A1977">
        <v>1976</v>
      </c>
      <c r="B1977" s="1" t="s">
        <v>1909</v>
      </c>
      <c r="C1977">
        <v>1</v>
      </c>
      <c r="D1977" t="str">
        <f t="shared" si="62"/>
        <v>A</v>
      </c>
      <c r="E1977" t="str">
        <f t="shared" si="61"/>
        <v>Anabel, oriunda de Bolivia, concurre al Servicio Social de un Hospital público de la Ciudad de Buenos Aires, y plantea que su marido de 34 años y de nacionalidad boliviana, tiene que ser operado de apéndice, pero no posee DNI y refiere que se lo requirieron para concretar la intervención quirúrgica. De acuedo a la Ley 25871 de Política Migratoria, ¿Cómo debería orientar la Trabajadora Social a Anabel?</v>
      </c>
    </row>
    <row r="1978" spans="1:5" x14ac:dyDescent="0.25">
      <c r="A1978">
        <v>1977</v>
      </c>
      <c r="B1978" t="s">
        <v>1178</v>
      </c>
      <c r="C1978">
        <v>0</v>
      </c>
      <c r="D1978" t="str">
        <f t="shared" si="62"/>
        <v>a</v>
      </c>
      <c r="E1978" t="str">
        <f t="shared" si="61"/>
        <v>a) Brindarle orientación y asesoramiento respecto de los trámites correspondientes para subsanar la irregularidad migratoria y solicitarle que regrese al Hospital una vez tramitado el DNI para concretar la intervención quirúrgica.</v>
      </c>
    </row>
    <row r="1979" spans="1:5" x14ac:dyDescent="0.25">
      <c r="A1979">
        <v>1978</v>
      </c>
      <c r="B1979" t="s">
        <v>1179</v>
      </c>
      <c r="C1979">
        <v>0</v>
      </c>
      <c r="D1979" t="str">
        <f t="shared" si="62"/>
        <v>*</v>
      </c>
      <c r="E1979" t="str">
        <f t="shared" si="61"/>
        <v>b) Explicarle que la falta de DNI no debe ser impedimento para el acceso al derecho a la salud y orientarla y asesorarla respecto de los trámites correspondientes para subsanar la irregularidad migratoria.</v>
      </c>
    </row>
    <row r="1980" spans="1:5" x14ac:dyDescent="0.25">
      <c r="A1980">
        <v>1979</v>
      </c>
      <c r="B1980" t="s">
        <v>1180</v>
      </c>
      <c r="C1980">
        <v>0</v>
      </c>
      <c r="D1980" t="str">
        <f t="shared" si="62"/>
        <v>c</v>
      </c>
      <c r="E1980" t="str">
        <f t="shared" si="61"/>
        <v>c) Explicitarle que sin DNI no se efectúan intervenciones quirúrgicas en los hospitales públicos de la Ciudad de Buenos Aires.</v>
      </c>
    </row>
    <row r="1981" spans="1:5" x14ac:dyDescent="0.25">
      <c r="A1981">
        <v>1980</v>
      </c>
      <c r="B1981" t="s">
        <v>1181</v>
      </c>
      <c r="C1981">
        <v>0</v>
      </c>
      <c r="D1981" t="str">
        <f t="shared" si="62"/>
        <v>d</v>
      </c>
      <c r="E1981" t="str">
        <f t="shared" si="61"/>
        <v>d) Recomendarle que se acerque al Consulado de su país para que éste resuelva su situación y así pueda efectivarse la intervención quirúrgica correspondiente.</v>
      </c>
    </row>
    <row r="1982" spans="1:5" x14ac:dyDescent="0.25">
      <c r="A1982">
        <v>1981</v>
      </c>
      <c r="B1982" t="s">
        <v>1910</v>
      </c>
      <c r="C1982">
        <v>1</v>
      </c>
      <c r="D1982" t="str">
        <f t="shared" si="62"/>
        <v>S</v>
      </c>
      <c r="E1982" t="str">
        <f t="shared" si="61"/>
        <v>Según la Ordenanza Municipal 40.997 que reglamenta el Sistema Municipal de Residencias del Equipo de Salud, en su artículo 21 menciona las funciones que el Residente debe cumplir. ¿Cuál es una de esas funciones?</v>
      </c>
    </row>
    <row r="1983" spans="1:5" x14ac:dyDescent="0.25">
      <c r="A1983">
        <v>1982</v>
      </c>
      <c r="B1983" t="s">
        <v>1182</v>
      </c>
      <c r="C1983">
        <v>0</v>
      </c>
      <c r="D1983" t="str">
        <f t="shared" si="62"/>
        <v>a</v>
      </c>
      <c r="E1983" t="str">
        <f t="shared" si="61"/>
        <v>a) Ante un problema diagnóstico, terapéutico o cuando la característica del caso así lo determine, podrá solicitar una supervisión externa de otros profesionales.</v>
      </c>
    </row>
    <row r="1984" spans="1:5" x14ac:dyDescent="0.25">
      <c r="A1984">
        <v>1983</v>
      </c>
      <c r="B1984" t="s">
        <v>1183</v>
      </c>
      <c r="C1984">
        <v>0</v>
      </c>
      <c r="D1984" t="str">
        <f t="shared" si="62"/>
        <v>b</v>
      </c>
      <c r="E1984" t="str">
        <f t="shared" si="61"/>
        <v>b) Informará sólo cuando se lo solicite al supervisor responsable de las actividades desarrolladas según las características de cada programa.</v>
      </c>
    </row>
    <row r="1985" spans="1:5" x14ac:dyDescent="0.25">
      <c r="A1985">
        <v>1984</v>
      </c>
      <c r="B1985" t="s">
        <v>1184</v>
      </c>
      <c r="C1985">
        <v>0</v>
      </c>
      <c r="D1985" t="str">
        <f t="shared" si="62"/>
        <v>*</v>
      </c>
      <c r="E1985" t="str">
        <f t="shared" si="61"/>
        <v>c) Será responsable de las tareas que el coordinador de la residencia le asigne de acuerdo a los objetivos y características del programa.</v>
      </c>
    </row>
    <row r="1986" spans="1:5" x14ac:dyDescent="0.25">
      <c r="A1986">
        <v>1985</v>
      </c>
      <c r="B1986" t="s">
        <v>1185</v>
      </c>
      <c r="C1986">
        <v>0</v>
      </c>
      <c r="D1986" t="str">
        <f t="shared" si="62"/>
        <v>d</v>
      </c>
      <c r="E1986" t="str">
        <f t="shared" si="61"/>
        <v>d) Sólo podrá registrar en historia clínica o elaborar informes en forma independiente a partir del segundo año de la residencia.</v>
      </c>
    </row>
    <row r="1987" spans="1:5" x14ac:dyDescent="0.25">
      <c r="A1987">
        <v>1986</v>
      </c>
      <c r="B1987" s="1" t="s">
        <v>1911</v>
      </c>
      <c r="C1987">
        <v>1</v>
      </c>
      <c r="D1987" t="str">
        <f t="shared" si="62"/>
        <v>P</v>
      </c>
      <c r="E1987" t="str">
        <f t="shared" ref="E1987:E2050" si="63">+IF(D1987="*",MID(B1987,3,500),B1987)</f>
        <v>Paloma finalizó sus estudios de grado como Licenciada en Trabajo Social hace tres meses y se matriculó en el Consejo Profesional de Graduados en Servicio Social a fin de postularse para el sistema de residencia. Se convoca a elecciones para renovación de la Comisión Directiva de dicho Consejo, según la Ley Nacional de Ejercicio Profesional Nº 23.377, ¿De qué manera podrá Paloma presentarse a la votación?</v>
      </c>
    </row>
    <row r="1988" spans="1:5" x14ac:dyDescent="0.25">
      <c r="A1988">
        <v>1987</v>
      </c>
      <c r="B1988" t="s">
        <v>1186</v>
      </c>
      <c r="C1988">
        <v>0</v>
      </c>
      <c r="D1988" t="str">
        <f t="shared" si="62"/>
        <v>*</v>
      </c>
      <c r="E1988" t="str">
        <f t="shared" si="63"/>
        <v>a) Obligatoria.</v>
      </c>
    </row>
    <row r="1989" spans="1:5" x14ac:dyDescent="0.25">
      <c r="A1989">
        <v>1988</v>
      </c>
      <c r="B1989" t="s">
        <v>1187</v>
      </c>
      <c r="C1989">
        <v>0</v>
      </c>
      <c r="D1989" t="str">
        <f t="shared" si="62"/>
        <v>b</v>
      </c>
      <c r="E1989" t="str">
        <f t="shared" si="63"/>
        <v>b) Optativa.</v>
      </c>
    </row>
    <row r="1990" spans="1:5" x14ac:dyDescent="0.25">
      <c r="A1990">
        <v>1989</v>
      </c>
      <c r="B1990" t="s">
        <v>1188</v>
      </c>
      <c r="C1990">
        <v>0</v>
      </c>
      <c r="D1990" t="str">
        <f t="shared" si="62"/>
        <v>c</v>
      </c>
      <c r="E1990" t="str">
        <f t="shared" si="63"/>
        <v>c) No podrá presentarse porque no está ejerciendo la profesión.</v>
      </c>
    </row>
    <row r="1991" spans="1:5" x14ac:dyDescent="0.25">
      <c r="A1991">
        <v>1990</v>
      </c>
      <c r="B1991" t="s">
        <v>1189</v>
      </c>
      <c r="C1991">
        <v>0</v>
      </c>
      <c r="D1991" t="str">
        <f t="shared" si="62"/>
        <v>d</v>
      </c>
      <c r="E1991" t="str">
        <f t="shared" si="63"/>
        <v>d) No podrá presentarse porque tiene menos de un año de matriculada.</v>
      </c>
    </row>
    <row r="1992" spans="1:5" x14ac:dyDescent="0.25">
      <c r="A1992">
        <v>1991</v>
      </c>
      <c r="B1992" t="s">
        <v>1912</v>
      </c>
      <c r="C1992">
        <v>1</v>
      </c>
      <c r="D1992" t="str">
        <f t="shared" si="62"/>
        <v>O</v>
      </c>
      <c r="E1992" t="str">
        <f t="shared" si="63"/>
        <v>Omar y Estela adoptaron a Juana de tres años bajo la modalidad de adopción simple. En la actualidad, Juana cumplió 20 años y decide modificar su apellido por el de su familia biológica. Según a Ley de Adopción 24.779 ¿Qué es lo que puede hacer Juana?</v>
      </c>
    </row>
    <row r="1993" spans="1:5" x14ac:dyDescent="0.25">
      <c r="A1993">
        <v>1992</v>
      </c>
      <c r="B1993" t="s">
        <v>1190</v>
      </c>
      <c r="C1993">
        <v>0</v>
      </c>
      <c r="D1993" t="str">
        <f t="shared" si="62"/>
        <v>*</v>
      </c>
      <c r="E1993" t="str">
        <f t="shared" si="63"/>
        <v>a) Agregar el apellido de la familia biológica.</v>
      </c>
    </row>
    <row r="1994" spans="1:5" x14ac:dyDescent="0.25">
      <c r="A1994">
        <v>1993</v>
      </c>
      <c r="B1994" t="s">
        <v>1191</v>
      </c>
      <c r="C1994">
        <v>0</v>
      </c>
      <c r="D1994" t="str">
        <f t="shared" si="62"/>
        <v>b</v>
      </c>
      <c r="E1994" t="str">
        <f t="shared" si="63"/>
        <v>b) Debe esperar hasta cumplir los 21 años para poder modificar su apellido.</v>
      </c>
    </row>
    <row r="1995" spans="1:5" x14ac:dyDescent="0.25">
      <c r="A1995">
        <v>1994</v>
      </c>
      <c r="B1995" t="s">
        <v>1192</v>
      </c>
      <c r="C1995">
        <v>0</v>
      </c>
      <c r="D1995" t="str">
        <f t="shared" si="62"/>
        <v>c</v>
      </c>
      <c r="E1995" t="str">
        <f t="shared" si="63"/>
        <v>c) No puede modificarlo.</v>
      </c>
    </row>
    <row r="1996" spans="1:5" x14ac:dyDescent="0.25">
      <c r="A1996">
        <v>1995</v>
      </c>
      <c r="B1996" t="s">
        <v>1193</v>
      </c>
      <c r="C1996">
        <v>0</v>
      </c>
      <c r="D1996" t="str">
        <f t="shared" si="62"/>
        <v>d</v>
      </c>
      <c r="E1996" t="str">
        <f t="shared" si="63"/>
        <v>d) Reemplazar el apellido de la familia adoptante.</v>
      </c>
    </row>
    <row r="1997" spans="1:5" x14ac:dyDescent="0.25">
      <c r="A1997">
        <v>1996</v>
      </c>
      <c r="B1997" s="1" t="s">
        <v>1913</v>
      </c>
      <c r="C1997">
        <v>1</v>
      </c>
      <c r="D1997" t="str">
        <f t="shared" si="62"/>
        <v>V</v>
      </c>
      <c r="E1997" t="str">
        <f t="shared" si="63"/>
        <v>Valentina, Juana, Tomás de ocho, siete y cinco años respectivamente, y sus medio hermanos por parte de madre, los mellizos Lautaro y Benito de tres años y Joaquín de un año, han quedado en una Organización No Gubernamental que se ocupa de ellos mientras su madre permanece internada en el Hospital. Luego de unas semanas Ana, la madre de los niños, fallece estando en el hospital a causa de una infección. Según la Ley 26.061 de Protección Integral de los derechos de las niñas, niños y adolescentes, ¿Qué acciones deberá desarrollar la Organización No Gubernamental que los cuida?</v>
      </c>
    </row>
    <row r="1998" spans="1:5" x14ac:dyDescent="0.25">
      <c r="A1998">
        <v>1997</v>
      </c>
      <c r="B1998" t="s">
        <v>1194</v>
      </c>
      <c r="C1998">
        <v>0</v>
      </c>
      <c r="D1998" t="str">
        <f t="shared" si="62"/>
        <v>a</v>
      </c>
      <c r="E1998" t="str">
        <f t="shared" si="63"/>
        <v>a) Establecer un régimen de visitas con los progenitores, aunque los niños no lo deseen, para su revinculación.</v>
      </c>
    </row>
    <row r="1999" spans="1:5" x14ac:dyDescent="0.25">
      <c r="A1999">
        <v>1998</v>
      </c>
      <c r="B1999" t="s">
        <v>1195</v>
      </c>
      <c r="C1999">
        <v>0</v>
      </c>
      <c r="D1999" t="str">
        <f t="shared" si="62"/>
        <v>b</v>
      </c>
      <c r="E1999" t="str">
        <f t="shared" si="63"/>
        <v>b) Mantener incomunicados a los niños de su grupo familiar de origen o crianza hasta tanto el Juzgado de Menores intervinientes se expida en la causa.</v>
      </c>
    </row>
    <row r="2000" spans="1:5" x14ac:dyDescent="0.25">
      <c r="A2000">
        <v>1999</v>
      </c>
      <c r="B2000" t="s">
        <v>1196</v>
      </c>
      <c r="C2000">
        <v>0</v>
      </c>
      <c r="D2000" t="str">
        <f t="shared" si="62"/>
        <v>*</v>
      </c>
      <c r="E2000" t="str">
        <f t="shared" si="63"/>
        <v xml:space="preserve">c) Respetar y preservar los vínculos familiares o de crianza de los hermanos y velar por su permanencia en el </v>
      </c>
    </row>
    <row r="2001" spans="1:5" x14ac:dyDescent="0.25">
      <c r="A2001">
        <v>2000</v>
      </c>
      <c r="B2001" t="s">
        <v>1197</v>
      </c>
      <c r="C2001">
        <v>0</v>
      </c>
      <c r="D2001" t="str">
        <f t="shared" si="62"/>
        <v>d</v>
      </c>
      <c r="E2001" t="str">
        <f t="shared" si="63"/>
        <v>d) Separar al grupo de hermanos por edades para facilitar el proceso de adopción.</v>
      </c>
    </row>
    <row r="2002" spans="1:5" x14ac:dyDescent="0.25">
      <c r="A2002">
        <v>2001</v>
      </c>
      <c r="B2002" s="1" t="s">
        <v>1914</v>
      </c>
      <c r="C2002">
        <v>1</v>
      </c>
      <c r="D2002" t="str">
        <f t="shared" si="62"/>
        <v>P</v>
      </c>
      <c r="E2002" t="str">
        <f t="shared" si="63"/>
        <v>Para Franco Basaglia, una vez que el paciente se ha desprendido de las superestructuras y de las incrustaciones institucionales, sigue siendo objeto de una violencia que la sociedad ejerció y sigue ejerciendo sobre él. Según el autor, ¿En qué medida esto sucede?</v>
      </c>
    </row>
    <row r="2003" spans="1:5" x14ac:dyDescent="0.25">
      <c r="A2003">
        <v>2002</v>
      </c>
      <c r="B2003" t="s">
        <v>1199</v>
      </c>
      <c r="C2003">
        <v>0</v>
      </c>
      <c r="D2003" t="str">
        <f t="shared" si="62"/>
        <v>a</v>
      </c>
      <c r="E2003" t="str">
        <f t="shared" si="63"/>
        <v>a) En igual medida en tanto es un sujeto que ha sido violentado a nivel individual, institucional y comunitario.</v>
      </c>
    </row>
    <row r="2004" spans="1:5" x14ac:dyDescent="0.25">
      <c r="A2004">
        <v>2003</v>
      </c>
      <c r="B2004" t="s">
        <v>1200</v>
      </c>
      <c r="C2004">
        <v>0</v>
      </c>
      <c r="D2004" t="str">
        <f t="shared" si="62"/>
        <v>b</v>
      </c>
      <c r="E2004" t="str">
        <f t="shared" si="63"/>
        <v>b) En mayor grado en tanto el paciente continúa con su tratmiento dentro de las organizaciones de la salud.</v>
      </c>
    </row>
    <row r="2005" spans="1:5" x14ac:dyDescent="0.25">
      <c r="A2005">
        <v>2004</v>
      </c>
      <c r="B2005" t="s">
        <v>1201</v>
      </c>
      <c r="C2005">
        <v>0</v>
      </c>
      <c r="D2005" t="str">
        <f t="shared" si="62"/>
        <v>c</v>
      </c>
      <c r="E2005" t="str">
        <f t="shared" si="63"/>
        <v>c) En menor medida siempre que reinvindique su salud mental como un problema de salud integral.</v>
      </c>
    </row>
    <row r="2006" spans="1:5" x14ac:dyDescent="0.25">
      <c r="A2006">
        <v>2005</v>
      </c>
      <c r="B2006" t="s">
        <v>1202</v>
      </c>
      <c r="C2006">
        <v>0</v>
      </c>
      <c r="D2006" t="str">
        <f t="shared" si="62"/>
        <v>*</v>
      </c>
      <c r="E2006" t="str">
        <f t="shared" si="63"/>
        <v>d) En la misma medida en que es un hombre sin poder social, económico ni contractual.</v>
      </c>
    </row>
    <row r="2007" spans="1:5" x14ac:dyDescent="0.25">
      <c r="A2007">
        <v>2006</v>
      </c>
      <c r="B2007" t="s">
        <v>1915</v>
      </c>
      <c r="C2007">
        <v>1</v>
      </c>
      <c r="D2007" t="str">
        <f t="shared" si="62"/>
        <v>F</v>
      </c>
      <c r="E2007" t="str">
        <f t="shared" si="63"/>
        <v>Franco Basaglia se pregunta cómo podrá el médico conciliar la doble exigencia, contradictoria en sí misma, mientras la sociedad no establezca hacia cuál de los dos polos quiere orientar la asistencia psiquiátrica.¿A qué polos hace referencia el autor?</v>
      </c>
    </row>
    <row r="2008" spans="1:5" x14ac:dyDescent="0.25">
      <c r="A2008">
        <v>2007</v>
      </c>
      <c r="B2008" t="s">
        <v>1203</v>
      </c>
      <c r="C2008">
        <v>0</v>
      </c>
      <c r="D2008" t="str">
        <f t="shared" si="62"/>
        <v>a</v>
      </c>
      <c r="E2008" t="str">
        <f t="shared" si="63"/>
        <v>a) La asistencia o la sanación.</v>
      </c>
    </row>
    <row r="2009" spans="1:5" x14ac:dyDescent="0.25">
      <c r="A2009">
        <v>2008</v>
      </c>
      <c r="B2009" t="s">
        <v>1204</v>
      </c>
      <c r="C2009">
        <v>0</v>
      </c>
      <c r="D2009" t="str">
        <f t="shared" si="62"/>
        <v>*</v>
      </c>
      <c r="E2009" t="str">
        <f t="shared" si="63"/>
        <v>b) La vigilancia o la curación.</v>
      </c>
    </row>
    <row r="2010" spans="1:5" x14ac:dyDescent="0.25">
      <c r="A2010">
        <v>2009</v>
      </c>
      <c r="B2010" t="s">
        <v>1205</v>
      </c>
      <c r="C2010">
        <v>0</v>
      </c>
      <c r="D2010" t="str">
        <f t="shared" si="62"/>
        <v>c</v>
      </c>
      <c r="E2010" t="str">
        <f t="shared" si="63"/>
        <v>c) El control o la rehabilitación.</v>
      </c>
    </row>
    <row r="2011" spans="1:5" x14ac:dyDescent="0.25">
      <c r="A2011">
        <v>2010</v>
      </c>
      <c r="B2011" t="s">
        <v>1206</v>
      </c>
      <c r="C2011">
        <v>0</v>
      </c>
      <c r="D2011" t="str">
        <f t="shared" si="62"/>
        <v>d</v>
      </c>
      <c r="E2011" t="str">
        <f t="shared" si="63"/>
        <v>d) El tratamiento o la observación.</v>
      </c>
    </row>
    <row r="2012" spans="1:5" x14ac:dyDescent="0.25">
      <c r="A2012">
        <v>2011</v>
      </c>
      <c r="B2012" t="s">
        <v>1916</v>
      </c>
      <c r="C2012">
        <v>1</v>
      </c>
      <c r="D2012" t="str">
        <f t="shared" si="62"/>
        <v>G</v>
      </c>
      <c r="E2012" t="str">
        <f t="shared" si="63"/>
        <v>Giddens hace referencia a tres grandes fuerzas dinámicas de la modernidad, una es la separación espacio temporal, otra los mecanismos de desanclaje.¿Cúal es la tercera fuerza que el autor señala?</v>
      </c>
    </row>
    <row r="2013" spans="1:5" x14ac:dyDescent="0.25">
      <c r="A2013">
        <v>2012</v>
      </c>
      <c r="B2013" t="s">
        <v>1207</v>
      </c>
      <c r="C2013">
        <v>0</v>
      </c>
      <c r="D2013" t="str">
        <f t="shared" si="62"/>
        <v>a</v>
      </c>
      <c r="E2013" t="str">
        <f t="shared" si="63"/>
        <v>a) La confianza temprana.</v>
      </c>
    </row>
    <row r="2014" spans="1:5" x14ac:dyDescent="0.25">
      <c r="A2014">
        <v>2013</v>
      </c>
      <c r="B2014" t="s">
        <v>1208</v>
      </c>
      <c r="C2014">
        <v>0</v>
      </c>
      <c r="D2014" t="str">
        <f t="shared" si="62"/>
        <v>b</v>
      </c>
      <c r="E2014" t="str">
        <f t="shared" si="63"/>
        <v>b) La deconstrucción paradigmática.</v>
      </c>
    </row>
    <row r="2015" spans="1:5" x14ac:dyDescent="0.25">
      <c r="A2015">
        <v>2014</v>
      </c>
      <c r="B2015" t="s">
        <v>1209</v>
      </c>
      <c r="C2015">
        <v>0</v>
      </c>
      <c r="D2015" t="str">
        <f t="shared" si="62"/>
        <v>*</v>
      </c>
      <c r="E2015" t="str">
        <f t="shared" si="63"/>
        <v>c) La reflexividad institucional.</v>
      </c>
    </row>
    <row r="2016" spans="1:5" x14ac:dyDescent="0.25">
      <c r="A2016">
        <v>2015</v>
      </c>
      <c r="B2016" t="s">
        <v>1210</v>
      </c>
      <c r="C2016">
        <v>0</v>
      </c>
      <c r="D2016" t="str">
        <f t="shared" si="62"/>
        <v>d</v>
      </c>
      <c r="E2016" t="str">
        <f t="shared" si="63"/>
        <v>d) La seguridad ontológica.</v>
      </c>
    </row>
    <row r="2017" spans="1:5" x14ac:dyDescent="0.25">
      <c r="A2017">
        <v>2016</v>
      </c>
      <c r="B2017" s="1" t="s">
        <v>1917</v>
      </c>
      <c r="C2017">
        <v>1</v>
      </c>
      <c r="D2017" t="str">
        <f t="shared" si="62"/>
        <v>P</v>
      </c>
      <c r="E2017" t="str">
        <f t="shared" si="63"/>
        <v>Para Alfredo Carballeda, la visión del positivismo argentino no implica una mirada a la estructura social, sino una visión de la cuestión social desde la perspectiva de la supervivencia del mas apto. ¿En qué se apoya la visión social del positivismo argentino?</v>
      </c>
    </row>
    <row r="2018" spans="1:5" x14ac:dyDescent="0.25">
      <c r="A2018">
        <v>2017</v>
      </c>
      <c r="B2018" t="s">
        <v>1211</v>
      </c>
      <c r="C2018">
        <v>0</v>
      </c>
      <c r="D2018" t="str">
        <f t="shared" si="62"/>
        <v>a</v>
      </c>
      <c r="E2018" t="str">
        <f t="shared" si="63"/>
        <v>a) En la centralidad del hombre como factor de desarrollo.</v>
      </c>
    </row>
    <row r="2019" spans="1:5" x14ac:dyDescent="0.25">
      <c r="A2019">
        <v>2018</v>
      </c>
      <c r="B2019" t="s">
        <v>1212</v>
      </c>
      <c r="C2019">
        <v>0</v>
      </c>
      <c r="D2019" t="str">
        <f t="shared" si="62"/>
        <v>*</v>
      </c>
      <c r="E2019" t="str">
        <f t="shared" si="63"/>
        <v>b) En la idea de influencia del medio.</v>
      </c>
    </row>
    <row r="2020" spans="1:5" x14ac:dyDescent="0.25">
      <c r="A2020">
        <v>2019</v>
      </c>
      <c r="B2020" t="s">
        <v>1213</v>
      </c>
      <c r="C2020">
        <v>0</v>
      </c>
      <c r="D2020" t="str">
        <f t="shared" ref="D2020:D2083" si="64">+MID(B2020,1,1)</f>
        <v>c</v>
      </c>
      <c r="E2020" t="str">
        <f t="shared" si="63"/>
        <v>c) En las teorías del equilibrio social.</v>
      </c>
    </row>
    <row r="2021" spans="1:5" x14ac:dyDescent="0.25">
      <c r="A2021">
        <v>2020</v>
      </c>
      <c r="B2021" t="s">
        <v>1214</v>
      </c>
      <c r="C2021">
        <v>0</v>
      </c>
      <c r="D2021" t="str">
        <f t="shared" si="64"/>
        <v>d</v>
      </c>
      <c r="E2021" t="str">
        <f t="shared" si="63"/>
        <v>d) En una cosmovisión moralizadora de las conductas.</v>
      </c>
    </row>
    <row r="2022" spans="1:5" x14ac:dyDescent="0.25">
      <c r="A2022">
        <v>2021</v>
      </c>
      <c r="B2022" s="1" t="s">
        <v>1918</v>
      </c>
      <c r="C2022">
        <v>1</v>
      </c>
      <c r="D2022" t="str">
        <f t="shared" si="64"/>
        <v>C</v>
      </c>
      <c r="E2022" t="str">
        <f t="shared" si="63"/>
        <v>Carballeda refiere que la concepción del Estado y la sociedad que tenía Sarmiento, planteaba objetivos que iban más allá de finalizada la contienda donde Rosas fue derrotado. ¿Cuál era, según Carballeda, el objetivo de aplicar la estrategia del disciplinamiento?</v>
      </c>
    </row>
    <row r="2023" spans="1:5" x14ac:dyDescent="0.25">
      <c r="A2023">
        <v>2022</v>
      </c>
      <c r="B2023" t="s">
        <v>1215</v>
      </c>
      <c r="C2023">
        <v>0</v>
      </c>
      <c r="D2023" t="str">
        <f t="shared" si="64"/>
        <v>*</v>
      </c>
      <c r="E2023" t="str">
        <f t="shared" si="63"/>
        <v>a) Dar sentido a la construcción de un sociedad moderna y civilizada.</v>
      </c>
    </row>
    <row r="2024" spans="1:5" x14ac:dyDescent="0.25">
      <c r="A2024">
        <v>2023</v>
      </c>
      <c r="B2024" t="s">
        <v>1216</v>
      </c>
      <c r="C2024">
        <v>0</v>
      </c>
      <c r="D2024" t="str">
        <f t="shared" si="64"/>
        <v>b</v>
      </c>
      <c r="E2024" t="str">
        <f t="shared" si="63"/>
        <v>b) Desarrollar dispositivos y mecanismos institucionales de control social.</v>
      </c>
    </row>
    <row r="2025" spans="1:5" x14ac:dyDescent="0.25">
      <c r="A2025">
        <v>2024</v>
      </c>
      <c r="B2025" t="s">
        <v>1217</v>
      </c>
      <c r="C2025">
        <v>0</v>
      </c>
      <c r="D2025" t="str">
        <f t="shared" si="64"/>
        <v>c</v>
      </c>
      <c r="E2025" t="str">
        <f t="shared" si="63"/>
        <v>c) Dotar de imágenes y símbolos una idea rectora del nuevo Estado.</v>
      </c>
    </row>
    <row r="2026" spans="1:5" x14ac:dyDescent="0.25">
      <c r="A2026">
        <v>2025</v>
      </c>
      <c r="B2026" t="s">
        <v>1218</v>
      </c>
      <c r="C2026">
        <v>0</v>
      </c>
      <c r="D2026" t="str">
        <f t="shared" si="64"/>
        <v>d</v>
      </c>
      <c r="E2026" t="str">
        <f t="shared" si="63"/>
        <v>d) Generar condiciones sociales para el progreso y el bienestar.</v>
      </c>
    </row>
    <row r="2027" spans="1:5" x14ac:dyDescent="0.25">
      <c r="A2027">
        <v>2026</v>
      </c>
      <c r="B2027" t="s">
        <v>1919</v>
      </c>
      <c r="C2027">
        <v>1</v>
      </c>
      <c r="D2027" t="str">
        <f t="shared" si="64"/>
        <v>¿</v>
      </c>
      <c r="E2027" t="str">
        <f t="shared" si="63"/>
        <v xml:space="preserve">¿Cúal ha sido para Danani, la base necesaria de la mercantilización del trabajo? </v>
      </c>
    </row>
    <row r="2028" spans="1:5" x14ac:dyDescent="0.25">
      <c r="A2028">
        <v>2027</v>
      </c>
      <c r="B2028" t="s">
        <v>1219</v>
      </c>
      <c r="C2028">
        <v>0</v>
      </c>
      <c r="D2028" t="str">
        <f t="shared" si="64"/>
        <v>a</v>
      </c>
      <c r="E2028" t="str">
        <f t="shared" si="63"/>
        <v>a) El cuentapropismo y el empleo en negro de la economía informal.</v>
      </c>
    </row>
    <row r="2029" spans="1:5" x14ac:dyDescent="0.25">
      <c r="A2029">
        <v>2028</v>
      </c>
      <c r="B2029" t="s">
        <v>1220</v>
      </c>
      <c r="C2029">
        <v>0</v>
      </c>
      <c r="D2029" t="str">
        <f t="shared" si="64"/>
        <v>*</v>
      </c>
      <c r="E2029" t="str">
        <f t="shared" si="63"/>
        <v>b) El desarrollo de una esfera doméstica desmercantilizada históricamente.</v>
      </c>
    </row>
    <row r="2030" spans="1:5" x14ac:dyDescent="0.25">
      <c r="A2030">
        <v>2029</v>
      </c>
      <c r="B2030" t="s">
        <v>1221</v>
      </c>
      <c r="C2030">
        <v>0</v>
      </c>
      <c r="D2030" t="str">
        <f t="shared" si="64"/>
        <v>c</v>
      </c>
      <c r="E2030" t="str">
        <f t="shared" si="63"/>
        <v>c) El trabajo no reconocido oficialmente de hombres y mujeres en su reproducción cotidiana.</v>
      </c>
    </row>
    <row r="2031" spans="1:5" x14ac:dyDescent="0.25">
      <c r="A2031">
        <v>2030</v>
      </c>
      <c r="B2031" t="s">
        <v>1222</v>
      </c>
      <c r="C2031">
        <v>0</v>
      </c>
      <c r="D2031" t="str">
        <f t="shared" si="64"/>
        <v>d</v>
      </c>
      <c r="E2031" t="str">
        <f t="shared" si="63"/>
        <v>d) La mano de obra esclava o semi esclava del sector primario de la economía.</v>
      </c>
    </row>
    <row r="2032" spans="1:5" x14ac:dyDescent="0.25">
      <c r="A2032">
        <v>2031</v>
      </c>
      <c r="B2032" t="s">
        <v>1920</v>
      </c>
      <c r="C2032">
        <v>1</v>
      </c>
      <c r="D2032" t="str">
        <f t="shared" si="64"/>
        <v>P</v>
      </c>
      <c r="E2032" t="str">
        <f t="shared" si="63"/>
        <v>Para Grassi, los problemas de legitimidad del Estado Capitalista Moderno se ubican en el contexto de la lucha por:</v>
      </c>
    </row>
    <row r="2033" spans="1:5" x14ac:dyDescent="0.25">
      <c r="A2033">
        <v>2032</v>
      </c>
      <c r="B2033" t="s">
        <v>1223</v>
      </c>
      <c r="C2033">
        <v>0</v>
      </c>
      <c r="D2033" t="str">
        <f t="shared" si="64"/>
        <v>a</v>
      </c>
      <c r="E2033" t="str">
        <f t="shared" si="63"/>
        <v>a) La construcción de ciudadanía.</v>
      </c>
    </row>
    <row r="2034" spans="1:5" x14ac:dyDescent="0.25">
      <c r="A2034">
        <v>2033</v>
      </c>
      <c r="B2034" t="s">
        <v>1224</v>
      </c>
      <c r="C2034">
        <v>0</v>
      </c>
      <c r="D2034" t="str">
        <f t="shared" si="64"/>
        <v>*</v>
      </c>
      <c r="E2034" t="str">
        <f t="shared" si="63"/>
        <v>b) La hegemonía.</v>
      </c>
    </row>
    <row r="2035" spans="1:5" x14ac:dyDescent="0.25">
      <c r="A2035">
        <v>2034</v>
      </c>
      <c r="B2035" t="s">
        <v>1225</v>
      </c>
      <c r="C2035">
        <v>0</v>
      </c>
      <c r="D2035" t="str">
        <f t="shared" si="64"/>
        <v>c</v>
      </c>
      <c r="E2035" t="str">
        <f t="shared" si="63"/>
        <v>c) La libertad e igualdad.</v>
      </c>
    </row>
    <row r="2036" spans="1:5" x14ac:dyDescent="0.25">
      <c r="A2036">
        <v>2035</v>
      </c>
      <c r="B2036" t="s">
        <v>1226</v>
      </c>
      <c r="C2036">
        <v>0</v>
      </c>
      <c r="D2036" t="str">
        <f t="shared" si="64"/>
        <v>d</v>
      </c>
      <c r="E2036" t="str">
        <f t="shared" si="63"/>
        <v>d) La representación política.</v>
      </c>
    </row>
    <row r="2037" spans="1:5" x14ac:dyDescent="0.25">
      <c r="A2037">
        <v>2036</v>
      </c>
      <c r="B2037" t="s">
        <v>1921</v>
      </c>
      <c r="C2037">
        <v>1</v>
      </c>
      <c r="D2037" t="str">
        <f t="shared" si="64"/>
        <v>¿</v>
      </c>
      <c r="E2037" t="str">
        <f t="shared" si="63"/>
        <v xml:space="preserve">¿Qué es, para Estela Grassi, una política de Estado en un Estado democrático? </v>
      </c>
    </row>
    <row r="2038" spans="1:5" x14ac:dyDescent="0.25">
      <c r="A2038">
        <v>2037</v>
      </c>
      <c r="B2038" t="s">
        <v>1227</v>
      </c>
      <c r="C2038">
        <v>0</v>
      </c>
      <c r="D2038" t="str">
        <f t="shared" si="64"/>
        <v>a</v>
      </c>
      <c r="E2038" t="str">
        <f t="shared" si="63"/>
        <v>a) Es el programa que impulsa el bienestar socio económico desde las distintas agencias gubernamentales.</v>
      </c>
    </row>
    <row r="2039" spans="1:5" x14ac:dyDescent="0.25">
      <c r="A2039">
        <v>2038</v>
      </c>
      <c r="B2039" t="s">
        <v>1228</v>
      </c>
      <c r="C2039">
        <v>0</v>
      </c>
      <c r="D2039" t="str">
        <f t="shared" si="64"/>
        <v>b</v>
      </c>
      <c r="E2039" t="str">
        <f t="shared" si="63"/>
        <v>b) Es la acción que involucra a distintos actores sociales en la puja por la mejor distribución de la renta nacional.</v>
      </c>
    </row>
    <row r="2040" spans="1:5" x14ac:dyDescent="0.25">
      <c r="A2040">
        <v>2039</v>
      </c>
      <c r="B2040" t="s">
        <v>1229</v>
      </c>
      <c r="C2040">
        <v>0</v>
      </c>
      <c r="D2040" t="str">
        <f t="shared" si="64"/>
        <v>*</v>
      </c>
      <c r="E2040" t="str">
        <f t="shared" si="63"/>
        <v>c) Es la dirección que se impone activamente en la acción estatal como expresión o en nombre de intereses generales.</v>
      </c>
    </row>
    <row r="2041" spans="1:5" x14ac:dyDescent="0.25">
      <c r="A2041">
        <v>2040</v>
      </c>
      <c r="B2041" t="s">
        <v>1230</v>
      </c>
      <c r="C2041">
        <v>0</v>
      </c>
      <c r="D2041" t="str">
        <f t="shared" si="64"/>
        <v>d</v>
      </c>
      <c r="E2041" t="str">
        <f t="shared" si="63"/>
        <v>d) Es un conjunto de actividades con preeminencia social que se desarrollan dando marco y sentido al resto.</v>
      </c>
    </row>
    <row r="2042" spans="1:5" x14ac:dyDescent="0.25">
      <c r="A2042">
        <v>2041</v>
      </c>
      <c r="B2042" s="1" t="s">
        <v>1922</v>
      </c>
      <c r="C2042">
        <v>1</v>
      </c>
      <c r="D2042" t="str">
        <f t="shared" si="64"/>
        <v>S</v>
      </c>
      <c r="E2042" t="str">
        <f t="shared" si="63"/>
        <v>Sonia Fleury cita la clásica definición de Briggs sobre el Estado de Bienestar como "un Estado en el cual se usa deliberadamente el poder organizado, a través de la política y de la administración de un esfuerzo por modificar las fuerzas del mercado en por lo menos tres direcciones: 1- restrigiendo el marco de inseguridad a ciertas contingencias sociales, 2- asegurando que a todos los ciudadanos sean ofrecidos una gama de servicios sociales, ¿Cúal es la tercera dirección?</v>
      </c>
    </row>
    <row r="2043" spans="1:5" x14ac:dyDescent="0.25">
      <c r="A2043">
        <v>2042</v>
      </c>
      <c r="B2043" t="s">
        <v>1231</v>
      </c>
      <c r="C2043">
        <v>0</v>
      </c>
      <c r="D2043" t="str">
        <f t="shared" si="64"/>
        <v>*</v>
      </c>
      <c r="E2043" t="str">
        <f t="shared" si="63"/>
        <v>a) Garantizando a los individuos y a las familias una renta mínima.</v>
      </c>
    </row>
    <row r="2044" spans="1:5" x14ac:dyDescent="0.25">
      <c r="A2044">
        <v>2043</v>
      </c>
      <c r="B2044" t="s">
        <v>1232</v>
      </c>
      <c r="C2044">
        <v>0</v>
      </c>
      <c r="D2044" t="str">
        <f t="shared" si="64"/>
        <v>b</v>
      </c>
      <c r="E2044" t="str">
        <f t="shared" si="63"/>
        <v>b) Obstaculizando, a través de impuestos y tasas, la exportación de bienes primarios.</v>
      </c>
    </row>
    <row r="2045" spans="1:5" x14ac:dyDescent="0.25">
      <c r="A2045">
        <v>2044</v>
      </c>
      <c r="B2045" t="s">
        <v>1233</v>
      </c>
      <c r="C2045">
        <v>0</v>
      </c>
      <c r="D2045" t="str">
        <f t="shared" si="64"/>
        <v>c</v>
      </c>
      <c r="E2045" t="str">
        <f t="shared" si="63"/>
        <v>c) Regulando el mercado de divisas extranjeras.</v>
      </c>
    </row>
    <row r="2046" spans="1:5" x14ac:dyDescent="0.25">
      <c r="A2046">
        <v>2045</v>
      </c>
      <c r="B2046" t="s">
        <v>1234</v>
      </c>
      <c r="C2046">
        <v>0</v>
      </c>
      <c r="D2046" t="str">
        <f t="shared" si="64"/>
        <v>d</v>
      </c>
      <c r="E2046" t="str">
        <f t="shared" si="63"/>
        <v>d) Subsidiando el consumo en hogares de los principales servicios energéticos.</v>
      </c>
    </row>
    <row r="2047" spans="1:5" x14ac:dyDescent="0.25">
      <c r="A2047">
        <v>2046</v>
      </c>
      <c r="B2047" s="1" t="s">
        <v>1923</v>
      </c>
      <c r="C2047">
        <v>1</v>
      </c>
      <c r="D2047" t="str">
        <f t="shared" si="64"/>
        <v>E</v>
      </c>
      <c r="E2047" t="str">
        <f t="shared" si="63"/>
        <v>En "Estados sin ciudadanos", Sonia Fleury refiere que Esping- Andersen analiza encuadrar al Welfare State como producto de la lucha de clase, o más ampliamente, una articulación del conflicto distributivo, a partir de pensar su intervención ¿a través de qué esferas?</v>
      </c>
    </row>
    <row r="2048" spans="1:5" x14ac:dyDescent="0.25">
      <c r="A2048">
        <v>2047</v>
      </c>
      <c r="B2048" t="s">
        <v>1235</v>
      </c>
      <c r="C2048">
        <v>0</v>
      </c>
      <c r="D2048" t="str">
        <f t="shared" si="64"/>
        <v>a</v>
      </c>
      <c r="E2048" t="str">
        <f t="shared" si="63"/>
        <v>a) De la monetaria, financiera y subsidiaria.</v>
      </c>
    </row>
    <row r="2049" spans="1:5" x14ac:dyDescent="0.25">
      <c r="A2049">
        <v>2048</v>
      </c>
      <c r="B2049" t="s">
        <v>1236</v>
      </c>
      <c r="C2049">
        <v>0</v>
      </c>
      <c r="D2049" t="str">
        <f t="shared" si="64"/>
        <v>b</v>
      </c>
      <c r="E2049" t="str">
        <f t="shared" si="63"/>
        <v>b) De la política social, el mercado y la industrialización.</v>
      </c>
    </row>
    <row r="2050" spans="1:5" x14ac:dyDescent="0.25">
      <c r="A2050">
        <v>2049</v>
      </c>
      <c r="B2050" t="s">
        <v>1237</v>
      </c>
      <c r="C2050">
        <v>0</v>
      </c>
      <c r="D2050" t="str">
        <f t="shared" si="64"/>
        <v>c</v>
      </c>
      <c r="E2050" t="str">
        <f t="shared" si="63"/>
        <v>c) De las relaciones sociales, mercantiles y políticas.</v>
      </c>
    </row>
    <row r="2051" spans="1:5" x14ac:dyDescent="0.25">
      <c r="A2051">
        <v>2050</v>
      </c>
      <c r="B2051" t="s">
        <v>1238</v>
      </c>
      <c r="C2051">
        <v>0</v>
      </c>
      <c r="D2051" t="str">
        <f t="shared" si="64"/>
        <v>*</v>
      </c>
      <c r="E2051" t="str">
        <f t="shared" ref="E2051:E2114" si="65">+IF(D2051="*",MID(B2051,3,500),B2051)</f>
        <v>d) Del consumo, la distribución y las relaciones de producción.</v>
      </c>
    </row>
    <row r="2052" spans="1:5" x14ac:dyDescent="0.25">
      <c r="A2052">
        <v>2051</v>
      </c>
      <c r="B2052" s="1" t="s">
        <v>1924</v>
      </c>
      <c r="C2052">
        <v>1</v>
      </c>
      <c r="D2052" t="str">
        <f t="shared" si="64"/>
        <v>P</v>
      </c>
      <c r="E2052" t="str">
        <f t="shared" si="65"/>
        <v>Para Altamirano, Armanini y Gonzalez, si bien los derechos de los niños/as y adolescentes no se encuentran limitados a la garantía sólo de sus derechos económicos; el logro de su pleno desarrollo humano como proposición política ¿A qué factores se encuentra vinculado?</v>
      </c>
    </row>
    <row r="2053" spans="1:5" x14ac:dyDescent="0.25">
      <c r="A2053">
        <v>2052</v>
      </c>
      <c r="B2053" t="s">
        <v>1239</v>
      </c>
      <c r="C2053">
        <v>0</v>
      </c>
      <c r="D2053" t="str">
        <f t="shared" si="64"/>
        <v>*</v>
      </c>
      <c r="E2053" t="str">
        <f t="shared" si="65"/>
        <v>a) Al contexto socioeconómico en el cual tiene lugar y a la voluntad política de priorizar la implementación de políticas públicas para la defensa  y garantía de los derechos enunciados.</v>
      </c>
    </row>
    <row r="2054" spans="1:5" x14ac:dyDescent="0.25">
      <c r="A2054">
        <v>2053</v>
      </c>
      <c r="B2054" t="s">
        <v>1240</v>
      </c>
      <c r="C2054">
        <v>0</v>
      </c>
      <c r="D2054" t="str">
        <f t="shared" si="64"/>
        <v>b</v>
      </c>
      <c r="E2054" t="str">
        <f t="shared" si="65"/>
        <v>b) A la plena constitución como sujeto de derechos por parte de los niños, niñas y adolescentes cuyos derechos se encuentran vulnerados a través de las asociaciones civiles.</v>
      </c>
    </row>
    <row r="2055" spans="1:5" x14ac:dyDescent="0.25">
      <c r="A2055">
        <v>2054</v>
      </c>
      <c r="B2055" t="s">
        <v>1241</v>
      </c>
      <c r="C2055">
        <v>0</v>
      </c>
      <c r="D2055" t="str">
        <f t="shared" si="64"/>
        <v>c</v>
      </c>
      <c r="E2055" t="str">
        <f t="shared" si="65"/>
        <v>c) A las pautas culturales y sociales que ubican a los niños como sujetos de derecho y al abandono de usos, costumbres y terminologías vinculadas al  paradigma del menor como incapaz.</v>
      </c>
    </row>
    <row r="2056" spans="1:5" x14ac:dyDescent="0.25">
      <c r="A2056">
        <v>2055</v>
      </c>
      <c r="B2056" t="s">
        <v>1242</v>
      </c>
      <c r="C2056">
        <v>0</v>
      </c>
      <c r="D2056" t="str">
        <f t="shared" si="64"/>
        <v>d</v>
      </c>
      <c r="E2056" t="str">
        <f t="shared" si="65"/>
        <v>d) A la necesariedad de ubicar el tema en la agenda pública para desarrollar e implementar políticas públicas capaces de reconocer y legitimar los derechos a los niños, niñas y adolescentes.</v>
      </c>
    </row>
    <row r="2057" spans="1:5" x14ac:dyDescent="0.25">
      <c r="A2057">
        <v>2056</v>
      </c>
      <c r="B2057" t="s">
        <v>1925</v>
      </c>
      <c r="C2057">
        <v>1</v>
      </c>
      <c r="D2057" t="str">
        <f t="shared" si="64"/>
        <v>S</v>
      </c>
      <c r="E2057" t="str">
        <f t="shared" si="65"/>
        <v>Según Donzelot, a partir de la difusión de la medicina doméstica, se sustraía a los hijos de las clases burguesas, de la influencia negativa de los domésticos. En esta reorganización de los comportamientos educativos, dichos hijos quedan bajo:</v>
      </c>
    </row>
    <row r="2058" spans="1:5" x14ac:dyDescent="0.25">
      <c r="A2058">
        <v>2057</v>
      </c>
      <c r="B2058" t="s">
        <v>1243</v>
      </c>
      <c r="C2058">
        <v>0</v>
      </c>
      <c r="D2058" t="str">
        <f t="shared" si="64"/>
        <v>a</v>
      </c>
      <c r="E2058" t="str">
        <f t="shared" si="65"/>
        <v>a) El cuidado de personas especializadas en crianza.</v>
      </c>
    </row>
    <row r="2059" spans="1:5" x14ac:dyDescent="0.25">
      <c r="A2059">
        <v>2058</v>
      </c>
      <c r="B2059" t="s">
        <v>1244</v>
      </c>
      <c r="C2059">
        <v>0</v>
      </c>
      <c r="D2059" t="str">
        <f t="shared" si="64"/>
        <v>b</v>
      </c>
      <c r="E2059" t="str">
        <f t="shared" si="65"/>
        <v>b) La influencia del poder estatal.</v>
      </c>
    </row>
    <row r="2060" spans="1:5" x14ac:dyDescent="0.25">
      <c r="A2060">
        <v>2059</v>
      </c>
      <c r="B2060" t="s">
        <v>1245</v>
      </c>
      <c r="C2060">
        <v>0</v>
      </c>
      <c r="D2060" t="str">
        <f t="shared" si="64"/>
        <v>*</v>
      </c>
      <c r="E2060" t="str">
        <f t="shared" si="65"/>
        <v>c) La vigilancia de los padres.</v>
      </c>
    </row>
    <row r="2061" spans="1:5" x14ac:dyDescent="0.25">
      <c r="A2061">
        <v>2060</v>
      </c>
      <c r="B2061" t="s">
        <v>1246</v>
      </c>
      <c r="C2061">
        <v>0</v>
      </c>
      <c r="D2061" t="str">
        <f t="shared" si="64"/>
        <v>d</v>
      </c>
      <c r="E2061" t="str">
        <f t="shared" si="65"/>
        <v>d) Los preceptos del saber médico.</v>
      </c>
    </row>
    <row r="2062" spans="1:5" x14ac:dyDescent="0.25">
      <c r="A2062">
        <v>2061</v>
      </c>
      <c r="B2062" t="s">
        <v>1926</v>
      </c>
      <c r="C2062">
        <v>1</v>
      </c>
      <c r="D2062" t="str">
        <f t="shared" si="64"/>
        <v>¿</v>
      </c>
      <c r="E2062" t="str">
        <f t="shared" si="65"/>
        <v>¿Por qué para Eloisa Jong, la familia es depositaria de los conflictos sociales generándose una crisis de inseguiridad por el hoy y el futuro de sus integrantes y no tiene mínimas garantías para la reproducción social de la vida?</v>
      </c>
    </row>
    <row r="2063" spans="1:5" x14ac:dyDescent="0.25">
      <c r="A2063">
        <v>2062</v>
      </c>
      <c r="B2063" t="s">
        <v>1247</v>
      </c>
      <c r="C2063">
        <v>0</v>
      </c>
      <c r="D2063" t="str">
        <f t="shared" si="64"/>
        <v>*</v>
      </c>
      <c r="E2063" t="str">
        <f t="shared" si="65"/>
        <v>a) Porque existe ineficacia de las mediaciones institucionales que aporten a sostener las funciones que ha desarrollado históricamente en la sociedad.</v>
      </c>
    </row>
    <row r="2064" spans="1:5" x14ac:dyDescent="0.25">
      <c r="A2064">
        <v>2063</v>
      </c>
      <c r="B2064" t="s">
        <v>1248</v>
      </c>
      <c r="C2064">
        <v>0</v>
      </c>
      <c r="D2064" t="str">
        <f t="shared" si="64"/>
        <v>b</v>
      </c>
      <c r="E2064" t="str">
        <f t="shared" si="65"/>
        <v>b) Porque las políticas estatales han ido focalizando sus objetivos reduciendo su incumbencia en el ámbito privado de los individuos y sus necesidades.</v>
      </c>
    </row>
    <row r="2065" spans="1:5" x14ac:dyDescent="0.25">
      <c r="A2065">
        <v>2064</v>
      </c>
      <c r="B2065" t="s">
        <v>1249</v>
      </c>
      <c r="C2065">
        <v>0</v>
      </c>
      <c r="D2065" t="str">
        <f t="shared" si="64"/>
        <v>c</v>
      </c>
      <c r="E2065" t="str">
        <f t="shared" si="65"/>
        <v>c) Porque el neoliberalismo ha favorecido la resolución/satisfacción de las necesidades sociales a través de la lógica del mercado, resultando insuficiente.</v>
      </c>
    </row>
    <row r="2066" spans="1:5" x14ac:dyDescent="0.25">
      <c r="A2066">
        <v>2065</v>
      </c>
      <c r="B2066" t="s">
        <v>1250</v>
      </c>
      <c r="C2066">
        <v>0</v>
      </c>
      <c r="D2066" t="str">
        <f t="shared" si="64"/>
        <v>d</v>
      </c>
      <c r="E2066" t="str">
        <f t="shared" si="65"/>
        <v>d) Porque el nivel educativo alcanzado por los individuos no les permite desarrollar estrategias superadoras de situaciones traumáticas, que les generen mayor seguridad.</v>
      </c>
    </row>
    <row r="2067" spans="1:5" x14ac:dyDescent="0.25">
      <c r="A2067">
        <v>2066</v>
      </c>
      <c r="B2067" t="s">
        <v>1927</v>
      </c>
      <c r="C2067">
        <v>1</v>
      </c>
      <c r="D2067" t="str">
        <f t="shared" si="64"/>
        <v>S</v>
      </c>
      <c r="E2067" t="str">
        <f t="shared" si="65"/>
        <v>Según Eloisa de Jong, en la conformación de los modos de intervenir el trabajo social con familia, ¿Cómo se considera a la familia desde la visión positivista- funcionalista?</v>
      </c>
    </row>
    <row r="2068" spans="1:5" x14ac:dyDescent="0.25">
      <c r="A2068">
        <v>2067</v>
      </c>
      <c r="B2068" t="s">
        <v>1251</v>
      </c>
      <c r="C2068">
        <v>0</v>
      </c>
      <c r="D2068" t="str">
        <f t="shared" si="64"/>
        <v>a</v>
      </c>
      <c r="E2068" t="str">
        <f t="shared" si="65"/>
        <v>a) Como un dispositivo incapaz de sostener a sus miembros por sí mismo.</v>
      </c>
    </row>
    <row r="2069" spans="1:5" x14ac:dyDescent="0.25">
      <c r="A2069">
        <v>2068</v>
      </c>
      <c r="B2069" t="s">
        <v>1252</v>
      </c>
      <c r="C2069">
        <v>0</v>
      </c>
      <c r="D2069" t="str">
        <f t="shared" si="64"/>
        <v>b</v>
      </c>
      <c r="E2069" t="str">
        <f t="shared" si="65"/>
        <v>b) Como una institución fortalecida por el consenso social.</v>
      </c>
    </row>
    <row r="2070" spans="1:5" x14ac:dyDescent="0.25">
      <c r="A2070">
        <v>2069</v>
      </c>
      <c r="B2070" t="s">
        <v>1253</v>
      </c>
      <c r="C2070">
        <v>0</v>
      </c>
      <c r="D2070" t="str">
        <f t="shared" si="64"/>
        <v>c</v>
      </c>
      <c r="E2070" t="str">
        <f t="shared" si="65"/>
        <v>c) Como una organización producto de las determinaciones socio- culturales.</v>
      </c>
    </row>
    <row r="2071" spans="1:5" x14ac:dyDescent="0.25">
      <c r="A2071">
        <v>2070</v>
      </c>
      <c r="B2071" t="s">
        <v>1254</v>
      </c>
      <c r="C2071">
        <v>0</v>
      </c>
      <c r="D2071" t="str">
        <f t="shared" si="64"/>
        <v>*</v>
      </c>
      <c r="E2071" t="str">
        <f t="shared" si="65"/>
        <v>d) Como una variable independiente del contexto social.</v>
      </c>
    </row>
    <row r="2072" spans="1:5" x14ac:dyDescent="0.25">
      <c r="A2072">
        <v>2071</v>
      </c>
      <c r="B2072" s="1" t="s">
        <v>1928</v>
      </c>
      <c r="C2072">
        <v>1</v>
      </c>
      <c r="D2072" t="str">
        <f t="shared" si="64"/>
        <v>P</v>
      </c>
      <c r="E2072" t="str">
        <f t="shared" si="65"/>
        <v>Para Jacques Donzelot, todos los discursos de los economistas y de los filántropos se distribuyen en torno a la cuestión de una asistencia planteada en términos socialistas por un lado y la economía política cristiana por el otro. ¿Qué proponen los socialistas?</v>
      </c>
    </row>
    <row r="2073" spans="1:5" x14ac:dyDescent="0.25">
      <c r="A2073">
        <v>2072</v>
      </c>
      <c r="B2073" t="s">
        <v>1255</v>
      </c>
      <c r="C2073">
        <v>0</v>
      </c>
      <c r="D2073" t="str">
        <f t="shared" si="64"/>
        <v>a</v>
      </c>
      <c r="E2073" t="str">
        <f t="shared" si="65"/>
        <v>a) La abdicación de los reyes y la constitución de un co gobierno religioso y burgués.</v>
      </c>
    </row>
    <row r="2074" spans="1:5" x14ac:dyDescent="0.25">
      <c r="A2074">
        <v>2073</v>
      </c>
      <c r="B2074" t="s">
        <v>1256</v>
      </c>
      <c r="C2074">
        <v>0</v>
      </c>
      <c r="D2074" t="str">
        <f t="shared" si="64"/>
        <v>*</v>
      </c>
      <c r="E2074" t="str">
        <f t="shared" si="65"/>
        <v>b) La abolición de la propiedad y de la familia en provecho de una gestión estatal de las necesidades.</v>
      </c>
    </row>
    <row r="2075" spans="1:5" x14ac:dyDescent="0.25">
      <c r="A2075">
        <v>2074</v>
      </c>
      <c r="B2075" t="s">
        <v>1257</v>
      </c>
      <c r="C2075">
        <v>0</v>
      </c>
      <c r="D2075" t="str">
        <f t="shared" si="64"/>
        <v>c</v>
      </c>
      <c r="E2075" t="str">
        <f t="shared" si="65"/>
        <v>c) La constitución de un Estado garante limitado a las cuestiones de organización de la seguridad.</v>
      </c>
    </row>
    <row r="2076" spans="1:5" x14ac:dyDescent="0.25">
      <c r="A2076">
        <v>2075</v>
      </c>
      <c r="B2076" t="s">
        <v>1258</v>
      </c>
      <c r="C2076">
        <v>0</v>
      </c>
      <c r="D2076" t="str">
        <f t="shared" si="64"/>
        <v>d</v>
      </c>
      <c r="E2076" t="str">
        <f t="shared" si="65"/>
        <v>d) La intervención estatal fuertemente desarrollada en el ámbito de la salud, la niñez y la educación.</v>
      </c>
    </row>
    <row r="2077" spans="1:5" x14ac:dyDescent="0.25">
      <c r="A2077">
        <v>2076</v>
      </c>
      <c r="B2077" s="1" t="s">
        <v>1929</v>
      </c>
      <c r="C2077">
        <v>1</v>
      </c>
      <c r="D2077" t="str">
        <f t="shared" si="64"/>
        <v>P</v>
      </c>
      <c r="E2077" t="str">
        <f t="shared" si="65"/>
        <v>Para Gattino y Flores, la noción de "mundo interno"-"mundo externo", nos lleva a la necesidad de conceptualizar. En el discurso de las ciencias sociales, ¿A qué se alude con las "determinaciones que se producen al margen de la conciencia y la acción social"?</v>
      </c>
    </row>
    <row r="2078" spans="1:5" x14ac:dyDescent="0.25">
      <c r="A2078">
        <v>2077</v>
      </c>
      <c r="B2078" t="s">
        <v>1259</v>
      </c>
      <c r="C2078">
        <v>0</v>
      </c>
      <c r="D2078" t="str">
        <f t="shared" si="64"/>
        <v>a</v>
      </c>
      <c r="E2078" t="str">
        <f t="shared" si="65"/>
        <v>a) A la conciencia colectiva.</v>
      </c>
    </row>
    <row r="2079" spans="1:5" x14ac:dyDescent="0.25">
      <c r="A2079">
        <v>2078</v>
      </c>
      <c r="B2079" t="s">
        <v>1260</v>
      </c>
      <c r="C2079">
        <v>0</v>
      </c>
      <c r="D2079" t="str">
        <f t="shared" si="64"/>
        <v>b</v>
      </c>
      <c r="E2079" t="str">
        <f t="shared" si="65"/>
        <v>b) A la super- estructura social.</v>
      </c>
    </row>
    <row r="2080" spans="1:5" x14ac:dyDescent="0.25">
      <c r="A2080">
        <v>2079</v>
      </c>
      <c r="B2080" t="s">
        <v>1261</v>
      </c>
      <c r="C2080">
        <v>0</v>
      </c>
      <c r="D2080" t="str">
        <f t="shared" si="64"/>
        <v>*</v>
      </c>
      <c r="E2080" t="str">
        <f t="shared" si="65"/>
        <v>c) A las estructuras inconcientes.</v>
      </c>
    </row>
    <row r="2081" spans="1:5" x14ac:dyDescent="0.25">
      <c r="A2081">
        <v>2080</v>
      </c>
      <c r="B2081" t="s">
        <v>1262</v>
      </c>
      <c r="C2081">
        <v>0</v>
      </c>
      <c r="D2081" t="str">
        <f t="shared" si="64"/>
        <v>d</v>
      </c>
      <c r="E2081" t="str">
        <f t="shared" si="65"/>
        <v>d) Al imaginario social.</v>
      </c>
    </row>
    <row r="2082" spans="1:5" x14ac:dyDescent="0.25">
      <c r="A2082">
        <v>2081</v>
      </c>
      <c r="B2082" t="s">
        <v>1930</v>
      </c>
      <c r="C2082">
        <v>1</v>
      </c>
      <c r="D2082" t="str">
        <f t="shared" si="64"/>
        <v>G</v>
      </c>
      <c r="E2082" t="str">
        <f t="shared" si="65"/>
        <v>Gattino y Flores realizan una propuesta metodológica de intervención con familias y destacan dos momentos ineludibles en la propuesta. ¿Podría identificar cuáles son?</v>
      </c>
    </row>
    <row r="2083" spans="1:5" x14ac:dyDescent="0.25">
      <c r="A2083">
        <v>2082</v>
      </c>
      <c r="B2083" t="s">
        <v>1263</v>
      </c>
      <c r="C2083">
        <v>0</v>
      </c>
      <c r="D2083" t="str">
        <f t="shared" si="64"/>
        <v>*</v>
      </c>
      <c r="E2083" t="str">
        <f t="shared" si="65"/>
        <v>a) Diagnóstico, intervención - tratamiento.</v>
      </c>
    </row>
    <row r="2084" spans="1:5" x14ac:dyDescent="0.25">
      <c r="A2084">
        <v>2083</v>
      </c>
      <c r="B2084" t="s">
        <v>1264</v>
      </c>
      <c r="C2084">
        <v>0</v>
      </c>
      <c r="D2084" t="str">
        <f t="shared" ref="D2084:D2147" si="66">+MID(B2084,1,1)</f>
        <v>b</v>
      </c>
      <c r="E2084" t="str">
        <f t="shared" si="65"/>
        <v>b) Evaluación diagnóstica- inserción, desarrollo de las acciones.</v>
      </c>
    </row>
    <row r="2085" spans="1:5" x14ac:dyDescent="0.25">
      <c r="A2085">
        <v>2084</v>
      </c>
      <c r="B2085" t="s">
        <v>1265</v>
      </c>
      <c r="C2085">
        <v>0</v>
      </c>
      <c r="D2085" t="str">
        <f t="shared" si="66"/>
        <v>c</v>
      </c>
      <c r="E2085" t="str">
        <f t="shared" si="65"/>
        <v>c) Inserción- Evaluación, intervención.</v>
      </c>
    </row>
    <row r="2086" spans="1:5" x14ac:dyDescent="0.25">
      <c r="A2086">
        <v>2085</v>
      </c>
      <c r="B2086" t="s">
        <v>1266</v>
      </c>
      <c r="C2086">
        <v>0</v>
      </c>
      <c r="D2086" t="str">
        <f t="shared" si="66"/>
        <v>d</v>
      </c>
      <c r="E2086" t="str">
        <f t="shared" si="65"/>
        <v>d) Investigación, definición del problema- tratamiento.</v>
      </c>
    </row>
    <row r="2087" spans="1:5" x14ac:dyDescent="0.25">
      <c r="A2087">
        <v>2086</v>
      </c>
      <c r="B2087" t="s">
        <v>1931</v>
      </c>
      <c r="C2087">
        <v>1</v>
      </c>
      <c r="D2087" t="str">
        <f t="shared" si="66"/>
        <v>¿</v>
      </c>
      <c r="E2087" t="str">
        <f t="shared" si="65"/>
        <v>¿Qué pueden generar, según Gracia Fuster, el estereotipo según el cual la población anciana es una carga para la sociedad, junto con actitudes y  valores culturales que apoyan el culto a la juventud?</v>
      </c>
    </row>
    <row r="2088" spans="1:5" x14ac:dyDescent="0.25">
      <c r="A2088">
        <v>2087</v>
      </c>
      <c r="B2088" t="s">
        <v>1267</v>
      </c>
      <c r="C2088">
        <v>0</v>
      </c>
      <c r="D2088" t="str">
        <f t="shared" si="66"/>
        <v>a</v>
      </c>
      <c r="E2088" t="str">
        <f t="shared" si="65"/>
        <v>a) La exacerbación de una cultura hedonista.</v>
      </c>
    </row>
    <row r="2089" spans="1:5" x14ac:dyDescent="0.25">
      <c r="A2089">
        <v>2088</v>
      </c>
      <c r="B2089" t="s">
        <v>1268</v>
      </c>
      <c r="C2089">
        <v>0</v>
      </c>
      <c r="D2089" t="str">
        <f t="shared" si="66"/>
        <v>b</v>
      </c>
      <c r="E2089" t="str">
        <f t="shared" si="65"/>
        <v>b) Políticas públicas focalizadas que aumentan la brecha intergeneracional.</v>
      </c>
    </row>
    <row r="2090" spans="1:5" x14ac:dyDescent="0.25">
      <c r="A2090">
        <v>2089</v>
      </c>
      <c r="B2090" t="s">
        <v>1269</v>
      </c>
      <c r="C2090">
        <v>0</v>
      </c>
      <c r="D2090" t="str">
        <f t="shared" si="66"/>
        <v>c</v>
      </c>
      <c r="E2090" t="str">
        <f t="shared" si="65"/>
        <v>c) Un resquebrajamiento del pacto social solidario.</v>
      </c>
    </row>
    <row r="2091" spans="1:5" x14ac:dyDescent="0.25">
      <c r="A2091">
        <v>2090</v>
      </c>
      <c r="B2091" t="s">
        <v>1270</v>
      </c>
      <c r="C2091">
        <v>0</v>
      </c>
      <c r="D2091" t="str">
        <f t="shared" si="66"/>
        <v>*</v>
      </c>
      <c r="E2091" t="str">
        <f t="shared" si="65"/>
        <v>d) Una situación en la que se acaba culpando a la víctima.</v>
      </c>
    </row>
    <row r="2092" spans="1:5" x14ac:dyDescent="0.25">
      <c r="A2092">
        <v>2091</v>
      </c>
      <c r="B2092" t="s">
        <v>1932</v>
      </c>
      <c r="C2092">
        <v>1</v>
      </c>
      <c r="D2092" t="str">
        <f t="shared" si="66"/>
        <v>¿</v>
      </c>
      <c r="E2092" t="str">
        <f t="shared" si="65"/>
        <v xml:space="preserve">¿Qué supone para Enrique Gracia Fuster, ingresar en una residencia para ancianos? </v>
      </c>
    </row>
    <row r="2093" spans="1:5" x14ac:dyDescent="0.25">
      <c r="A2093">
        <v>2092</v>
      </c>
      <c r="B2093" t="s">
        <v>1271</v>
      </c>
      <c r="C2093">
        <v>0</v>
      </c>
      <c r="D2093" t="str">
        <f t="shared" si="66"/>
        <v>a</v>
      </c>
      <c r="E2093" t="str">
        <f t="shared" si="65"/>
        <v>a) Formar nuevos lazos entre pares que con frecuencia suplantan la felicidad de los afectos familiares.</v>
      </c>
    </row>
    <row r="2094" spans="1:5" x14ac:dyDescent="0.25">
      <c r="A2094">
        <v>2093</v>
      </c>
      <c r="B2094" t="s">
        <v>1272</v>
      </c>
      <c r="C2094">
        <v>0</v>
      </c>
      <c r="D2094" t="str">
        <f t="shared" si="66"/>
        <v>*</v>
      </c>
      <c r="E2094" t="str">
        <f t="shared" si="65"/>
        <v>b) Ingresar como miembro permanente en una nueva categoría basada puramente en la edad.</v>
      </c>
    </row>
    <row r="2095" spans="1:5" x14ac:dyDescent="0.25">
      <c r="A2095">
        <v>2094</v>
      </c>
      <c r="B2095" t="s">
        <v>1273</v>
      </c>
      <c r="C2095">
        <v>0</v>
      </c>
      <c r="D2095" t="str">
        <f t="shared" si="66"/>
        <v>c</v>
      </c>
      <c r="E2095" t="str">
        <f t="shared" si="65"/>
        <v>c) Ser parte de un nuevo proyecto social y comunitario que lo tenga de protagonista.</v>
      </c>
    </row>
    <row r="2096" spans="1:5" x14ac:dyDescent="0.25">
      <c r="A2096">
        <v>2095</v>
      </c>
      <c r="B2096" t="s">
        <v>1274</v>
      </c>
      <c r="C2096">
        <v>0</v>
      </c>
      <c r="D2096" t="str">
        <f t="shared" si="66"/>
        <v>d</v>
      </c>
      <c r="E2096" t="str">
        <f t="shared" si="65"/>
        <v>d) Ser parte de un proceso que muy probablemente culmine con la externación o la muerte.</v>
      </c>
    </row>
    <row r="2097" spans="1:5" x14ac:dyDescent="0.25">
      <c r="A2097">
        <v>2096</v>
      </c>
      <c r="B2097" t="s">
        <v>1933</v>
      </c>
      <c r="C2097">
        <v>1</v>
      </c>
      <c r="D2097" t="str">
        <f t="shared" si="66"/>
        <v>¿</v>
      </c>
      <c r="E2097" t="str">
        <f t="shared" si="65"/>
        <v>¿Cuál es según Enrique Gracia Fuster uno de los principales determinantes de la rotura del cuidado familiar y comunitario de la persona anciana?</v>
      </c>
    </row>
    <row r="2098" spans="1:5" x14ac:dyDescent="0.25">
      <c r="A2098">
        <v>2097</v>
      </c>
      <c r="B2098" t="s">
        <v>1275</v>
      </c>
      <c r="C2098">
        <v>0</v>
      </c>
      <c r="D2098" t="str">
        <f t="shared" si="66"/>
        <v>a</v>
      </c>
      <c r="E2098" t="str">
        <f t="shared" si="65"/>
        <v>a) La agresividad.</v>
      </c>
    </row>
    <row r="2099" spans="1:5" x14ac:dyDescent="0.25">
      <c r="A2099">
        <v>2098</v>
      </c>
      <c r="B2099" t="s">
        <v>1276</v>
      </c>
      <c r="C2099">
        <v>0</v>
      </c>
      <c r="D2099" t="str">
        <f t="shared" si="66"/>
        <v>*</v>
      </c>
      <c r="E2099" t="str">
        <f t="shared" si="65"/>
        <v>b) La demencia.</v>
      </c>
    </row>
    <row r="2100" spans="1:5" x14ac:dyDescent="0.25">
      <c r="A2100">
        <v>2099</v>
      </c>
      <c r="B2100" t="s">
        <v>1277</v>
      </c>
      <c r="C2100">
        <v>0</v>
      </c>
      <c r="D2100" t="str">
        <f t="shared" si="66"/>
        <v>c</v>
      </c>
      <c r="E2100" t="str">
        <f t="shared" si="65"/>
        <v>c) La incontinencia urinaria.</v>
      </c>
    </row>
    <row r="2101" spans="1:5" x14ac:dyDescent="0.25">
      <c r="A2101">
        <v>2100</v>
      </c>
      <c r="B2101" t="s">
        <v>1278</v>
      </c>
      <c r="C2101">
        <v>0</v>
      </c>
      <c r="D2101" t="str">
        <f t="shared" si="66"/>
        <v>d</v>
      </c>
      <c r="E2101" t="str">
        <f t="shared" si="65"/>
        <v>d) El incremento de gastos.</v>
      </c>
    </row>
    <row r="2102" spans="1:5" x14ac:dyDescent="0.25">
      <c r="A2102">
        <v>2101</v>
      </c>
      <c r="B2102" t="s">
        <v>1934</v>
      </c>
      <c r="C2102">
        <v>1</v>
      </c>
      <c r="D2102" t="str">
        <f t="shared" si="66"/>
        <v>S</v>
      </c>
      <c r="E2102" t="str">
        <f t="shared" si="65"/>
        <v xml:space="preserve">Si bien, en promedio, las mujeres tienden a utilizar los servicios de salud más frecuentemente que los hombres, tal tendencia, para Elsa Gómez Gómez, no conlleva necesariamente una ventaja. ¿Por qué esto es así para la autora? </v>
      </c>
    </row>
    <row r="2103" spans="1:5" x14ac:dyDescent="0.25">
      <c r="A2103">
        <v>2102</v>
      </c>
      <c r="B2103" t="s">
        <v>1279</v>
      </c>
      <c r="C2103">
        <v>0</v>
      </c>
      <c r="D2103" t="str">
        <f t="shared" si="66"/>
        <v>*</v>
      </c>
      <c r="E2103" t="str">
        <f t="shared" si="65"/>
        <v>a) Las mujeres tienen una mayor necesidad de servicios de salud y la probreza restringe desproporcionadamente el acceso a los mismos.</v>
      </c>
    </row>
    <row r="2104" spans="1:5" x14ac:dyDescent="0.25">
      <c r="A2104">
        <v>2103</v>
      </c>
      <c r="B2104" t="s">
        <v>1280</v>
      </c>
      <c r="C2104">
        <v>0</v>
      </c>
      <c r="D2104" t="str">
        <f t="shared" si="66"/>
        <v>b</v>
      </c>
      <c r="E2104" t="str">
        <f t="shared" si="65"/>
        <v>b) Los hombres tienden a enfermar menos por lo tanto generan menos gasto y demanda a los servicios de salud.</v>
      </c>
    </row>
    <row r="2105" spans="1:5" x14ac:dyDescent="0.25">
      <c r="A2105">
        <v>2104</v>
      </c>
      <c r="B2105" t="s">
        <v>1281</v>
      </c>
      <c r="C2105">
        <v>0</v>
      </c>
      <c r="D2105" t="str">
        <f t="shared" si="66"/>
        <v>c</v>
      </c>
      <c r="E2105" t="str">
        <f t="shared" si="65"/>
        <v>c) Las políticas sociales redistributivas que se desarrollan en América Latina no se centralizan en las mujeres y las vuelven vulnerables.</v>
      </c>
    </row>
    <row r="2106" spans="1:5" x14ac:dyDescent="0.25">
      <c r="A2106">
        <v>2105</v>
      </c>
      <c r="B2106" t="s">
        <v>1282</v>
      </c>
      <c r="C2106">
        <v>0</v>
      </c>
      <c r="D2106" t="str">
        <f t="shared" si="66"/>
        <v>d</v>
      </c>
      <c r="E2106" t="str">
        <f t="shared" si="65"/>
        <v>d) Las mujeres suelen presentar enfermedades mas prolongadas y costosas que los hombres que los sistemas de salud público cubren escasamente.</v>
      </c>
    </row>
    <row r="2107" spans="1:5" x14ac:dyDescent="0.25">
      <c r="A2107">
        <v>2106</v>
      </c>
      <c r="B2107" t="s">
        <v>1935</v>
      </c>
      <c r="C2107">
        <v>1</v>
      </c>
      <c r="D2107" t="str">
        <f t="shared" si="66"/>
        <v>¿</v>
      </c>
      <c r="E2107" t="str">
        <f t="shared" si="65"/>
        <v xml:space="preserve">¿Qué significa para Gómez Gómez, abogar por la equidad de género en salud? </v>
      </c>
    </row>
    <row r="2108" spans="1:5" x14ac:dyDescent="0.25">
      <c r="A2108">
        <v>2107</v>
      </c>
      <c r="B2108" t="s">
        <v>1283</v>
      </c>
      <c r="C2108">
        <v>0</v>
      </c>
      <c r="D2108" t="str">
        <f t="shared" si="66"/>
        <v>a</v>
      </c>
      <c r="E2108" t="str">
        <f t="shared" si="65"/>
        <v>a) Que las mujeres y los hombres en situación de pobreza reciban cuotas iguales de recursos y servicios que les permitan subsistir.</v>
      </c>
    </row>
    <row r="2109" spans="1:5" x14ac:dyDescent="0.25">
      <c r="A2109">
        <v>2108</v>
      </c>
      <c r="B2109" t="s">
        <v>1284</v>
      </c>
      <c r="C2109">
        <v>0</v>
      </c>
      <c r="D2109" t="str">
        <f t="shared" si="66"/>
        <v>*</v>
      </c>
      <c r="E2109" t="str">
        <f t="shared" si="65"/>
        <v>b) Que los recursos se asignen y se reciban diferencialmente de acuerdo con las necesidades particulares de cada sexo y contexto socio económico.</v>
      </c>
    </row>
    <row r="2110" spans="1:5" x14ac:dyDescent="0.25">
      <c r="A2110">
        <v>2109</v>
      </c>
      <c r="B2110" t="s">
        <v>1285</v>
      </c>
      <c r="C2110">
        <v>0</v>
      </c>
      <c r="D2110" t="str">
        <f t="shared" si="66"/>
        <v>c</v>
      </c>
      <c r="E2110" t="str">
        <f t="shared" si="65"/>
        <v>c) Que los recursos y servicios se destinen mayoritariamente a la atención en salud de mujeres.</v>
      </c>
    </row>
    <row r="2111" spans="1:5" x14ac:dyDescent="0.25">
      <c r="A2111">
        <v>2110</v>
      </c>
      <c r="B2111" t="s">
        <v>1286</v>
      </c>
      <c r="C2111">
        <v>0</v>
      </c>
      <c r="D2111" t="str">
        <f t="shared" si="66"/>
        <v>d</v>
      </c>
      <c r="E2111" t="str">
        <f t="shared" si="65"/>
        <v>d) Que los servicios se asignen de acuerdo a la capacidad de consumo diferencial que tienen hombres y mujeres dentro las comunidades.</v>
      </c>
    </row>
    <row r="2112" spans="1:5" x14ac:dyDescent="0.25">
      <c r="A2112">
        <v>2111</v>
      </c>
      <c r="B2112" s="1" t="s">
        <v>1936</v>
      </c>
      <c r="C2112">
        <v>1</v>
      </c>
      <c r="D2112" t="str">
        <f t="shared" si="66"/>
        <v>E</v>
      </c>
      <c r="E2112" t="str">
        <f t="shared" si="65"/>
        <v>En el texto de Mabel Grimberg, ¿A qué concepto se refiere cuando habla por un lado "de la sexualidad como proceso que no sólo se desenvuelve sino que se construye en una historia con otros, y por otro, de las singularidades de esas historias en los sujetos ..."?</v>
      </c>
    </row>
    <row r="2113" spans="1:5" x14ac:dyDescent="0.25">
      <c r="A2113">
        <v>2112</v>
      </c>
      <c r="B2113" t="s">
        <v>1287</v>
      </c>
      <c r="C2113">
        <v>0</v>
      </c>
      <c r="D2113" t="str">
        <f t="shared" si="66"/>
        <v>a</v>
      </c>
      <c r="E2113" t="str">
        <f t="shared" si="65"/>
        <v>a) Educación sexual.</v>
      </c>
    </row>
    <row r="2114" spans="1:5" x14ac:dyDescent="0.25">
      <c r="A2114">
        <v>2113</v>
      </c>
      <c r="B2114" t="s">
        <v>1288</v>
      </c>
      <c r="C2114">
        <v>0</v>
      </c>
      <c r="D2114" t="str">
        <f t="shared" si="66"/>
        <v>b</v>
      </c>
      <c r="E2114" t="str">
        <f t="shared" si="65"/>
        <v>b) Historia de la sexualidad.</v>
      </c>
    </row>
    <row r="2115" spans="1:5" x14ac:dyDescent="0.25">
      <c r="A2115">
        <v>2114</v>
      </c>
      <c r="B2115" t="s">
        <v>1289</v>
      </c>
      <c r="C2115">
        <v>0</v>
      </c>
      <c r="D2115" t="str">
        <f t="shared" si="66"/>
        <v>c</v>
      </c>
      <c r="E2115" t="str">
        <f t="shared" ref="E2115:E2178" si="67">+IF(D2115="*",MID(B2115,3,500),B2115)</f>
        <v>c) Relacionamientos sexuales.</v>
      </c>
    </row>
    <row r="2116" spans="1:5" x14ac:dyDescent="0.25">
      <c r="A2116">
        <v>2115</v>
      </c>
      <c r="B2116" t="s">
        <v>1290</v>
      </c>
      <c r="C2116">
        <v>0</v>
      </c>
      <c r="D2116" t="str">
        <f t="shared" si="66"/>
        <v>*</v>
      </c>
      <c r="E2116" t="str">
        <f t="shared" si="67"/>
        <v>d) Trayectoria sexual.</v>
      </c>
    </row>
    <row r="2117" spans="1:5" x14ac:dyDescent="0.25">
      <c r="A2117">
        <v>2116</v>
      </c>
      <c r="B2117" t="s">
        <v>1937</v>
      </c>
      <c r="C2117">
        <v>1</v>
      </c>
      <c r="D2117" t="str">
        <f t="shared" si="66"/>
        <v>S</v>
      </c>
      <c r="E2117" t="str">
        <f t="shared" si="67"/>
        <v>Según Maria del Carmen Ludi, en el proceso de envejecimiento, como proceso biológio, ¿Qué es lo que adquiere relevancia, mas allá del curso de vida pautado e institucionalizado?</v>
      </c>
    </row>
    <row r="2118" spans="1:5" x14ac:dyDescent="0.25">
      <c r="A2118">
        <v>2117</v>
      </c>
      <c r="B2118" t="s">
        <v>1291</v>
      </c>
      <c r="C2118">
        <v>0</v>
      </c>
      <c r="D2118" t="str">
        <f t="shared" si="66"/>
        <v>*</v>
      </c>
      <c r="E2118" t="str">
        <f t="shared" si="67"/>
        <v>a) La dimensión simbólica en la vida cotidiana de las personas.</v>
      </c>
    </row>
    <row r="2119" spans="1:5" x14ac:dyDescent="0.25">
      <c r="A2119">
        <v>2118</v>
      </c>
      <c r="B2119" t="s">
        <v>1292</v>
      </c>
      <c r="C2119">
        <v>0</v>
      </c>
      <c r="D2119" t="str">
        <f t="shared" si="66"/>
        <v>b</v>
      </c>
      <c r="E2119" t="str">
        <f t="shared" si="67"/>
        <v>b) La disponibilidad de recursos económicos de los sujetos envejecidos.</v>
      </c>
    </row>
    <row r="2120" spans="1:5" x14ac:dyDescent="0.25">
      <c r="A2120">
        <v>2119</v>
      </c>
      <c r="B2120" t="s">
        <v>1293</v>
      </c>
      <c r="C2120">
        <v>0</v>
      </c>
      <c r="D2120" t="str">
        <f t="shared" si="66"/>
        <v>c</v>
      </c>
      <c r="E2120" t="str">
        <f t="shared" si="67"/>
        <v>c) La política de protección social del Estado hacia la población de la tercera edad.</v>
      </c>
    </row>
    <row r="2121" spans="1:5" x14ac:dyDescent="0.25">
      <c r="A2121">
        <v>2120</v>
      </c>
      <c r="B2121" t="s">
        <v>1294</v>
      </c>
      <c r="C2121">
        <v>0</v>
      </c>
      <c r="D2121" t="str">
        <f t="shared" si="66"/>
        <v>d</v>
      </c>
      <c r="E2121" t="str">
        <f t="shared" si="67"/>
        <v>d) La presencia de redes familiares de contención en un ciclo de alta vulnerabilidad.</v>
      </c>
    </row>
    <row r="2122" spans="1:5" x14ac:dyDescent="0.25">
      <c r="A2122">
        <v>2121</v>
      </c>
      <c r="B2122" t="s">
        <v>1938</v>
      </c>
      <c r="C2122">
        <v>1</v>
      </c>
      <c r="D2122" t="str">
        <f t="shared" si="66"/>
        <v>P</v>
      </c>
      <c r="E2122" t="str">
        <f t="shared" si="67"/>
        <v>Para Ludi, "Tercera Edad" es una creación reciente de las sociedades occidentales contemporáneas. ¿Qué es lo que implica su invención?</v>
      </c>
    </row>
    <row r="2123" spans="1:5" x14ac:dyDescent="0.25">
      <c r="A2123">
        <v>2122</v>
      </c>
      <c r="B2123" t="s">
        <v>1295</v>
      </c>
      <c r="C2123">
        <v>0</v>
      </c>
      <c r="D2123" t="str">
        <f t="shared" si="66"/>
        <v>a</v>
      </c>
      <c r="E2123" t="str">
        <f t="shared" si="67"/>
        <v>a) El ocultamiento de una etapa caracterizada por la tristeza y la soledad cuyos protagonistas pretenden olvidar.</v>
      </c>
    </row>
    <row r="2124" spans="1:5" x14ac:dyDescent="0.25">
      <c r="A2124">
        <v>2123</v>
      </c>
      <c r="B2124" t="s">
        <v>1296</v>
      </c>
      <c r="C2124">
        <v>0</v>
      </c>
      <c r="D2124" t="str">
        <f t="shared" si="66"/>
        <v>b</v>
      </c>
      <c r="E2124" t="str">
        <f t="shared" si="67"/>
        <v>b) La construcción de un nuevo término para nominar los procesos de envejecimiento ocultando las situaciones de marginalización.</v>
      </c>
    </row>
    <row r="2125" spans="1:5" x14ac:dyDescent="0.25">
      <c r="A2125">
        <v>2124</v>
      </c>
      <c r="B2125" t="s">
        <v>1297</v>
      </c>
      <c r="C2125">
        <v>0</v>
      </c>
      <c r="D2125" t="str">
        <f t="shared" si="66"/>
        <v>*</v>
      </c>
      <c r="E2125" t="str">
        <f t="shared" si="67"/>
        <v>c) La creación de una nueva etapa de la vida que se interpone entre la edad adulta y la vejez.</v>
      </c>
    </row>
    <row r="2126" spans="1:5" x14ac:dyDescent="0.25">
      <c r="A2126">
        <v>2125</v>
      </c>
      <c r="B2126" t="s">
        <v>1298</v>
      </c>
      <c r="C2126">
        <v>0</v>
      </c>
      <c r="D2126" t="str">
        <f t="shared" si="66"/>
        <v>d</v>
      </c>
      <c r="E2126" t="str">
        <f t="shared" si="67"/>
        <v>d) Nuevas políticas sociales capaces de ajustarse a los requerimientos que los nuevos sujetos sociales requieran.</v>
      </c>
    </row>
    <row r="2127" spans="1:5" x14ac:dyDescent="0.25">
      <c r="A2127">
        <v>2126</v>
      </c>
      <c r="B2127" t="s">
        <v>1939</v>
      </c>
      <c r="C2127">
        <v>1</v>
      </c>
      <c r="D2127" t="str">
        <f t="shared" si="66"/>
        <v>L</v>
      </c>
      <c r="E2127" t="str">
        <f t="shared" si="67"/>
        <v>La gerontología y la geriatría según Ludi, han contribuido durante mucho tiempo en el trazado de un perfil de los viejos identificados sólo como:</v>
      </c>
    </row>
    <row r="2128" spans="1:5" x14ac:dyDescent="0.25">
      <c r="A2128">
        <v>2127</v>
      </c>
      <c r="B2128" t="s">
        <v>1299</v>
      </c>
      <c r="C2128">
        <v>0</v>
      </c>
      <c r="D2128" t="str">
        <f t="shared" si="66"/>
        <v>a</v>
      </c>
      <c r="E2128" t="str">
        <f t="shared" si="67"/>
        <v>a) Beneficiarios legítimos del sistema de protección estatal.</v>
      </c>
    </row>
    <row r="2129" spans="1:5" x14ac:dyDescent="0.25">
      <c r="A2129">
        <v>2128</v>
      </c>
      <c r="B2129" t="s">
        <v>1300</v>
      </c>
      <c r="C2129">
        <v>0</v>
      </c>
      <c r="D2129" t="str">
        <f t="shared" si="66"/>
        <v>*</v>
      </c>
      <c r="E2129" t="str">
        <f t="shared" si="67"/>
        <v>b) Personas frágiles y vulnerables.</v>
      </c>
    </row>
    <row r="2130" spans="1:5" x14ac:dyDescent="0.25">
      <c r="A2130">
        <v>2129</v>
      </c>
      <c r="B2130" t="s">
        <v>1301</v>
      </c>
      <c r="C2130">
        <v>0</v>
      </c>
      <c r="D2130" t="str">
        <f t="shared" si="66"/>
        <v>c</v>
      </c>
      <c r="E2130" t="str">
        <f t="shared" si="67"/>
        <v>c) Sujetos dependientes y demandantes.</v>
      </c>
    </row>
    <row r="2131" spans="1:5" x14ac:dyDescent="0.25">
      <c r="A2131">
        <v>2130</v>
      </c>
      <c r="B2131" t="s">
        <v>1302</v>
      </c>
      <c r="C2131">
        <v>0</v>
      </c>
      <c r="D2131" t="str">
        <f t="shared" si="66"/>
        <v>d</v>
      </c>
      <c r="E2131" t="str">
        <f t="shared" si="67"/>
        <v>d) Víctimas de miseria, de soledad, de dolencias.</v>
      </c>
    </row>
    <row r="2132" spans="1:5" x14ac:dyDescent="0.25">
      <c r="A2132">
        <v>2131</v>
      </c>
      <c r="B2132" t="s">
        <v>1940</v>
      </c>
      <c r="C2132">
        <v>1</v>
      </c>
      <c r="D2132" t="str">
        <f t="shared" si="66"/>
        <v>¿</v>
      </c>
      <c r="E2132" t="str">
        <f t="shared" si="67"/>
        <v>¿Cuáles son, según Maria José Aguilar Idañez, las funciones relativas a la supervisión de trabajadores sociales profesionales?</v>
      </c>
    </row>
    <row r="2133" spans="1:5" x14ac:dyDescent="0.25">
      <c r="A2133">
        <v>2132</v>
      </c>
      <c r="B2133" t="s">
        <v>1303</v>
      </c>
      <c r="C2133">
        <v>0</v>
      </c>
      <c r="D2133" t="str">
        <f t="shared" si="66"/>
        <v>a</v>
      </c>
      <c r="E2133" t="str">
        <f t="shared" si="67"/>
        <v>a) Contener, asesorar, orientar en procesos.</v>
      </c>
    </row>
    <row r="2134" spans="1:5" x14ac:dyDescent="0.25">
      <c r="A2134">
        <v>2133</v>
      </c>
      <c r="B2134" t="s">
        <v>1304</v>
      </c>
      <c r="C2134">
        <v>0</v>
      </c>
      <c r="D2134" t="str">
        <f t="shared" si="66"/>
        <v>b</v>
      </c>
      <c r="E2134" t="str">
        <f t="shared" si="67"/>
        <v>b) Cooperar, educar, acompañar.</v>
      </c>
    </row>
    <row r="2135" spans="1:5" x14ac:dyDescent="0.25">
      <c r="A2135">
        <v>2134</v>
      </c>
      <c r="B2135" t="s">
        <v>1305</v>
      </c>
      <c r="C2135">
        <v>0</v>
      </c>
      <c r="D2135" t="str">
        <f t="shared" si="66"/>
        <v>c</v>
      </c>
      <c r="E2135" t="str">
        <f t="shared" si="67"/>
        <v>c) Intercambiar, problematizar, enseñar.</v>
      </c>
    </row>
    <row r="2136" spans="1:5" x14ac:dyDescent="0.25">
      <c r="A2136">
        <v>2135</v>
      </c>
      <c r="B2136" t="s">
        <v>1306</v>
      </c>
      <c r="C2136">
        <v>0</v>
      </c>
      <c r="D2136" t="str">
        <f t="shared" si="66"/>
        <v>*</v>
      </c>
      <c r="E2136" t="str">
        <f t="shared" si="67"/>
        <v>d) Promover, estimular y obtener su participación.</v>
      </c>
    </row>
    <row r="2137" spans="1:5" x14ac:dyDescent="0.25">
      <c r="A2137">
        <v>2136</v>
      </c>
      <c r="B2137" s="1" t="s">
        <v>1941</v>
      </c>
      <c r="C2137">
        <v>1</v>
      </c>
      <c r="D2137" t="str">
        <f t="shared" si="66"/>
        <v>C</v>
      </c>
      <c r="E2137" t="str">
        <f t="shared" si="67"/>
        <v>Cuando Aguilar Idañez señala que "Para el buen desarrollo de la entrevista/ tutoría individual, el supervisado debe entregar al supervisor el material y los informes que serán la base de la entrevista y debería incluir una agenda de preguntas o problemas". ¿A qué fase de una supervisión individual está haciendo referencia?</v>
      </c>
    </row>
    <row r="2138" spans="1:5" x14ac:dyDescent="0.25">
      <c r="A2138">
        <v>2137</v>
      </c>
      <c r="B2138" t="s">
        <v>1307</v>
      </c>
      <c r="C2138">
        <v>0</v>
      </c>
      <c r="D2138" t="str">
        <f t="shared" si="66"/>
        <v>a</v>
      </c>
      <c r="E2138" t="str">
        <f t="shared" si="67"/>
        <v>a) Clarificación y comprensión de los problemas.</v>
      </c>
    </row>
    <row r="2139" spans="1:5" x14ac:dyDescent="0.25">
      <c r="A2139">
        <v>2138</v>
      </c>
      <c r="B2139" t="s">
        <v>1308</v>
      </c>
      <c r="C2139">
        <v>0</v>
      </c>
      <c r="D2139" t="str">
        <f t="shared" si="66"/>
        <v>b</v>
      </c>
      <c r="E2139" t="str">
        <f t="shared" si="67"/>
        <v>b) Contacto inicial.</v>
      </c>
    </row>
    <row r="2140" spans="1:5" x14ac:dyDescent="0.25">
      <c r="A2140">
        <v>2139</v>
      </c>
      <c r="B2140" t="s">
        <v>1309</v>
      </c>
      <c r="C2140">
        <v>0</v>
      </c>
      <c r="D2140" t="str">
        <f t="shared" si="66"/>
        <v>c</v>
      </c>
      <c r="E2140" t="str">
        <f t="shared" si="67"/>
        <v>c) Informe del supervisado.</v>
      </c>
    </row>
    <row r="2141" spans="1:5" x14ac:dyDescent="0.25">
      <c r="A2141">
        <v>2140</v>
      </c>
      <c r="B2141" t="s">
        <v>1310</v>
      </c>
      <c r="C2141">
        <v>0</v>
      </c>
      <c r="D2141" t="str">
        <f t="shared" si="66"/>
        <v>*</v>
      </c>
      <c r="E2141" t="str">
        <f t="shared" si="67"/>
        <v>d) Tareas previas.</v>
      </c>
    </row>
    <row r="2142" spans="1:5" x14ac:dyDescent="0.25">
      <c r="A2142">
        <v>2141</v>
      </c>
      <c r="B2142" t="s">
        <v>1942</v>
      </c>
      <c r="C2142">
        <v>1</v>
      </c>
      <c r="D2142" t="str">
        <f t="shared" si="66"/>
        <v>¿</v>
      </c>
      <c r="E2142" t="str">
        <f t="shared" si="67"/>
        <v>¿Cómo define Bourdieu y Wacquant a aquellas fuerzas que son activas en el campo y que el analista selecciona como pertinentes porque producen las diferencias más importantes?</v>
      </c>
    </row>
    <row r="2143" spans="1:5" x14ac:dyDescent="0.25">
      <c r="A2143">
        <v>2142</v>
      </c>
      <c r="B2143" t="s">
        <v>1311</v>
      </c>
      <c r="C2143">
        <v>0</v>
      </c>
      <c r="D2143" t="str">
        <f t="shared" si="66"/>
        <v>a</v>
      </c>
      <c r="E2143" t="str">
        <f t="shared" si="67"/>
        <v>a) Campo de fuerzas.</v>
      </c>
    </row>
    <row r="2144" spans="1:5" x14ac:dyDescent="0.25">
      <c r="A2144">
        <v>2143</v>
      </c>
      <c r="B2144" t="s">
        <v>1312</v>
      </c>
      <c r="C2144">
        <v>0</v>
      </c>
      <c r="D2144" t="str">
        <f t="shared" si="66"/>
        <v>*</v>
      </c>
      <c r="E2144" t="str">
        <f t="shared" si="67"/>
        <v>b) Capital específico.</v>
      </c>
    </row>
    <row r="2145" spans="1:5" x14ac:dyDescent="0.25">
      <c r="A2145">
        <v>2144</v>
      </c>
      <c r="B2145" t="s">
        <v>1313</v>
      </c>
      <c r="C2145">
        <v>0</v>
      </c>
      <c r="D2145" t="str">
        <f t="shared" si="66"/>
        <v>c</v>
      </c>
      <c r="E2145" t="str">
        <f t="shared" si="67"/>
        <v>c) Poder simbólico.</v>
      </c>
    </row>
    <row r="2146" spans="1:5" x14ac:dyDescent="0.25">
      <c r="A2146">
        <v>2145</v>
      </c>
      <c r="B2146" t="s">
        <v>1314</v>
      </c>
      <c r="C2146">
        <v>0</v>
      </c>
      <c r="D2146" t="str">
        <f t="shared" si="66"/>
        <v>d</v>
      </c>
      <c r="E2146" t="str">
        <f t="shared" si="67"/>
        <v>d) Reglas de juego.</v>
      </c>
    </row>
    <row r="2147" spans="1:5" x14ac:dyDescent="0.25">
      <c r="A2147">
        <v>2146</v>
      </c>
      <c r="B2147" t="s">
        <v>1943</v>
      </c>
      <c r="C2147">
        <v>1</v>
      </c>
      <c r="D2147" t="str">
        <f t="shared" si="66"/>
        <v>S</v>
      </c>
      <c r="E2147" t="str">
        <f t="shared" si="67"/>
        <v>Según Cáceres, en una entrevista se explora la estructura cognitiva que el entrevistado tiene sobre la situación que lo lleva a esta interacción. ¿Qué otra estructura, sostiene el autor que se explora?</v>
      </c>
    </row>
    <row r="2148" spans="1:5" x14ac:dyDescent="0.25">
      <c r="A2148">
        <v>2147</v>
      </c>
      <c r="B2148" t="s">
        <v>1315</v>
      </c>
      <c r="C2148">
        <v>0</v>
      </c>
      <c r="D2148" t="str">
        <f t="shared" ref="D2148:D2211" si="68">+MID(B2148,1,1)</f>
        <v>*</v>
      </c>
      <c r="E2148" t="str">
        <f t="shared" si="67"/>
        <v>a) La actitudinal.</v>
      </c>
    </row>
    <row r="2149" spans="1:5" x14ac:dyDescent="0.25">
      <c r="A2149">
        <v>2148</v>
      </c>
      <c r="B2149" t="s">
        <v>1316</v>
      </c>
      <c r="C2149">
        <v>0</v>
      </c>
      <c r="D2149" t="str">
        <f t="shared" si="68"/>
        <v>b</v>
      </c>
      <c r="E2149" t="str">
        <f t="shared" si="67"/>
        <v>b) La interpretativa.</v>
      </c>
    </row>
    <row r="2150" spans="1:5" x14ac:dyDescent="0.25">
      <c r="A2150">
        <v>2149</v>
      </c>
      <c r="B2150" t="s">
        <v>1317</v>
      </c>
      <c r="C2150">
        <v>0</v>
      </c>
      <c r="D2150" t="str">
        <f t="shared" si="68"/>
        <v>c</v>
      </c>
      <c r="E2150" t="str">
        <f t="shared" si="67"/>
        <v>c) La relacional.</v>
      </c>
    </row>
    <row r="2151" spans="1:5" x14ac:dyDescent="0.25">
      <c r="A2151">
        <v>2150</v>
      </c>
      <c r="B2151" t="s">
        <v>1318</v>
      </c>
      <c r="C2151">
        <v>0</v>
      </c>
      <c r="D2151" t="str">
        <f t="shared" si="68"/>
        <v>d</v>
      </c>
      <c r="E2151" t="str">
        <f t="shared" si="67"/>
        <v>d) La socio-familiar.</v>
      </c>
    </row>
    <row r="2152" spans="1:5" x14ac:dyDescent="0.25">
      <c r="A2152">
        <v>2151</v>
      </c>
      <c r="B2152" t="s">
        <v>1944</v>
      </c>
      <c r="C2152">
        <v>1</v>
      </c>
      <c r="D2152" t="str">
        <f t="shared" si="68"/>
        <v>P</v>
      </c>
      <c r="E2152" t="str">
        <f t="shared" si="67"/>
        <v>Para Cáceres y otros, los significados que se atribuyen en el proceso de elaboración del conocimiento, pueden ser de dos tipos. ¿Cúales son dichos significados?</v>
      </c>
    </row>
    <row r="2153" spans="1:5" x14ac:dyDescent="0.25">
      <c r="A2153">
        <v>2152</v>
      </c>
      <c r="B2153" t="s">
        <v>1319</v>
      </c>
      <c r="C2153">
        <v>0</v>
      </c>
      <c r="D2153" t="str">
        <f t="shared" si="68"/>
        <v>a</v>
      </c>
      <c r="E2153" t="str">
        <f t="shared" si="67"/>
        <v>a) Básicos y simbólicos.</v>
      </c>
    </row>
    <row r="2154" spans="1:5" x14ac:dyDescent="0.25">
      <c r="A2154">
        <v>2153</v>
      </c>
      <c r="B2154" t="s">
        <v>1320</v>
      </c>
      <c r="C2154">
        <v>0</v>
      </c>
      <c r="D2154" t="str">
        <f t="shared" si="68"/>
        <v>b</v>
      </c>
      <c r="E2154" t="str">
        <f t="shared" si="67"/>
        <v>b) Comprensivos e intelectuales.</v>
      </c>
    </row>
    <row r="2155" spans="1:5" x14ac:dyDescent="0.25">
      <c r="A2155">
        <v>2154</v>
      </c>
      <c r="B2155" t="s">
        <v>1321</v>
      </c>
      <c r="C2155">
        <v>0</v>
      </c>
      <c r="D2155" t="str">
        <f t="shared" si="68"/>
        <v>*</v>
      </c>
      <c r="E2155" t="str">
        <f t="shared" si="67"/>
        <v>c) Cognitivos y afectivos.</v>
      </c>
    </row>
    <row r="2156" spans="1:5" x14ac:dyDescent="0.25">
      <c r="A2156">
        <v>2155</v>
      </c>
      <c r="B2156" t="s">
        <v>1322</v>
      </c>
      <c r="C2156">
        <v>0</v>
      </c>
      <c r="D2156" t="str">
        <f t="shared" si="68"/>
        <v>d</v>
      </c>
      <c r="E2156" t="str">
        <f t="shared" si="67"/>
        <v>d) Ideológicos y conceptuales.</v>
      </c>
    </row>
    <row r="2157" spans="1:5" x14ac:dyDescent="0.25">
      <c r="A2157">
        <v>2156</v>
      </c>
      <c r="B2157" t="s">
        <v>1945</v>
      </c>
      <c r="C2157">
        <v>1</v>
      </c>
      <c r="D2157" t="str">
        <f t="shared" si="68"/>
        <v>¿</v>
      </c>
      <c r="E2157" t="str">
        <f t="shared" si="67"/>
        <v>¿Según Alfredo Carballeda en "Escuchar las prácticas", con qué se relacionaba anteriormente la labor de supervisar?</v>
      </c>
    </row>
    <row r="2158" spans="1:5" x14ac:dyDescent="0.25">
      <c r="A2158">
        <v>2157</v>
      </c>
      <c r="B2158" t="s">
        <v>1323</v>
      </c>
      <c r="C2158">
        <v>0</v>
      </c>
      <c r="D2158" t="str">
        <f t="shared" si="68"/>
        <v>a</v>
      </c>
      <c r="E2158" t="str">
        <f t="shared" si="67"/>
        <v>a) Con informar a las instancias institucionales superiores sobre las dificultades en la tarea para una mejor evaluación personal.</v>
      </c>
    </row>
    <row r="2159" spans="1:5" x14ac:dyDescent="0.25">
      <c r="A2159">
        <v>2158</v>
      </c>
      <c r="B2159" t="s">
        <v>1324</v>
      </c>
      <c r="C2159">
        <v>0</v>
      </c>
      <c r="D2159" t="str">
        <f t="shared" si="68"/>
        <v>b</v>
      </c>
      <c r="E2159" t="str">
        <f t="shared" si="67"/>
        <v>b) Con tener la aprobación de los proyectos por parte del jefe inmediato, dentro de la organización.</v>
      </c>
    </row>
    <row r="2160" spans="1:5" x14ac:dyDescent="0.25">
      <c r="A2160">
        <v>2159</v>
      </c>
      <c r="B2160" t="s">
        <v>1325</v>
      </c>
      <c r="C2160">
        <v>0</v>
      </c>
      <c r="D2160" t="str">
        <f t="shared" si="68"/>
        <v>c</v>
      </c>
      <c r="E2160" t="str">
        <f t="shared" si="67"/>
        <v>c) Con transitar una instancia de aprendizaje basada en el intercambio fluído y ameno del docente.</v>
      </c>
    </row>
    <row r="2161" spans="1:5" x14ac:dyDescent="0.25">
      <c r="A2161">
        <v>2160</v>
      </c>
      <c r="B2161" t="s">
        <v>1326</v>
      </c>
      <c r="C2161">
        <v>0</v>
      </c>
      <c r="D2161" t="str">
        <f t="shared" si="68"/>
        <v>*</v>
      </c>
      <c r="E2161" t="str">
        <f t="shared" si="67"/>
        <v>d) Con verificar el desarrollo de una práctica dentro de un esquema entendido como el más correcto.</v>
      </c>
    </row>
    <row r="2162" spans="1:5" x14ac:dyDescent="0.25">
      <c r="A2162">
        <v>2161</v>
      </c>
      <c r="B2162" t="s">
        <v>1946</v>
      </c>
      <c r="C2162">
        <v>1</v>
      </c>
      <c r="D2162" t="str">
        <f t="shared" si="68"/>
        <v>E</v>
      </c>
      <c r="E2162" t="str">
        <f t="shared" si="67"/>
        <v>En "Escuchar las prácticas" ¿Qué implican para Alfredo Carballedo, las miradas probabilística y determinista en el campo de la intervención?</v>
      </c>
    </row>
    <row r="2163" spans="1:5" x14ac:dyDescent="0.25">
      <c r="A2163">
        <v>2162</v>
      </c>
      <c r="B2163" t="s">
        <v>1327</v>
      </c>
      <c r="C2163">
        <v>0</v>
      </c>
      <c r="D2163" t="str">
        <f t="shared" si="68"/>
        <v>a</v>
      </c>
      <c r="E2163" t="str">
        <f t="shared" si="67"/>
        <v>a) Aprendizaje y tensión.</v>
      </c>
    </row>
    <row r="2164" spans="1:5" x14ac:dyDescent="0.25">
      <c r="A2164">
        <v>2163</v>
      </c>
      <c r="B2164" t="s">
        <v>1328</v>
      </c>
      <c r="C2164">
        <v>0</v>
      </c>
      <c r="D2164" t="str">
        <f t="shared" si="68"/>
        <v>*</v>
      </c>
      <c r="E2164" t="str">
        <f t="shared" si="67"/>
        <v>b) Diálogo y conflicto.</v>
      </c>
    </row>
    <row r="2165" spans="1:5" x14ac:dyDescent="0.25">
      <c r="A2165">
        <v>2164</v>
      </c>
      <c r="B2165" t="s">
        <v>1329</v>
      </c>
      <c r="C2165">
        <v>0</v>
      </c>
      <c r="D2165" t="str">
        <f t="shared" si="68"/>
        <v>c</v>
      </c>
      <c r="E2165" t="str">
        <f t="shared" si="67"/>
        <v>c) Fragmentación y padecimiento.</v>
      </c>
    </row>
    <row r="2166" spans="1:5" x14ac:dyDescent="0.25">
      <c r="A2166">
        <v>2165</v>
      </c>
      <c r="B2166" t="s">
        <v>1330</v>
      </c>
      <c r="C2166">
        <v>0</v>
      </c>
      <c r="D2166" t="str">
        <f t="shared" si="68"/>
        <v>d</v>
      </c>
      <c r="E2166" t="str">
        <f t="shared" si="67"/>
        <v>d) Organización y confusión.</v>
      </c>
    </row>
    <row r="2167" spans="1:5" x14ac:dyDescent="0.25">
      <c r="A2167">
        <v>2166</v>
      </c>
      <c r="B2167" t="s">
        <v>1947</v>
      </c>
      <c r="C2167">
        <v>1</v>
      </c>
      <c r="D2167" t="str">
        <f t="shared" si="68"/>
        <v>¿</v>
      </c>
      <c r="E2167" t="str">
        <f t="shared" si="67"/>
        <v>¿Qué concepto está definiendo Silvina Cavallieri al concluir que :" el término alude a manifestaciones de desigualdades y antagonismos económicos, culturales, políticos, ideológicos, aprehendidos desde la perspectiva de la totalidad?</v>
      </c>
    </row>
    <row r="2168" spans="1:5" x14ac:dyDescent="0.25">
      <c r="A2168">
        <v>2167</v>
      </c>
      <c r="B2168" t="s">
        <v>1331</v>
      </c>
      <c r="C2168">
        <v>0</v>
      </c>
      <c r="D2168" t="str">
        <f t="shared" si="68"/>
        <v>*</v>
      </c>
      <c r="E2168" t="str">
        <f t="shared" si="67"/>
        <v>a) Cuestión social.</v>
      </c>
    </row>
    <row r="2169" spans="1:5" x14ac:dyDescent="0.25">
      <c r="A2169">
        <v>2168</v>
      </c>
      <c r="B2169" t="s">
        <v>1332</v>
      </c>
      <c r="C2169">
        <v>0</v>
      </c>
      <c r="D2169" t="str">
        <f t="shared" si="68"/>
        <v>b</v>
      </c>
      <c r="E2169" t="str">
        <f t="shared" si="67"/>
        <v>b) Relaciones sociales de producción.</v>
      </c>
    </row>
    <row r="2170" spans="1:5" x14ac:dyDescent="0.25">
      <c r="A2170">
        <v>2169</v>
      </c>
      <c r="B2170" t="s">
        <v>1333</v>
      </c>
      <c r="C2170">
        <v>0</v>
      </c>
      <c r="D2170" t="str">
        <f t="shared" si="68"/>
        <v>c</v>
      </c>
      <c r="E2170" t="str">
        <f t="shared" si="67"/>
        <v>c) Problemas sociales.</v>
      </c>
    </row>
    <row r="2171" spans="1:5" x14ac:dyDescent="0.25">
      <c r="A2171">
        <v>2170</v>
      </c>
      <c r="B2171" t="s">
        <v>1334</v>
      </c>
      <c r="C2171">
        <v>0</v>
      </c>
      <c r="D2171" t="str">
        <f t="shared" si="68"/>
        <v>d</v>
      </c>
      <c r="E2171" t="str">
        <f t="shared" si="67"/>
        <v>d) Teoría social.</v>
      </c>
    </row>
    <row r="2172" spans="1:5" x14ac:dyDescent="0.25">
      <c r="A2172">
        <v>2171</v>
      </c>
      <c r="B2172" s="1" t="s">
        <v>1948</v>
      </c>
      <c r="C2172">
        <v>1</v>
      </c>
      <c r="D2172" t="str">
        <f t="shared" si="68"/>
        <v>S</v>
      </c>
      <c r="E2172" t="str">
        <f t="shared" si="67"/>
        <v>Según Silvina Cavallieri, Reinaldo Pontes entiende que: el proyecto profesional y el instrumental teórico técnico de intervención son dos de los  cuatro aspectos contenidos por la matriz que expresa el estatuto de profesionalidad. ¿Cuáles son los otros dos aspectos?</v>
      </c>
    </row>
    <row r="2173" spans="1:5" x14ac:dyDescent="0.25">
      <c r="A2173">
        <v>2172</v>
      </c>
      <c r="B2173" t="s">
        <v>1335</v>
      </c>
      <c r="C2173">
        <v>0</v>
      </c>
      <c r="D2173" t="str">
        <f t="shared" si="68"/>
        <v>a</v>
      </c>
      <c r="E2173" t="str">
        <f t="shared" si="67"/>
        <v>a) El conocimiento científico y los valores sociales.</v>
      </c>
    </row>
    <row r="2174" spans="1:5" x14ac:dyDescent="0.25">
      <c r="A2174">
        <v>2173</v>
      </c>
      <c r="B2174" t="s">
        <v>1336</v>
      </c>
      <c r="C2174">
        <v>0</v>
      </c>
      <c r="D2174" t="str">
        <f t="shared" si="68"/>
        <v>b</v>
      </c>
      <c r="E2174" t="str">
        <f t="shared" si="67"/>
        <v>b) El código de ética y los derechos humanos.</v>
      </c>
    </row>
    <row r="2175" spans="1:5" x14ac:dyDescent="0.25">
      <c r="A2175">
        <v>2174</v>
      </c>
      <c r="B2175" t="s">
        <v>1337</v>
      </c>
      <c r="C2175">
        <v>0</v>
      </c>
      <c r="D2175" t="str">
        <f t="shared" si="68"/>
        <v>c</v>
      </c>
      <c r="E2175" t="str">
        <f t="shared" si="67"/>
        <v>c) La construcción de ciudadanía y la cuestión social.</v>
      </c>
    </row>
    <row r="2176" spans="1:5" x14ac:dyDescent="0.25">
      <c r="A2176">
        <v>2175</v>
      </c>
      <c r="B2176" t="s">
        <v>1338</v>
      </c>
      <c r="C2176">
        <v>0</v>
      </c>
      <c r="D2176" t="str">
        <f t="shared" si="68"/>
        <v>*</v>
      </c>
      <c r="E2176" t="str">
        <f t="shared" si="67"/>
        <v>d) La teoría social y el proyecto de sociedad.</v>
      </c>
    </row>
    <row r="2177" spans="1:5" x14ac:dyDescent="0.25">
      <c r="A2177">
        <v>2176</v>
      </c>
      <c r="B2177" s="1" t="s">
        <v>1949</v>
      </c>
      <c r="C2177">
        <v>1</v>
      </c>
      <c r="D2177" t="str">
        <f t="shared" si="68"/>
        <v>U</v>
      </c>
      <c r="E2177" t="str">
        <f t="shared" si="67"/>
        <v>Una trabajadora social del Centro de Salud de Villa Fátima, coordina un grupo de promotores de salud que trabajan en la prevención de adicciones desde hace cuatro meses. En función de ampliar el grupo y la temática, les propone incorporar a otros promotores de salud del barrio vecino. Algunos de los miembros aceptan la propuesta, pero otros se muestran inquietos, desconfiados, cuestionando cada intervención del coordinador. ¿Según Zarzar Charur, qué es lo que manifiesta el grupo ante la nueva situación planteada?</v>
      </c>
    </row>
    <row r="2178" spans="1:5" x14ac:dyDescent="0.25">
      <c r="A2178">
        <v>2177</v>
      </c>
      <c r="B2178" t="s">
        <v>1339</v>
      </c>
      <c r="C2178">
        <v>0</v>
      </c>
      <c r="D2178" t="str">
        <f t="shared" si="68"/>
        <v>a</v>
      </c>
      <c r="E2178" t="str">
        <f t="shared" si="67"/>
        <v>a) Actitud reactiva.</v>
      </c>
    </row>
    <row r="2179" spans="1:5" x14ac:dyDescent="0.25">
      <c r="A2179">
        <v>2178</v>
      </c>
      <c r="B2179" t="s">
        <v>1340</v>
      </c>
      <c r="C2179">
        <v>0</v>
      </c>
      <c r="D2179" t="str">
        <f t="shared" si="68"/>
        <v>b</v>
      </c>
      <c r="E2179" t="str">
        <f t="shared" ref="E2179:E2242" si="69">+IF(D2179="*",MID(B2179,3,500),B2179)</f>
        <v>b) Conflictividad latente.</v>
      </c>
    </row>
    <row r="2180" spans="1:5" x14ac:dyDescent="0.25">
      <c r="A2180">
        <v>2179</v>
      </c>
      <c r="B2180" t="s">
        <v>1341</v>
      </c>
      <c r="C2180">
        <v>0</v>
      </c>
      <c r="D2180" t="str">
        <f t="shared" si="68"/>
        <v>c</v>
      </c>
      <c r="E2180" t="str">
        <f t="shared" si="69"/>
        <v>c) Miedos imaginarios.</v>
      </c>
    </row>
    <row r="2181" spans="1:5" x14ac:dyDescent="0.25">
      <c r="A2181">
        <v>2180</v>
      </c>
      <c r="B2181" t="s">
        <v>1342</v>
      </c>
      <c r="C2181">
        <v>0</v>
      </c>
      <c r="D2181" t="str">
        <f t="shared" si="68"/>
        <v>*</v>
      </c>
      <c r="E2181" t="str">
        <f t="shared" si="69"/>
        <v>d) Resistencia al cambio.</v>
      </c>
    </row>
    <row r="2182" spans="1:5" x14ac:dyDescent="0.25">
      <c r="A2182">
        <v>2181</v>
      </c>
      <c r="B2182" t="s">
        <v>1950</v>
      </c>
      <c r="C2182">
        <v>1</v>
      </c>
      <c r="D2182" t="str">
        <f t="shared" si="68"/>
        <v>D</v>
      </c>
      <c r="E2182" t="str">
        <f t="shared" si="69"/>
        <v>Del Cueto y Fernandez citan a Freud para quien " .... es una creencia engendrada por el impulso a la satisfacción de un deseo prescindiendo de su relación con la realidad" ¿Qué está definiendo el autor?</v>
      </c>
    </row>
    <row r="2183" spans="1:5" x14ac:dyDescent="0.25">
      <c r="A2183">
        <v>2182</v>
      </c>
      <c r="B2183" t="s">
        <v>1343</v>
      </c>
      <c r="C2183">
        <v>0</v>
      </c>
      <c r="D2183" t="str">
        <f t="shared" si="68"/>
        <v>a</v>
      </c>
      <c r="E2183" t="str">
        <f t="shared" si="69"/>
        <v>a) Un mito.</v>
      </c>
    </row>
    <row r="2184" spans="1:5" x14ac:dyDescent="0.25">
      <c r="A2184">
        <v>2183</v>
      </c>
      <c r="B2184" t="s">
        <v>1344</v>
      </c>
      <c r="C2184">
        <v>0</v>
      </c>
      <c r="D2184" t="str">
        <f t="shared" si="68"/>
        <v>b</v>
      </c>
      <c r="E2184" t="str">
        <f t="shared" si="69"/>
        <v>b) Una fantasía.</v>
      </c>
    </row>
    <row r="2185" spans="1:5" x14ac:dyDescent="0.25">
      <c r="A2185">
        <v>2184</v>
      </c>
      <c r="B2185" t="s">
        <v>1345</v>
      </c>
      <c r="C2185">
        <v>0</v>
      </c>
      <c r="D2185" t="str">
        <f t="shared" si="68"/>
        <v>*</v>
      </c>
      <c r="E2185" t="str">
        <f t="shared" si="69"/>
        <v>c) Una ilusión.</v>
      </c>
    </row>
    <row r="2186" spans="1:5" x14ac:dyDescent="0.25">
      <c r="A2186">
        <v>2185</v>
      </c>
      <c r="B2186" t="s">
        <v>1346</v>
      </c>
      <c r="C2186">
        <v>0</v>
      </c>
      <c r="D2186" t="str">
        <f t="shared" si="68"/>
        <v>d</v>
      </c>
      <c r="E2186" t="str">
        <f t="shared" si="69"/>
        <v>d) Una transferencia.</v>
      </c>
    </row>
    <row r="2187" spans="1:5" x14ac:dyDescent="0.25">
      <c r="A2187">
        <v>2186</v>
      </c>
      <c r="B2187" t="s">
        <v>1951</v>
      </c>
      <c r="C2187">
        <v>1</v>
      </c>
      <c r="D2187" t="str">
        <f t="shared" si="68"/>
        <v>¿</v>
      </c>
      <c r="E2187" t="str">
        <f t="shared" si="69"/>
        <v>¿A qué concepto hace referencia Guber cuando habla del proceso gradual por el cual el investigador va incorporando información en sucesivas etapas de su trabajo de campo?</v>
      </c>
    </row>
    <row r="2188" spans="1:5" x14ac:dyDescent="0.25">
      <c r="A2188">
        <v>2187</v>
      </c>
      <c r="B2188" t="s">
        <v>1347</v>
      </c>
      <c r="C2188">
        <v>0</v>
      </c>
      <c r="D2188" t="str">
        <f t="shared" si="68"/>
        <v>a</v>
      </c>
      <c r="E2188" t="str">
        <f t="shared" si="69"/>
        <v>a) Aproximación diferida.</v>
      </c>
    </row>
    <row r="2189" spans="1:5" x14ac:dyDescent="0.25">
      <c r="A2189">
        <v>2188</v>
      </c>
      <c r="B2189" t="s">
        <v>1348</v>
      </c>
      <c r="C2189">
        <v>0</v>
      </c>
      <c r="D2189" t="str">
        <f t="shared" si="68"/>
        <v>*</v>
      </c>
      <c r="E2189" t="str">
        <f t="shared" si="69"/>
        <v>b) Dinámica general.</v>
      </c>
    </row>
    <row r="2190" spans="1:5" x14ac:dyDescent="0.25">
      <c r="A2190">
        <v>2189</v>
      </c>
      <c r="B2190" t="s">
        <v>1349</v>
      </c>
      <c r="C2190">
        <v>0</v>
      </c>
      <c r="D2190" t="str">
        <f t="shared" si="68"/>
        <v>c</v>
      </c>
      <c r="E2190" t="str">
        <f t="shared" si="69"/>
        <v>c) Interpretación significante.</v>
      </c>
    </row>
    <row r="2191" spans="1:5" x14ac:dyDescent="0.25">
      <c r="A2191">
        <v>2190</v>
      </c>
      <c r="B2191" t="s">
        <v>1350</v>
      </c>
      <c r="C2191">
        <v>0</v>
      </c>
      <c r="D2191" t="str">
        <f t="shared" si="68"/>
        <v>d</v>
      </c>
      <c r="E2191" t="str">
        <f t="shared" si="69"/>
        <v>d) Selección temática.</v>
      </c>
    </row>
    <row r="2192" spans="1:5" x14ac:dyDescent="0.25">
      <c r="A2192">
        <v>2191</v>
      </c>
      <c r="B2192" t="s">
        <v>1952</v>
      </c>
      <c r="C2192">
        <v>1</v>
      </c>
      <c r="D2192" t="str">
        <f t="shared" si="68"/>
        <v>P</v>
      </c>
      <c r="E2192" t="str">
        <f t="shared" si="69"/>
        <v>Para Mastrángelo de De Pamphilis el Trabajo Social es vulnerable al predominio de otras disciplinas, tanto respecto del marco conceptual como de  los aspectos operativos de la propia acción. Según la autora ¿Cuál es la causa de esta vulnerabilidad?</v>
      </c>
    </row>
    <row r="2193" spans="1:5" x14ac:dyDescent="0.25">
      <c r="A2193">
        <v>2192</v>
      </c>
      <c r="B2193" t="s">
        <v>1351</v>
      </c>
      <c r="C2193">
        <v>0</v>
      </c>
      <c r="D2193" t="str">
        <f t="shared" si="68"/>
        <v>a</v>
      </c>
      <c r="E2193" t="str">
        <f t="shared" si="69"/>
        <v>a) Dificultades en la redefinición del objeto de la profesión.</v>
      </c>
    </row>
    <row r="2194" spans="1:5" x14ac:dyDescent="0.25">
      <c r="A2194">
        <v>2193</v>
      </c>
      <c r="B2194" t="s">
        <v>1352</v>
      </c>
      <c r="C2194">
        <v>0</v>
      </c>
      <c r="D2194" t="str">
        <f t="shared" si="68"/>
        <v>*</v>
      </c>
      <c r="E2194" t="str">
        <f t="shared" si="69"/>
        <v>b) No contar con un cuerpo de saberes específicos.</v>
      </c>
    </row>
    <row r="2195" spans="1:5" x14ac:dyDescent="0.25">
      <c r="A2195">
        <v>2194</v>
      </c>
      <c r="B2195" t="s">
        <v>1353</v>
      </c>
      <c r="C2195">
        <v>0</v>
      </c>
      <c r="D2195" t="str">
        <f t="shared" si="68"/>
        <v>c</v>
      </c>
      <c r="E2195" t="str">
        <f t="shared" si="69"/>
        <v>c) No legitimar la opción ideológica de la práctica.</v>
      </c>
    </row>
    <row r="2196" spans="1:5" x14ac:dyDescent="0.25">
      <c r="A2196">
        <v>2195</v>
      </c>
      <c r="B2196" t="s">
        <v>1354</v>
      </c>
      <c r="C2196">
        <v>0</v>
      </c>
      <c r="D2196" t="str">
        <f t="shared" si="68"/>
        <v>d</v>
      </c>
      <c r="E2196" t="str">
        <f t="shared" si="69"/>
        <v>d) Por priorizar el desarrollo técnico- instrumental.</v>
      </c>
    </row>
    <row r="2197" spans="1:5" x14ac:dyDescent="0.25">
      <c r="A2197">
        <v>2196</v>
      </c>
      <c r="B2197" t="s">
        <v>1953</v>
      </c>
      <c r="C2197">
        <v>1</v>
      </c>
      <c r="D2197" t="str">
        <f t="shared" si="68"/>
        <v>S</v>
      </c>
      <c r="E2197" t="str">
        <f t="shared" si="69"/>
        <v>Según Mastrángelo de De Pamphilis ¿Cuáles son las dos corrientes epistemológicas en pugna que históricamente se han disputado la construcción del objeto de estudio?</v>
      </c>
    </row>
    <row r="2198" spans="1:5" x14ac:dyDescent="0.25">
      <c r="A2198">
        <v>2197</v>
      </c>
      <c r="B2198" t="s">
        <v>1355</v>
      </c>
      <c r="C2198">
        <v>0</v>
      </c>
      <c r="D2198" t="str">
        <f t="shared" si="68"/>
        <v>a</v>
      </c>
      <c r="E2198" t="str">
        <f t="shared" si="69"/>
        <v>a) La científica y constructivista.</v>
      </c>
    </row>
    <row r="2199" spans="1:5" x14ac:dyDescent="0.25">
      <c r="A2199">
        <v>2198</v>
      </c>
      <c r="B2199" t="s">
        <v>1356</v>
      </c>
      <c r="C2199">
        <v>0</v>
      </c>
      <c r="D2199" t="str">
        <f t="shared" si="68"/>
        <v>b</v>
      </c>
      <c r="E2199" t="str">
        <f t="shared" si="69"/>
        <v>b) La estructuralista y positivista.</v>
      </c>
    </row>
    <row r="2200" spans="1:5" x14ac:dyDescent="0.25">
      <c r="A2200">
        <v>2199</v>
      </c>
      <c r="B2200" t="s">
        <v>1357</v>
      </c>
      <c r="C2200">
        <v>0</v>
      </c>
      <c r="D2200" t="str">
        <f t="shared" si="68"/>
        <v>c</v>
      </c>
      <c r="E2200" t="str">
        <f t="shared" si="69"/>
        <v>c) La hermenéutica y apriorística.</v>
      </c>
    </row>
    <row r="2201" spans="1:5" x14ac:dyDescent="0.25">
      <c r="A2201">
        <v>2200</v>
      </c>
      <c r="B2201" t="s">
        <v>1358</v>
      </c>
      <c r="C2201">
        <v>0</v>
      </c>
      <c r="D2201" t="str">
        <f t="shared" si="68"/>
        <v>*</v>
      </c>
      <c r="E2201" t="str">
        <f t="shared" si="69"/>
        <v>d) La racionalista y empirista.</v>
      </c>
    </row>
    <row r="2202" spans="1:5" x14ac:dyDescent="0.25">
      <c r="A2202">
        <v>2201</v>
      </c>
      <c r="B2202" t="s">
        <v>1954</v>
      </c>
      <c r="C2202">
        <v>1</v>
      </c>
      <c r="D2202" t="str">
        <f t="shared" si="68"/>
        <v>P</v>
      </c>
      <c r="E2202" t="str">
        <f t="shared" si="69"/>
        <v>Para Natalio Kisnerman, las personas como sujetos de necesidades las presentamos en forma individual, grupal o vecinal. ¿En qué se constituyen esas unidades de atención?</v>
      </c>
    </row>
    <row r="2203" spans="1:5" x14ac:dyDescent="0.25">
      <c r="A2203">
        <v>2202</v>
      </c>
      <c r="B2203" t="s">
        <v>1359</v>
      </c>
      <c r="C2203">
        <v>0</v>
      </c>
      <c r="D2203" t="str">
        <f t="shared" si="68"/>
        <v>a</v>
      </c>
      <c r="E2203" t="str">
        <f t="shared" si="69"/>
        <v>a) Dimensiones de la intervención.</v>
      </c>
    </row>
    <row r="2204" spans="1:5" x14ac:dyDescent="0.25">
      <c r="A2204">
        <v>2203</v>
      </c>
      <c r="B2204" t="s">
        <v>1360</v>
      </c>
      <c r="C2204">
        <v>0</v>
      </c>
      <c r="D2204" t="str">
        <f t="shared" si="68"/>
        <v>b</v>
      </c>
      <c r="E2204" t="str">
        <f t="shared" si="69"/>
        <v>b) Divisiones analíticas.</v>
      </c>
    </row>
    <row r="2205" spans="1:5" x14ac:dyDescent="0.25">
      <c r="A2205">
        <v>2204</v>
      </c>
      <c r="B2205" t="s">
        <v>1361</v>
      </c>
      <c r="C2205">
        <v>0</v>
      </c>
      <c r="D2205" t="str">
        <f t="shared" si="68"/>
        <v>c</v>
      </c>
      <c r="E2205" t="str">
        <f t="shared" si="69"/>
        <v>c) Formas de intervención.</v>
      </c>
    </row>
    <row r="2206" spans="1:5" x14ac:dyDescent="0.25">
      <c r="A2206">
        <v>2205</v>
      </c>
      <c r="B2206" t="s">
        <v>1362</v>
      </c>
      <c r="C2206">
        <v>0</v>
      </c>
      <c r="D2206" t="str">
        <f t="shared" si="68"/>
        <v>*</v>
      </c>
      <c r="E2206" t="str">
        <f t="shared" si="69"/>
        <v>d) Niveles de abordaje.</v>
      </c>
    </row>
    <row r="2207" spans="1:5" x14ac:dyDescent="0.25">
      <c r="A2207">
        <v>2206</v>
      </c>
      <c r="B2207" t="s">
        <v>1955</v>
      </c>
      <c r="C2207">
        <v>1</v>
      </c>
      <c r="D2207" t="str">
        <f t="shared" si="68"/>
        <v>M</v>
      </c>
      <c r="E2207" t="str">
        <f t="shared" si="69"/>
        <v>María Lucía Martinelli sostiene que en la nueva fase del capitalismo (conocida como capitalismo monopolista), los monopolios fueron fortaleciéndose y con ellos las alianzas de:</v>
      </c>
    </row>
    <row r="2208" spans="1:5" x14ac:dyDescent="0.25">
      <c r="A2208">
        <v>2207</v>
      </c>
      <c r="B2208" t="s">
        <v>1363</v>
      </c>
      <c r="C2208">
        <v>0</v>
      </c>
      <c r="D2208" t="str">
        <f t="shared" si="68"/>
        <v>*</v>
      </c>
      <c r="E2208" t="str">
        <f t="shared" si="69"/>
        <v>a) La clase dominante entre sí y con el Estado.</v>
      </c>
    </row>
    <row r="2209" spans="1:5" x14ac:dyDescent="0.25">
      <c r="A2209">
        <v>2208</v>
      </c>
      <c r="B2209" t="s">
        <v>1364</v>
      </c>
      <c r="C2209">
        <v>0</v>
      </c>
      <c r="D2209" t="str">
        <f t="shared" si="68"/>
        <v>b</v>
      </c>
      <c r="E2209" t="str">
        <f t="shared" si="69"/>
        <v>b) Los nuevos sindicatos y el Estado.</v>
      </c>
    </row>
    <row r="2210" spans="1:5" x14ac:dyDescent="0.25">
      <c r="A2210">
        <v>2209</v>
      </c>
      <c r="B2210" t="s">
        <v>1365</v>
      </c>
      <c r="C2210">
        <v>0</v>
      </c>
      <c r="D2210" t="str">
        <f t="shared" si="68"/>
        <v>c</v>
      </c>
      <c r="E2210" t="str">
        <f t="shared" si="69"/>
        <v>c) Las sociedades de beneficencia y el proletariado.</v>
      </c>
    </row>
    <row r="2211" spans="1:5" x14ac:dyDescent="0.25">
      <c r="A2211">
        <v>2210</v>
      </c>
      <c r="B2211" t="s">
        <v>1366</v>
      </c>
      <c r="C2211">
        <v>0</v>
      </c>
      <c r="D2211" t="str">
        <f t="shared" si="68"/>
        <v>d</v>
      </c>
      <c r="E2211" t="str">
        <f t="shared" si="69"/>
        <v>d) Los trabajadores y los sindicatos.</v>
      </c>
    </row>
    <row r="2212" spans="1:5" x14ac:dyDescent="0.25">
      <c r="A2212">
        <v>2211</v>
      </c>
      <c r="B2212" s="1" t="s">
        <v>1956</v>
      </c>
      <c r="C2212">
        <v>1</v>
      </c>
      <c r="D2212" t="str">
        <f t="shared" ref="D2212:D2275" si="70">+MID(B2212,1,1)</f>
        <v>P</v>
      </c>
      <c r="E2212" t="str">
        <f t="shared" si="69"/>
        <v>Para María Lucía Martinelli, bajo la influencia de la "Sociedad de Organización de la Caridad" la visita domiciliaria, era la práctica mas usual, colocándose como un instrumento que permitía alcanzar un doble objetivo: por un lado conocer in loco las condiciones de habitación y de salud de la clase trabajadora, ¿Cúal era el otro?</v>
      </c>
    </row>
    <row r="2213" spans="1:5" x14ac:dyDescent="0.25">
      <c r="A2213">
        <v>2212</v>
      </c>
      <c r="B2213" t="s">
        <v>1367</v>
      </c>
      <c r="C2213">
        <v>0</v>
      </c>
      <c r="D2213" t="str">
        <f t="shared" si="70"/>
        <v>a</v>
      </c>
      <c r="E2213" t="str">
        <f t="shared" si="69"/>
        <v>a) Legitimar la funcionalidad de la práctica asistencial.</v>
      </c>
    </row>
    <row r="2214" spans="1:5" x14ac:dyDescent="0.25">
      <c r="A2214">
        <v>2213</v>
      </c>
      <c r="B2214" t="s">
        <v>1368</v>
      </c>
      <c r="C2214">
        <v>0</v>
      </c>
      <c r="D2214" t="str">
        <f t="shared" si="70"/>
        <v>b</v>
      </c>
      <c r="E2214" t="str">
        <f t="shared" si="69"/>
        <v>b) Mejorar la calidad de vida de la clase trabajadora.</v>
      </c>
    </row>
    <row r="2215" spans="1:5" x14ac:dyDescent="0.25">
      <c r="A2215">
        <v>2214</v>
      </c>
      <c r="B2215" t="s">
        <v>1369</v>
      </c>
      <c r="C2215">
        <v>0</v>
      </c>
      <c r="D2215" t="str">
        <f t="shared" si="70"/>
        <v>c</v>
      </c>
      <c r="E2215" t="str">
        <f t="shared" si="69"/>
        <v>c) Profesionalizar las acciones de la beneficencia.</v>
      </c>
    </row>
    <row r="2216" spans="1:5" x14ac:dyDescent="0.25">
      <c r="A2216">
        <v>2215</v>
      </c>
      <c r="B2216" t="s">
        <v>1370</v>
      </c>
      <c r="C2216">
        <v>0</v>
      </c>
      <c r="D2216" t="str">
        <f t="shared" si="70"/>
        <v>*</v>
      </c>
      <c r="E2216" t="str">
        <f t="shared" si="69"/>
        <v>d) Socializar el modo capitalista de pensar.</v>
      </c>
    </row>
    <row r="2217" spans="1:5" x14ac:dyDescent="0.25">
      <c r="A2217">
        <v>2216</v>
      </c>
      <c r="B2217" t="s">
        <v>1957</v>
      </c>
      <c r="C2217">
        <v>1</v>
      </c>
      <c r="D2217" t="str">
        <f t="shared" si="70"/>
        <v>¿</v>
      </c>
      <c r="E2217" t="str">
        <f t="shared" si="69"/>
        <v>¿A qué hace referencia Guber, en su capítulo sobre Entrevista Antropológica, con la expresión "dinámica particular"?</v>
      </c>
    </row>
    <row r="2218" spans="1:5" x14ac:dyDescent="0.25">
      <c r="A2218">
        <v>2217</v>
      </c>
      <c r="B2218" t="s">
        <v>1371</v>
      </c>
      <c r="C2218">
        <v>0</v>
      </c>
      <c r="D2218" t="str">
        <f t="shared" si="70"/>
        <v>a</v>
      </c>
      <c r="E2218" t="str">
        <f t="shared" si="69"/>
        <v>a) Al conjunto de relaciones que engloban tanto al investigador como al informante.</v>
      </c>
    </row>
    <row r="2219" spans="1:5" x14ac:dyDescent="0.25">
      <c r="A2219">
        <v>2218</v>
      </c>
      <c r="B2219" t="s">
        <v>1372</v>
      </c>
      <c r="C2219">
        <v>0</v>
      </c>
      <c r="D2219" t="str">
        <f t="shared" si="70"/>
        <v>*</v>
      </c>
      <c r="E2219" t="str">
        <f t="shared" si="69"/>
        <v>b) A la evolución de la relación entre el investigador y el informante en una unidad de entrevista.</v>
      </c>
    </row>
    <row r="2220" spans="1:5" x14ac:dyDescent="0.25">
      <c r="A2220">
        <v>2219</v>
      </c>
      <c r="B2220" t="s">
        <v>1373</v>
      </c>
      <c r="C2220">
        <v>0</v>
      </c>
      <c r="D2220" t="str">
        <f t="shared" si="70"/>
        <v>c</v>
      </c>
      <c r="E2220" t="str">
        <f t="shared" si="69"/>
        <v>c) Al proceso de articulación de las dimensiones espacio temporales en el contexto de la entrevista.</v>
      </c>
    </row>
    <row r="2221" spans="1:5" x14ac:dyDescent="0.25">
      <c r="A2221">
        <v>2220</v>
      </c>
      <c r="B2221" t="s">
        <v>1374</v>
      </c>
      <c r="C2221">
        <v>0</v>
      </c>
      <c r="D2221" t="str">
        <f t="shared" si="70"/>
        <v>d</v>
      </c>
      <c r="E2221" t="str">
        <f t="shared" si="69"/>
        <v>d) Al vínculo de empatía que se establece con los informantes en el trabajo de campo.</v>
      </c>
    </row>
    <row r="2222" spans="1:5" x14ac:dyDescent="0.25">
      <c r="A2222">
        <v>2221</v>
      </c>
      <c r="B2222" t="s">
        <v>1958</v>
      </c>
      <c r="C2222">
        <v>1</v>
      </c>
      <c r="D2222" t="str">
        <f t="shared" si="70"/>
        <v>A</v>
      </c>
      <c r="E2222" t="str">
        <f t="shared" si="69"/>
        <v>Andrea Oliva refiere que las damas inspectoras realizaban visitas domiciliarias a modo de inspección de las condiciones de vida, observando la higiene y el orden del hogar. ¿Cúal era el propósito según la autora, de obtener esta información?</v>
      </c>
    </row>
    <row r="2223" spans="1:5" x14ac:dyDescent="0.25">
      <c r="A2223">
        <v>2222</v>
      </c>
      <c r="B2223" t="s">
        <v>1375</v>
      </c>
      <c r="C2223">
        <v>0</v>
      </c>
      <c r="D2223" t="str">
        <f t="shared" si="70"/>
        <v>a</v>
      </c>
      <c r="E2223" t="str">
        <f t="shared" si="69"/>
        <v>a) Asistir a los hogares con recursos según las necesidades materiales observadas.</v>
      </c>
    </row>
    <row r="2224" spans="1:5" x14ac:dyDescent="0.25">
      <c r="A2224">
        <v>2223</v>
      </c>
      <c r="B2224" t="s">
        <v>1376</v>
      </c>
      <c r="C2224">
        <v>0</v>
      </c>
      <c r="D2224" t="str">
        <f t="shared" si="70"/>
        <v>*</v>
      </c>
      <c r="E2224" t="str">
        <f t="shared" si="69"/>
        <v>b) Controlar el trato hacia el niño y las pautas de conducta de las familias.</v>
      </c>
    </row>
    <row r="2225" spans="1:5" x14ac:dyDescent="0.25">
      <c r="A2225">
        <v>2224</v>
      </c>
      <c r="B2225" t="s">
        <v>1377</v>
      </c>
      <c r="C2225">
        <v>0</v>
      </c>
      <c r="D2225" t="str">
        <f t="shared" si="70"/>
        <v>c</v>
      </c>
      <c r="E2225" t="str">
        <f t="shared" si="69"/>
        <v>c) Denunciar ante las autoridades públicas, malos tratos comprobables.</v>
      </c>
    </row>
    <row r="2226" spans="1:5" x14ac:dyDescent="0.25">
      <c r="A2226">
        <v>2225</v>
      </c>
      <c r="B2226" t="s">
        <v>1378</v>
      </c>
      <c r="C2226">
        <v>0</v>
      </c>
      <c r="D2226" t="str">
        <f t="shared" si="70"/>
        <v>d</v>
      </c>
      <c r="E2226" t="str">
        <f t="shared" si="69"/>
        <v>d) Organizar a los miembros de las familias disfuncionales en sus tareas.</v>
      </c>
    </row>
    <row r="2227" spans="1:5" x14ac:dyDescent="0.25">
      <c r="A2227">
        <v>2226</v>
      </c>
      <c r="B2227" s="1" t="s">
        <v>1959</v>
      </c>
      <c r="C2227">
        <v>1</v>
      </c>
      <c r="D2227" t="str">
        <f t="shared" si="70"/>
        <v>S</v>
      </c>
      <c r="E2227" t="str">
        <f t="shared" si="69"/>
        <v>Según Andrea Oliva, en la medida que las demandas son mayores, la elaboración de recursos escritos de tipo informativo y administrativo, se constituye en una tarea frecuente en las instituciones creadas para cubrir necesidades disociadas del salario. ¿Con qué fin se realizaban?</v>
      </c>
    </row>
    <row r="2228" spans="1:5" x14ac:dyDescent="0.25">
      <c r="A2228">
        <v>2227</v>
      </c>
      <c r="B2228" t="s">
        <v>1379</v>
      </c>
      <c r="C2228">
        <v>0</v>
      </c>
      <c r="D2228" t="str">
        <f t="shared" si="70"/>
        <v>a</v>
      </c>
      <c r="E2228" t="str">
        <f t="shared" si="69"/>
        <v>a) Para conocer e intervenir sobre los nuevos problemas sociales.</v>
      </c>
    </row>
    <row r="2229" spans="1:5" x14ac:dyDescent="0.25">
      <c r="A2229">
        <v>2228</v>
      </c>
      <c r="B2229" t="s">
        <v>1380</v>
      </c>
      <c r="C2229">
        <v>0</v>
      </c>
      <c r="D2229" t="str">
        <f t="shared" si="70"/>
        <v>b</v>
      </c>
      <c r="E2229" t="str">
        <f t="shared" si="69"/>
        <v>b) Para administrar y distribuir con mayor eficacia los recursos materiales.</v>
      </c>
    </row>
    <row r="2230" spans="1:5" x14ac:dyDescent="0.25">
      <c r="A2230">
        <v>2229</v>
      </c>
      <c r="B2230" t="s">
        <v>1381</v>
      </c>
      <c r="C2230">
        <v>0</v>
      </c>
      <c r="D2230" t="str">
        <f t="shared" si="70"/>
        <v>*</v>
      </c>
      <c r="E2230" t="str">
        <f t="shared" si="69"/>
        <v>c) Para identificar y caracterizar a los usuarios.</v>
      </c>
    </row>
    <row r="2231" spans="1:5" x14ac:dyDescent="0.25">
      <c r="A2231">
        <v>2230</v>
      </c>
      <c r="B2231" t="s">
        <v>1382</v>
      </c>
      <c r="C2231">
        <v>0</v>
      </c>
      <c r="D2231" t="str">
        <f t="shared" si="70"/>
        <v>d</v>
      </c>
      <c r="E2231" t="str">
        <f t="shared" si="69"/>
        <v>d) Para organizar y trabajar sobre la comunidad.</v>
      </c>
    </row>
    <row r="2232" spans="1:5" x14ac:dyDescent="0.25">
      <c r="A2232">
        <v>2231</v>
      </c>
      <c r="B2232" s="1" t="s">
        <v>1960</v>
      </c>
      <c r="C2232">
        <v>1</v>
      </c>
      <c r="D2232" t="str">
        <f t="shared" si="70"/>
        <v>E</v>
      </c>
      <c r="E2232" t="str">
        <f t="shared" si="69"/>
        <v>En 1937 se inicia la primer publicación periódica del trabajo social en Argentina, editada por el MSA- UBA. ¿Qué orientación se puede apreciar según Andrea Oliva, en las producciones escritas de lo primeros graduados, estudiantes y docentes de la escuela del MSA-UBA?</v>
      </c>
    </row>
    <row r="2233" spans="1:5" x14ac:dyDescent="0.25">
      <c r="A2233">
        <v>2232</v>
      </c>
      <c r="B2233" t="s">
        <v>1383</v>
      </c>
      <c r="C2233">
        <v>0</v>
      </c>
      <c r="D2233" t="str">
        <f t="shared" si="70"/>
        <v>a</v>
      </c>
      <c r="E2233" t="str">
        <f t="shared" si="69"/>
        <v>a) Las ideas de cohesión social.</v>
      </c>
    </row>
    <row r="2234" spans="1:5" x14ac:dyDescent="0.25">
      <c r="A2234">
        <v>2233</v>
      </c>
      <c r="B2234" t="s">
        <v>1384</v>
      </c>
      <c r="C2234">
        <v>0</v>
      </c>
      <c r="D2234" t="str">
        <f t="shared" si="70"/>
        <v>b</v>
      </c>
      <c r="E2234" t="str">
        <f t="shared" si="69"/>
        <v>b) El positivismo conservador.</v>
      </c>
    </row>
    <row r="2235" spans="1:5" x14ac:dyDescent="0.25">
      <c r="A2235">
        <v>2234</v>
      </c>
      <c r="B2235" t="s">
        <v>1385</v>
      </c>
      <c r="C2235">
        <v>0</v>
      </c>
      <c r="D2235" t="str">
        <f t="shared" si="70"/>
        <v>*</v>
      </c>
      <c r="E2235" t="str">
        <f t="shared" si="69"/>
        <v>c) El sincretismo ideológico.</v>
      </c>
    </row>
    <row r="2236" spans="1:5" x14ac:dyDescent="0.25">
      <c r="A2236">
        <v>2235</v>
      </c>
      <c r="B2236" t="s">
        <v>1386</v>
      </c>
      <c r="C2236">
        <v>0</v>
      </c>
      <c r="D2236" t="str">
        <f t="shared" si="70"/>
        <v>d</v>
      </c>
      <c r="E2236" t="str">
        <f t="shared" si="69"/>
        <v>d) La tradición estadounidense.</v>
      </c>
    </row>
    <row r="2237" spans="1:5" x14ac:dyDescent="0.25">
      <c r="A2237">
        <v>2236</v>
      </c>
      <c r="B2237" s="1" t="s">
        <v>1961</v>
      </c>
      <c r="C2237">
        <v>1</v>
      </c>
      <c r="D2237" t="str">
        <f t="shared" si="70"/>
        <v>S</v>
      </c>
      <c r="E2237" t="str">
        <f t="shared" si="69"/>
        <v>Según Pichardo Muñiz, un punto de partida interesante para el estudio de los problemas dentro de la dinámica de la organización social en la que estén inmersos, puede ser el reconocimiento y aceptación de dos premisas: la primera la concepción unificada de la realidad, ¿Cúal es la segunda?</v>
      </c>
    </row>
    <row r="2238" spans="1:5" x14ac:dyDescent="0.25">
      <c r="A2238">
        <v>2237</v>
      </c>
      <c r="B2238" t="s">
        <v>1387</v>
      </c>
      <c r="C2238">
        <v>0</v>
      </c>
      <c r="D2238" t="str">
        <f t="shared" si="70"/>
        <v>a</v>
      </c>
      <c r="E2238" t="str">
        <f t="shared" si="69"/>
        <v>a) La comprensión dialéctica de los fenómenos estudiados.</v>
      </c>
    </row>
    <row r="2239" spans="1:5" x14ac:dyDescent="0.25">
      <c r="A2239">
        <v>2238</v>
      </c>
      <c r="B2239" t="s">
        <v>1388</v>
      </c>
      <c r="C2239">
        <v>0</v>
      </c>
      <c r="D2239" t="str">
        <f t="shared" si="70"/>
        <v>*</v>
      </c>
      <c r="E2239" t="str">
        <f t="shared" si="69"/>
        <v>b) El estudio del problema a partir de la reproducción en el pensamiento de lo concreto sin alterar su esencia.</v>
      </c>
    </row>
    <row r="2240" spans="1:5" x14ac:dyDescent="0.25">
      <c r="A2240">
        <v>2239</v>
      </c>
      <c r="B2240" t="s">
        <v>1389</v>
      </c>
      <c r="C2240">
        <v>0</v>
      </c>
      <c r="D2240" t="str">
        <f t="shared" si="70"/>
        <v>c</v>
      </c>
      <c r="E2240" t="str">
        <f t="shared" si="69"/>
        <v>c) La problematización de las condiciones históricas, sociales y políticas de la organización social en la que se desarrollan.</v>
      </c>
    </row>
    <row r="2241" spans="1:5" x14ac:dyDescent="0.25">
      <c r="A2241">
        <v>2240</v>
      </c>
      <c r="B2241" t="s">
        <v>1390</v>
      </c>
      <c r="C2241">
        <v>0</v>
      </c>
      <c r="D2241" t="str">
        <f t="shared" si="70"/>
        <v>d</v>
      </c>
      <c r="E2241" t="str">
        <f t="shared" si="69"/>
        <v>d) La aceptación de la responsabilidad colectiva de los problemas.</v>
      </c>
    </row>
    <row r="2242" spans="1:5" x14ac:dyDescent="0.25">
      <c r="A2242">
        <v>2241</v>
      </c>
      <c r="B2242" t="s">
        <v>1962</v>
      </c>
      <c r="C2242">
        <v>1</v>
      </c>
      <c r="D2242" t="str">
        <f t="shared" si="70"/>
        <v>P</v>
      </c>
      <c r="E2242" t="str">
        <f t="shared" si="69"/>
        <v>Para Pichardo Muñiz, conceptualizar, configurar el objeto de intervención y delimitar la situación, son los tres momentos ¿De qué estrategia?</v>
      </c>
    </row>
    <row r="2243" spans="1:5" x14ac:dyDescent="0.25">
      <c r="A2243">
        <v>2242</v>
      </c>
      <c r="B2243" t="s">
        <v>1391</v>
      </c>
      <c r="C2243">
        <v>0</v>
      </c>
      <c r="D2243" t="str">
        <f t="shared" si="70"/>
        <v>*</v>
      </c>
      <c r="E2243" t="str">
        <f t="shared" ref="E2243:E2306" si="71">+IF(D2243="*",MID(B2243,3,500),B2243)</f>
        <v xml:space="preserve">a) De captación metodológica en la elaboración de diagnósticos para la toma de decisiones. </v>
      </c>
    </row>
    <row r="2244" spans="1:5" x14ac:dyDescent="0.25">
      <c r="A2244">
        <v>2243</v>
      </c>
      <c r="B2244" t="s">
        <v>1392</v>
      </c>
      <c r="C2244">
        <v>0</v>
      </c>
      <c r="D2244" t="str">
        <f t="shared" si="70"/>
        <v>b</v>
      </c>
      <c r="E2244" t="str">
        <f t="shared" si="71"/>
        <v>b) De caracterización de la población y la definición de sus recursos materiales e institucionales para la evaluación de impactos.</v>
      </c>
    </row>
    <row r="2245" spans="1:5" x14ac:dyDescent="0.25">
      <c r="A2245">
        <v>2244</v>
      </c>
      <c r="B2245" t="s">
        <v>1393</v>
      </c>
      <c r="C2245">
        <v>0</v>
      </c>
      <c r="D2245" t="str">
        <f t="shared" si="70"/>
        <v>c</v>
      </c>
      <c r="E2245" t="str">
        <f t="shared" si="71"/>
        <v>c) De evaluación diagnóstica en los procesos de planificación de programas sociales.</v>
      </c>
    </row>
    <row r="2246" spans="1:5" x14ac:dyDescent="0.25">
      <c r="A2246">
        <v>2245</v>
      </c>
      <c r="B2246" t="s">
        <v>1394</v>
      </c>
      <c r="C2246">
        <v>0</v>
      </c>
      <c r="D2246" t="str">
        <f t="shared" si="70"/>
        <v>d</v>
      </c>
      <c r="E2246" t="str">
        <f t="shared" si="71"/>
        <v>d) De relevamiento de la información y de identificación de problemas para la construcción de hipótesis de intervención.</v>
      </c>
    </row>
    <row r="2247" spans="1:5" x14ac:dyDescent="0.25">
      <c r="A2247">
        <v>2246</v>
      </c>
      <c r="B2247" s="1" t="s">
        <v>1963</v>
      </c>
      <c r="C2247">
        <v>1</v>
      </c>
      <c r="D2247" t="str">
        <f t="shared" si="70"/>
        <v>E</v>
      </c>
      <c r="E2247" t="str">
        <f t="shared" si="71"/>
        <v xml:space="preserve">En la Sala de Pediatría del Hospital Santojanni, se encuentra internado Juan Manuel, un niño de 8 años que fue abusado sexualmente. La trabajadora social de la sala le informa al Jefe del Servicio que concurrirá a entrevistar al niño un abogado del equipo de la Guardia Permanente del Consejo de Derechos de Niños, niñas y adolescentes. El Jefe se muestra reticente de esta entrevista argumentando que el abogado no es un profesional del hospital. En función de la Resolución 1956, ¿Cómo orienta la Trabajadora Social al Jefe de Servicio? </v>
      </c>
    </row>
    <row r="2248" spans="1:5" x14ac:dyDescent="0.25">
      <c r="A2248">
        <v>2247</v>
      </c>
      <c r="B2248" t="s">
        <v>1395</v>
      </c>
      <c r="C2248">
        <v>0</v>
      </c>
      <c r="D2248" t="str">
        <f t="shared" si="70"/>
        <v>a</v>
      </c>
      <c r="E2248" t="str">
        <f t="shared" si="71"/>
        <v>a) El profesional puede tomar contacto con el niño, previa autorización formal de la dirección.</v>
      </c>
    </row>
    <row r="2249" spans="1:5" x14ac:dyDescent="0.25">
      <c r="A2249">
        <v>2248</v>
      </c>
      <c r="B2249" t="s">
        <v>1396</v>
      </c>
      <c r="C2249">
        <v>0</v>
      </c>
      <c r="D2249" t="str">
        <f t="shared" si="70"/>
        <v>b</v>
      </c>
      <c r="E2249" t="str">
        <f t="shared" si="71"/>
        <v>b) Los profesionales o equipos que no pertenezcan al Ministerio de Salud del GCBA, no pueden realizar entrevistas al niño internado en el hospital.</v>
      </c>
    </row>
    <row r="2250" spans="1:5" x14ac:dyDescent="0.25">
      <c r="A2250">
        <v>2249</v>
      </c>
      <c r="B2250" t="s">
        <v>1397</v>
      </c>
      <c r="C2250">
        <v>0</v>
      </c>
      <c r="D2250" t="str">
        <f t="shared" si="70"/>
        <v>*</v>
      </c>
      <c r="E2250" t="str">
        <f t="shared" si="71"/>
        <v>c) Se debe permitir el acceso inmediato de la Guardia Permanente de Abogados del Consejo de Derechos de Niños, niñas y adolescentes.</v>
      </c>
    </row>
    <row r="2251" spans="1:5" x14ac:dyDescent="0.25">
      <c r="A2251">
        <v>2250</v>
      </c>
      <c r="B2251" t="s">
        <v>1398</v>
      </c>
      <c r="C2251">
        <v>0</v>
      </c>
      <c r="D2251" t="str">
        <f t="shared" si="70"/>
        <v>d</v>
      </c>
      <c r="E2251" t="str">
        <f t="shared" si="71"/>
        <v>d) Sólo puede intervenir la Guardia Permanente de Abogados del Consejo de Derechos de Niños, niñas y adolescentes con previa autorización del representante legal del menor.</v>
      </c>
    </row>
    <row r="2252" spans="1:5" x14ac:dyDescent="0.25">
      <c r="A2252">
        <v>2251</v>
      </c>
      <c r="B2252" t="s">
        <v>1964</v>
      </c>
      <c r="C2252">
        <v>1</v>
      </c>
      <c r="D2252" t="str">
        <f t="shared" si="70"/>
        <v>¿</v>
      </c>
      <c r="E2252" t="str">
        <f t="shared" si="71"/>
        <v>¿A qué nivel en la construcción de redes se refiere Mario Róvere, cuando lo describe como "una ayuda no sistemática, ni organizada sino espontánea que empiezan a estructurar una serie de mecanismos de reciprocidad?</v>
      </c>
    </row>
    <row r="2253" spans="1:5" x14ac:dyDescent="0.25">
      <c r="A2253">
        <v>2252</v>
      </c>
      <c r="B2253" t="s">
        <v>1399</v>
      </c>
      <c r="C2253">
        <v>0</v>
      </c>
      <c r="D2253" t="str">
        <f t="shared" si="70"/>
        <v>a</v>
      </c>
      <c r="E2253" t="str">
        <f t="shared" si="71"/>
        <v>a) Acercamiento.</v>
      </c>
    </row>
    <row r="2254" spans="1:5" x14ac:dyDescent="0.25">
      <c r="A2254">
        <v>2253</v>
      </c>
      <c r="B2254" t="s">
        <v>1400</v>
      </c>
      <c r="C2254">
        <v>0</v>
      </c>
      <c r="D2254" t="str">
        <f t="shared" si="70"/>
        <v>b</v>
      </c>
      <c r="E2254" t="str">
        <f t="shared" si="71"/>
        <v>b) Asociación.</v>
      </c>
    </row>
    <row r="2255" spans="1:5" x14ac:dyDescent="0.25">
      <c r="A2255">
        <v>2254</v>
      </c>
      <c r="B2255" t="s">
        <v>1401</v>
      </c>
      <c r="C2255">
        <v>0</v>
      </c>
      <c r="D2255" t="str">
        <f t="shared" si="70"/>
        <v>*</v>
      </c>
      <c r="E2255" t="str">
        <f t="shared" si="71"/>
        <v>c) Colaboración.</v>
      </c>
    </row>
    <row r="2256" spans="1:5" x14ac:dyDescent="0.25">
      <c r="A2256">
        <v>2255</v>
      </c>
      <c r="B2256" t="s">
        <v>1402</v>
      </c>
      <c r="C2256">
        <v>0</v>
      </c>
      <c r="D2256" t="str">
        <f t="shared" si="70"/>
        <v>d</v>
      </c>
      <c r="E2256" t="str">
        <f t="shared" si="71"/>
        <v>d) Reconocimiento.</v>
      </c>
    </row>
    <row r="2257" spans="1:5" x14ac:dyDescent="0.25">
      <c r="A2257">
        <v>2256</v>
      </c>
      <c r="B2257" t="s">
        <v>1965</v>
      </c>
      <c r="C2257">
        <v>1</v>
      </c>
      <c r="D2257" t="str">
        <f t="shared" si="70"/>
        <v>¿</v>
      </c>
      <c r="E2257" t="str">
        <f t="shared" si="71"/>
        <v>¿Cómo denomina Róvere a la manifestación vinculada al interés comercial que está siempre alerta, que se ocupa de expropiar todo lo que se hace?</v>
      </c>
    </row>
    <row r="2258" spans="1:5" x14ac:dyDescent="0.25">
      <c r="A2258">
        <v>2257</v>
      </c>
      <c r="B2258" t="s">
        <v>1403</v>
      </c>
      <c r="C2258">
        <v>0</v>
      </c>
      <c r="D2258" t="str">
        <f t="shared" si="70"/>
        <v>a</v>
      </c>
      <c r="E2258" t="str">
        <f t="shared" si="71"/>
        <v>a) La ambición económica.</v>
      </c>
    </row>
    <row r="2259" spans="1:5" x14ac:dyDescent="0.25">
      <c r="A2259">
        <v>2258</v>
      </c>
      <c r="B2259" t="s">
        <v>1404</v>
      </c>
      <c r="C2259">
        <v>0</v>
      </c>
      <c r="D2259" t="str">
        <f t="shared" si="70"/>
        <v>*</v>
      </c>
      <c r="E2259" t="str">
        <f t="shared" si="71"/>
        <v>b) La cultura caníbal.</v>
      </c>
    </row>
    <row r="2260" spans="1:5" x14ac:dyDescent="0.25">
      <c r="A2260">
        <v>2259</v>
      </c>
      <c r="B2260" t="s">
        <v>1405</v>
      </c>
      <c r="C2260">
        <v>0</v>
      </c>
      <c r="D2260" t="str">
        <f t="shared" si="70"/>
        <v>c</v>
      </c>
      <c r="E2260" t="str">
        <f t="shared" si="71"/>
        <v>c) La enajenación social.</v>
      </c>
    </row>
    <row r="2261" spans="1:5" x14ac:dyDescent="0.25">
      <c r="A2261">
        <v>2260</v>
      </c>
      <c r="B2261" t="s">
        <v>1406</v>
      </c>
      <c r="C2261">
        <v>0</v>
      </c>
      <c r="D2261" t="str">
        <f t="shared" si="70"/>
        <v>d</v>
      </c>
      <c r="E2261" t="str">
        <f t="shared" si="71"/>
        <v>d) La monopolización capitalista.</v>
      </c>
    </row>
    <row r="2262" spans="1:5" x14ac:dyDescent="0.25">
      <c r="A2262">
        <v>2261</v>
      </c>
      <c r="B2262" t="s">
        <v>1966</v>
      </c>
      <c r="C2262">
        <v>1</v>
      </c>
      <c r="D2262" t="str">
        <f t="shared" si="70"/>
        <v>¿</v>
      </c>
      <c r="E2262" t="str">
        <f t="shared" si="71"/>
        <v xml:space="preserve">¿Qué objetivo le adjudica Margarita Rozas al segundo nivel de investigación en Trabajo Social? </v>
      </c>
    </row>
    <row r="2263" spans="1:5" x14ac:dyDescent="0.25">
      <c r="A2263">
        <v>2262</v>
      </c>
      <c r="B2263" t="s">
        <v>1407</v>
      </c>
      <c r="C2263">
        <v>0</v>
      </c>
      <c r="D2263" t="str">
        <f t="shared" si="70"/>
        <v>a</v>
      </c>
      <c r="E2263" t="str">
        <f t="shared" si="71"/>
        <v>a) Avanzar en el conocimiento de la naturaleza de la intervención social y la disciplina en general.</v>
      </c>
    </row>
    <row r="2264" spans="1:5" x14ac:dyDescent="0.25">
      <c r="A2264">
        <v>2263</v>
      </c>
      <c r="B2264" t="s">
        <v>1408</v>
      </c>
      <c r="C2264">
        <v>0</v>
      </c>
      <c r="D2264" t="str">
        <f t="shared" si="70"/>
        <v>b</v>
      </c>
      <c r="E2264" t="str">
        <f t="shared" si="71"/>
        <v>b) Desarrollar una actitud profesional investigativa vinculada al proceso metodológico.</v>
      </c>
    </row>
    <row r="2265" spans="1:5" x14ac:dyDescent="0.25">
      <c r="A2265">
        <v>2264</v>
      </c>
      <c r="B2265" t="s">
        <v>1409</v>
      </c>
      <c r="C2265">
        <v>0</v>
      </c>
      <c r="D2265" t="str">
        <f t="shared" si="70"/>
        <v>c</v>
      </c>
      <c r="E2265" t="str">
        <f t="shared" si="71"/>
        <v>c) Problematizar las distintas variables históricas y materiales que permitan comprender el objeto de intervención.</v>
      </c>
    </row>
    <row r="2266" spans="1:5" x14ac:dyDescent="0.25">
      <c r="A2266">
        <v>2265</v>
      </c>
      <c r="B2266" t="s">
        <v>1410</v>
      </c>
      <c r="C2266">
        <v>0</v>
      </c>
      <c r="D2266" t="str">
        <f t="shared" si="70"/>
        <v>*</v>
      </c>
      <c r="E2266" t="str">
        <f t="shared" si="71"/>
        <v>d) Profundizar los campos problemáticos relacionados a diversas dimensiones que hacen a la relación sujeto- necesidad</v>
      </c>
    </row>
    <row r="2267" spans="1:5" x14ac:dyDescent="0.25">
      <c r="A2267">
        <v>2266</v>
      </c>
      <c r="B2267" t="s">
        <v>1967</v>
      </c>
      <c r="C2267">
        <v>1</v>
      </c>
      <c r="D2267" t="str">
        <f t="shared" si="70"/>
        <v>S</v>
      </c>
      <c r="E2267" t="str">
        <f t="shared" si="71"/>
        <v>Según Margarita Rozas, ¿Qué es lo que le permite al Trabajo Social, explicar de manera precisa el contexto de construcción de su objeto de intervención entrecruzando diversas racionalidades de los actores que intervienen en la acción profesional?</v>
      </c>
    </row>
    <row r="2268" spans="1:5" x14ac:dyDescent="0.25">
      <c r="A2268">
        <v>2267</v>
      </c>
      <c r="B2268" t="s">
        <v>1411</v>
      </c>
      <c r="C2268">
        <v>0</v>
      </c>
      <c r="D2268" t="str">
        <f t="shared" si="70"/>
        <v>a</v>
      </c>
      <c r="E2268" t="str">
        <f t="shared" si="71"/>
        <v>a) La aplicación del constructivismo y la teoría social.</v>
      </c>
    </row>
    <row r="2269" spans="1:5" x14ac:dyDescent="0.25">
      <c r="A2269">
        <v>2268</v>
      </c>
      <c r="B2269" t="s">
        <v>1412</v>
      </c>
      <c r="C2269">
        <v>0</v>
      </c>
      <c r="D2269" t="str">
        <f t="shared" si="70"/>
        <v>*</v>
      </c>
      <c r="E2269" t="str">
        <f t="shared" si="71"/>
        <v>b) La comprensión de la relación estructura y acción.</v>
      </c>
    </row>
    <row r="2270" spans="1:5" x14ac:dyDescent="0.25">
      <c r="A2270">
        <v>2269</v>
      </c>
      <c r="B2270" t="s">
        <v>1413</v>
      </c>
      <c r="C2270">
        <v>0</v>
      </c>
      <c r="D2270" t="str">
        <f t="shared" si="70"/>
        <v>c</v>
      </c>
      <c r="E2270" t="str">
        <f t="shared" si="71"/>
        <v>c) El análisis histórico de la díada sujeto-comunidad.</v>
      </c>
    </row>
    <row r="2271" spans="1:5" x14ac:dyDescent="0.25">
      <c r="A2271">
        <v>2270</v>
      </c>
      <c r="B2271" t="s">
        <v>1414</v>
      </c>
      <c r="C2271">
        <v>0</v>
      </c>
      <c r="D2271" t="str">
        <f t="shared" si="70"/>
        <v>d</v>
      </c>
      <c r="E2271" t="str">
        <f t="shared" si="71"/>
        <v>d) El proceso de inserción, investigación que desarrolla.</v>
      </c>
    </row>
    <row r="2272" spans="1:5" x14ac:dyDescent="0.25">
      <c r="A2272">
        <v>2271</v>
      </c>
      <c r="B2272" t="s">
        <v>1968</v>
      </c>
      <c r="C2272">
        <v>1</v>
      </c>
      <c r="D2272" t="str">
        <f t="shared" si="70"/>
        <v>P</v>
      </c>
      <c r="E2272" t="str">
        <f t="shared" si="71"/>
        <v>Para María de los Ángeles Aguilera en Tonón, la entrevista es un encuentro singular entre entrevistado/a y entrevistador/a, en el que el primero hace operativa una técnica con una finalidad determinada previamente. ¿Cómo es su operacionalización?</v>
      </c>
    </row>
    <row r="2273" spans="1:5" x14ac:dyDescent="0.25">
      <c r="A2273">
        <v>2272</v>
      </c>
      <c r="B2273" t="s">
        <v>1415</v>
      </c>
      <c r="C2273">
        <v>0</v>
      </c>
      <c r="D2273" t="str">
        <f t="shared" si="70"/>
        <v>*</v>
      </c>
      <c r="E2273" t="str">
        <f t="shared" si="71"/>
        <v>a) Está en relación directa con el actor que la implementa y los objetivos por él planteados.</v>
      </c>
    </row>
    <row r="2274" spans="1:5" x14ac:dyDescent="0.25">
      <c r="A2274">
        <v>2273</v>
      </c>
      <c r="B2274" t="s">
        <v>1416</v>
      </c>
      <c r="C2274">
        <v>0</v>
      </c>
      <c r="D2274" t="str">
        <f t="shared" si="70"/>
        <v>b</v>
      </c>
      <c r="E2274" t="str">
        <f t="shared" si="71"/>
        <v>b) Está pautada de acuerdo al marco conceptual referencial operativo del entrevistador.</v>
      </c>
    </row>
    <row r="2275" spans="1:5" x14ac:dyDescent="0.25">
      <c r="A2275">
        <v>2274</v>
      </c>
      <c r="B2275" t="s">
        <v>1417</v>
      </c>
      <c r="C2275">
        <v>0</v>
      </c>
      <c r="D2275" t="str">
        <f t="shared" si="70"/>
        <v>c</v>
      </c>
      <c r="E2275" t="str">
        <f t="shared" si="71"/>
        <v>c) Está vinculado a la capacidad técnica epistemológica del entrevistador.</v>
      </c>
    </row>
    <row r="2276" spans="1:5" x14ac:dyDescent="0.25">
      <c r="A2276">
        <v>2275</v>
      </c>
      <c r="B2276" t="s">
        <v>1418</v>
      </c>
      <c r="C2276">
        <v>0</v>
      </c>
      <c r="D2276" t="str">
        <f t="shared" ref="D2276:D2339" si="72">+MID(B2276,1,1)</f>
        <v>d</v>
      </c>
      <c r="E2276" t="str">
        <f t="shared" si="71"/>
        <v>d) Se establece en forma conjunta con los actores que participan del encuentro.</v>
      </c>
    </row>
    <row r="2277" spans="1:5" x14ac:dyDescent="0.25">
      <c r="A2277">
        <v>2276</v>
      </c>
      <c r="B2277" t="s">
        <v>1969</v>
      </c>
      <c r="C2277">
        <v>1</v>
      </c>
      <c r="D2277" t="str">
        <f t="shared" si="72"/>
        <v>E</v>
      </c>
      <c r="E2277" t="str">
        <f t="shared" si="71"/>
        <v>En "Las técnicas de actuación profesional" Miguel Meza se refiere a la dimensión estética del informe social e identifica al arte como categoría central en la definición de estética. En referencia al Informe Social ¿Cómo entiende el autor al arte?</v>
      </c>
    </row>
    <row r="2278" spans="1:5" x14ac:dyDescent="0.25">
      <c r="A2278">
        <v>2277</v>
      </c>
      <c r="B2278" t="s">
        <v>1419</v>
      </c>
      <c r="C2278">
        <v>0</v>
      </c>
      <c r="D2278" t="str">
        <f t="shared" si="72"/>
        <v>*</v>
      </c>
      <c r="E2278" t="str">
        <f t="shared" si="71"/>
        <v>a) Como el conjunto de procedimientos y reglas para ejecutar bien algo.</v>
      </c>
    </row>
    <row r="2279" spans="1:5" x14ac:dyDescent="0.25">
      <c r="A2279">
        <v>2278</v>
      </c>
      <c r="B2279" t="s">
        <v>1420</v>
      </c>
      <c r="C2279">
        <v>0</v>
      </c>
      <c r="D2279" t="str">
        <f t="shared" si="72"/>
        <v>b</v>
      </c>
      <c r="E2279" t="str">
        <f t="shared" si="71"/>
        <v>b) Como la apreciación correcta de la situación lingüística.</v>
      </c>
    </row>
    <row r="2280" spans="1:5" x14ac:dyDescent="0.25">
      <c r="A2280">
        <v>2279</v>
      </c>
      <c r="B2280" t="s">
        <v>1421</v>
      </c>
      <c r="C2280">
        <v>0</v>
      </c>
      <c r="D2280" t="str">
        <f t="shared" si="72"/>
        <v>c</v>
      </c>
      <c r="E2280" t="str">
        <f t="shared" si="71"/>
        <v>c) Como la valoración estratégica de las situaciones a comunicar.</v>
      </c>
    </row>
    <row r="2281" spans="1:5" x14ac:dyDescent="0.25">
      <c r="A2281">
        <v>2280</v>
      </c>
      <c r="B2281" t="s">
        <v>1422</v>
      </c>
      <c r="C2281">
        <v>0</v>
      </c>
      <c r="D2281" t="str">
        <f t="shared" si="72"/>
        <v>d</v>
      </c>
      <c r="E2281" t="str">
        <f t="shared" si="71"/>
        <v>d) Como los conocimientos que interpelan la capacidad argumentativa.</v>
      </c>
    </row>
    <row r="2282" spans="1:5" x14ac:dyDescent="0.25">
      <c r="A2282">
        <v>2281</v>
      </c>
      <c r="B2282" t="s">
        <v>1970</v>
      </c>
      <c r="C2282">
        <v>1</v>
      </c>
      <c r="D2282" t="str">
        <f t="shared" si="72"/>
        <v>P</v>
      </c>
      <c r="E2282" t="str">
        <f t="shared" si="71"/>
        <v>Para Bibiana Tarvi una cuestión de absoluta vigencia en la actualidad, es el desarollo que hace Gordon Hamilton en el momento del planteo de la demanda. Según este autor ¿en qué es importante centrarse?</v>
      </c>
    </row>
    <row r="2283" spans="1:5" x14ac:dyDescent="0.25">
      <c r="A2283">
        <v>2282</v>
      </c>
      <c r="B2283" t="s">
        <v>1423</v>
      </c>
      <c r="C2283">
        <v>0</v>
      </c>
      <c r="D2283" t="str">
        <f t="shared" si="72"/>
        <v>a</v>
      </c>
      <c r="E2283" t="str">
        <f t="shared" si="71"/>
        <v>a) En el aspecto de más rápida satisfacción.</v>
      </c>
    </row>
    <row r="2284" spans="1:5" x14ac:dyDescent="0.25">
      <c r="A2284">
        <v>2283</v>
      </c>
      <c r="B2284" t="s">
        <v>1424</v>
      </c>
      <c r="C2284">
        <v>0</v>
      </c>
      <c r="D2284" t="str">
        <f t="shared" si="72"/>
        <v>b</v>
      </c>
      <c r="E2284" t="str">
        <f t="shared" si="71"/>
        <v>b) En el tema social que se especializa la institución.</v>
      </c>
    </row>
    <row r="2285" spans="1:5" x14ac:dyDescent="0.25">
      <c r="A2285">
        <v>2284</v>
      </c>
      <c r="B2285" t="s">
        <v>1425</v>
      </c>
      <c r="C2285">
        <v>0</v>
      </c>
      <c r="D2285" t="str">
        <f t="shared" si="72"/>
        <v>*</v>
      </c>
      <c r="E2285" t="str">
        <f t="shared" si="71"/>
        <v>c) En lo que la persona considera más importante.</v>
      </c>
    </row>
    <row r="2286" spans="1:5" x14ac:dyDescent="0.25">
      <c r="A2286">
        <v>2285</v>
      </c>
      <c r="B2286" t="s">
        <v>1426</v>
      </c>
      <c r="C2286">
        <v>0</v>
      </c>
      <c r="D2286" t="str">
        <f t="shared" si="72"/>
        <v>d</v>
      </c>
      <c r="E2286" t="str">
        <f t="shared" si="71"/>
        <v>d) En los recursos disponibles que puedan responder al planteo.</v>
      </c>
    </row>
    <row r="2287" spans="1:5" x14ac:dyDescent="0.25">
      <c r="A2287">
        <v>2286</v>
      </c>
      <c r="B2287" s="1" t="s">
        <v>1971</v>
      </c>
      <c r="C2287">
        <v>1</v>
      </c>
      <c r="D2287" t="str">
        <f t="shared" si="72"/>
        <v>G</v>
      </c>
      <c r="E2287" t="str">
        <f t="shared" si="71"/>
        <v>Gordon Hamilton y Mary Richmond coinciden en que la primer entrevista, en tanto técnica de conocimiento e intervención, constituye una oportunidad que se ofrece para una completa y paciente atención. ¿Qué más puede obtenerse de ella, según los autores?</v>
      </c>
    </row>
    <row r="2288" spans="1:5" x14ac:dyDescent="0.25">
      <c r="A2288">
        <v>2287</v>
      </c>
      <c r="B2288" t="s">
        <v>1427</v>
      </c>
      <c r="C2288">
        <v>0</v>
      </c>
      <c r="D2288" t="str">
        <f t="shared" si="72"/>
        <v>a</v>
      </c>
      <c r="E2288" t="str">
        <f t="shared" si="71"/>
        <v>a) Cantidad de datos fehacientes para la elaboración de un diagnóstico.</v>
      </c>
    </row>
    <row r="2289" spans="1:5" x14ac:dyDescent="0.25">
      <c r="A2289">
        <v>2288</v>
      </c>
      <c r="B2289" t="s">
        <v>1428</v>
      </c>
      <c r="C2289">
        <v>0</v>
      </c>
      <c r="D2289" t="str">
        <f t="shared" si="72"/>
        <v>b</v>
      </c>
      <c r="E2289" t="str">
        <f t="shared" si="71"/>
        <v>b) Información que da cuenta de la perspectiva del actor.</v>
      </c>
    </row>
    <row r="2290" spans="1:5" x14ac:dyDescent="0.25">
      <c r="A2290">
        <v>2289</v>
      </c>
      <c r="B2290" t="s">
        <v>1429</v>
      </c>
      <c r="C2290">
        <v>0</v>
      </c>
      <c r="D2290" t="str">
        <f t="shared" si="72"/>
        <v>c</v>
      </c>
      <c r="E2290" t="str">
        <f t="shared" si="71"/>
        <v>c) La primer aproximación sobre los recursos personales para afrontar la situación.</v>
      </c>
    </row>
    <row r="2291" spans="1:5" x14ac:dyDescent="0.25">
      <c r="A2291">
        <v>2290</v>
      </c>
      <c r="B2291" t="s">
        <v>1430</v>
      </c>
      <c r="C2291">
        <v>0</v>
      </c>
      <c r="D2291" t="str">
        <f t="shared" si="72"/>
        <v>*</v>
      </c>
      <c r="E2291" t="str">
        <f t="shared" si="71"/>
        <v>d) Una idea de la actitud del cliente ante la vida.</v>
      </c>
    </row>
    <row r="2292" spans="1:5" x14ac:dyDescent="0.25">
      <c r="A2292">
        <v>2291</v>
      </c>
      <c r="B2292" s="1" t="s">
        <v>1972</v>
      </c>
      <c r="C2292">
        <v>1</v>
      </c>
      <c r="D2292" t="str">
        <f t="shared" si="72"/>
        <v>U</v>
      </c>
      <c r="E2292" t="str">
        <f t="shared" si="71"/>
        <v>Una joven adolescente se acerca al Centro de Salud mas cercano a su escuela ya que quiere tener información sobre métodos anticonceptivos, como es tímida se acerca al Servicio Social y plantea su inquietud a una profesional. La trabajadora social mantiene una entrevista con la adolescente quien luego de ser orientada se dirige al Servicio de Ginecología. Según Watzlawick, ¿Qué tipo de axioma se dió entre ambas?</v>
      </c>
    </row>
    <row r="2293" spans="1:5" x14ac:dyDescent="0.25">
      <c r="A2293">
        <v>2292</v>
      </c>
      <c r="B2293" t="s">
        <v>1431</v>
      </c>
      <c r="C2293">
        <v>0</v>
      </c>
      <c r="D2293" t="str">
        <f t="shared" si="72"/>
        <v>a</v>
      </c>
      <c r="E2293" t="str">
        <f t="shared" si="71"/>
        <v>a) Comunicación analógica.</v>
      </c>
    </row>
    <row r="2294" spans="1:5" x14ac:dyDescent="0.25">
      <c r="A2294">
        <v>2293</v>
      </c>
      <c r="B2294" t="s">
        <v>1432</v>
      </c>
      <c r="C2294">
        <v>0</v>
      </c>
      <c r="D2294" t="str">
        <f t="shared" si="72"/>
        <v>*</v>
      </c>
      <c r="E2294" t="str">
        <f t="shared" si="71"/>
        <v>b) Interacción complementaria.</v>
      </c>
    </row>
    <row r="2295" spans="1:5" x14ac:dyDescent="0.25">
      <c r="A2295">
        <v>2294</v>
      </c>
      <c r="B2295" t="s">
        <v>1433</v>
      </c>
      <c r="C2295">
        <v>0</v>
      </c>
      <c r="D2295" t="str">
        <f t="shared" si="72"/>
        <v>c</v>
      </c>
      <c r="E2295" t="str">
        <f t="shared" si="71"/>
        <v>c) Interacción simétrica.</v>
      </c>
    </row>
    <row r="2296" spans="1:5" x14ac:dyDescent="0.25">
      <c r="A2296">
        <v>2295</v>
      </c>
      <c r="B2296" t="s">
        <v>1434</v>
      </c>
      <c r="C2296">
        <v>0</v>
      </c>
      <c r="D2296" t="str">
        <f t="shared" si="72"/>
        <v>d</v>
      </c>
      <c r="E2296" t="str">
        <f t="shared" si="71"/>
        <v>d) Puntuación de secuencia de hechos.</v>
      </c>
    </row>
    <row r="2297" spans="1:5" x14ac:dyDescent="0.25">
      <c r="A2297">
        <v>2296</v>
      </c>
      <c r="B2297" s="1" t="s">
        <v>1973</v>
      </c>
      <c r="C2297">
        <v>1</v>
      </c>
      <c r="D2297" t="str">
        <f t="shared" si="72"/>
        <v>S</v>
      </c>
      <c r="E2297" t="str">
        <f t="shared" si="71"/>
        <v>Según Forni y Gallart, los supuestos del análisis cuantitativo se basan en la representatividad estadística y en la posibilidad de generalizar los resultados encontrados en la muestra a una población dada. A diferencia de esto ¿en base a qué se efectúa el análisis cualitativo?</v>
      </c>
    </row>
    <row r="2298" spans="1:5" x14ac:dyDescent="0.25">
      <c r="A2298">
        <v>2297</v>
      </c>
      <c r="B2298" t="s">
        <v>1435</v>
      </c>
      <c r="C2298">
        <v>0</v>
      </c>
      <c r="D2298" t="str">
        <f t="shared" si="72"/>
        <v>a</v>
      </c>
      <c r="E2298" t="str">
        <f t="shared" si="71"/>
        <v>a) Asociación estadística entre mediciones de diversas fuentes.</v>
      </c>
    </row>
    <row r="2299" spans="1:5" x14ac:dyDescent="0.25">
      <c r="A2299">
        <v>2298</v>
      </c>
      <c r="B2299" t="s">
        <v>1436</v>
      </c>
      <c r="C2299">
        <v>0</v>
      </c>
      <c r="D2299" t="str">
        <f t="shared" si="72"/>
        <v>b</v>
      </c>
      <c r="E2299" t="str">
        <f t="shared" si="71"/>
        <v>b) Estimación de parámetros de un universo dado.</v>
      </c>
    </row>
    <row r="2300" spans="1:5" x14ac:dyDescent="0.25">
      <c r="A2300">
        <v>2299</v>
      </c>
      <c r="B2300" t="s">
        <v>1437</v>
      </c>
      <c r="C2300">
        <v>0</v>
      </c>
      <c r="D2300" t="str">
        <f t="shared" si="72"/>
        <v>*</v>
      </c>
      <c r="E2300" t="str">
        <f t="shared" si="71"/>
        <v>c) Información observacional o de expresión oral o escrita poco estructurada.</v>
      </c>
    </row>
    <row r="2301" spans="1:5" x14ac:dyDescent="0.25">
      <c r="A2301">
        <v>2300</v>
      </c>
      <c r="B2301" t="s">
        <v>1438</v>
      </c>
      <c r="C2301">
        <v>0</v>
      </c>
      <c r="D2301" t="str">
        <f t="shared" si="72"/>
        <v>d</v>
      </c>
      <c r="E2301" t="str">
        <f t="shared" si="71"/>
        <v>d) Relevamiento de hipótesis y tipologías útiles de interpretación.</v>
      </c>
    </row>
    <row r="2302" spans="1:5" x14ac:dyDescent="0.25">
      <c r="A2302">
        <v>2301</v>
      </c>
      <c r="B2302" s="1" t="s">
        <v>1974</v>
      </c>
      <c r="C2302">
        <v>1</v>
      </c>
      <c r="D2302" t="str">
        <f t="shared" si="72"/>
        <v>S</v>
      </c>
      <c r="E2302" t="str">
        <f t="shared" si="71"/>
        <v>Según Forni y Gallart, ¿Cuál es la noción central en el análisis cualitativo que permite interpretar los cambios observados en la realidad, involucrando la intencionalidad de los actores y las consecuencias de la acción, en el marco de las condiciones dadas?</v>
      </c>
    </row>
    <row r="2303" spans="1:5" x14ac:dyDescent="0.25">
      <c r="A2303">
        <v>2302</v>
      </c>
      <c r="B2303" t="s">
        <v>1439</v>
      </c>
      <c r="C2303">
        <v>0</v>
      </c>
      <c r="D2303" t="str">
        <f t="shared" si="72"/>
        <v>*</v>
      </c>
      <c r="E2303" t="str">
        <f t="shared" si="71"/>
        <v>a) Estrategia.</v>
      </c>
    </row>
    <row r="2304" spans="1:5" x14ac:dyDescent="0.25">
      <c r="A2304">
        <v>2303</v>
      </c>
      <c r="B2304" t="s">
        <v>1440</v>
      </c>
      <c r="C2304">
        <v>0</v>
      </c>
      <c r="D2304" t="str">
        <f t="shared" si="72"/>
        <v>b</v>
      </c>
      <c r="E2304" t="str">
        <f t="shared" si="71"/>
        <v>b) Situación objetiva.</v>
      </c>
    </row>
    <row r="2305" spans="1:5" x14ac:dyDescent="0.25">
      <c r="A2305">
        <v>2304</v>
      </c>
      <c r="B2305" t="s">
        <v>1441</v>
      </c>
      <c r="C2305">
        <v>0</v>
      </c>
      <c r="D2305" t="str">
        <f t="shared" si="72"/>
        <v>c</v>
      </c>
      <c r="E2305" t="str">
        <f t="shared" si="71"/>
        <v>c) Trayectoria.</v>
      </c>
    </row>
    <row r="2306" spans="1:5" x14ac:dyDescent="0.25">
      <c r="A2306">
        <v>2305</v>
      </c>
      <c r="B2306" t="s">
        <v>1442</v>
      </c>
      <c r="C2306">
        <v>0</v>
      </c>
      <c r="D2306" t="str">
        <f t="shared" si="72"/>
        <v>d</v>
      </c>
      <c r="E2306" t="str">
        <f t="shared" si="71"/>
        <v>d) Vida cotidiana.</v>
      </c>
    </row>
    <row r="2307" spans="1:5" x14ac:dyDescent="0.25">
      <c r="A2307">
        <v>2306</v>
      </c>
      <c r="B2307" t="s">
        <v>1975</v>
      </c>
      <c r="C2307">
        <v>1</v>
      </c>
      <c r="D2307" t="str">
        <f t="shared" si="72"/>
        <v>S</v>
      </c>
      <c r="E2307" t="str">
        <f t="shared" ref="E2307:E2370" si="73">+IF(D2307="*",MID(B2307,3,500),B2307)</f>
        <v>Según Vasilachis de Gialdino, todo el esfuerzo cualitativo depende de que se siga una secuencia ordenada de cuatro fases:</v>
      </c>
    </row>
    <row r="2308" spans="1:5" x14ac:dyDescent="0.25">
      <c r="A2308">
        <v>2307</v>
      </c>
      <c r="B2308" t="s">
        <v>1443</v>
      </c>
      <c r="C2308">
        <v>0</v>
      </c>
      <c r="D2308" t="str">
        <f t="shared" si="72"/>
        <v>a</v>
      </c>
      <c r="E2308" t="str">
        <f t="shared" si="73"/>
        <v>a) Descubrimiento- invención- interpretación- explicación.</v>
      </c>
    </row>
    <row r="2309" spans="1:5" x14ac:dyDescent="0.25">
      <c r="A2309">
        <v>2308</v>
      </c>
      <c r="B2309" t="s">
        <v>1444</v>
      </c>
      <c r="C2309">
        <v>0</v>
      </c>
      <c r="D2309" t="str">
        <f t="shared" si="72"/>
        <v>b</v>
      </c>
      <c r="E2309" t="str">
        <f t="shared" si="73"/>
        <v>b) Invención- análisis- interpretación- explicación.</v>
      </c>
    </row>
    <row r="2310" spans="1:5" x14ac:dyDescent="0.25">
      <c r="A2310">
        <v>2309</v>
      </c>
      <c r="B2310" t="s">
        <v>1445</v>
      </c>
      <c r="C2310">
        <v>0</v>
      </c>
      <c r="D2310" t="str">
        <f t="shared" si="72"/>
        <v>*</v>
      </c>
      <c r="E2310" t="str">
        <f t="shared" si="73"/>
        <v>c) Invención- descubrimiento- interpretación- explicación.</v>
      </c>
    </row>
    <row r="2311" spans="1:5" x14ac:dyDescent="0.25">
      <c r="A2311">
        <v>2310</v>
      </c>
      <c r="B2311" t="s">
        <v>1446</v>
      </c>
      <c r="C2311">
        <v>0</v>
      </c>
      <c r="D2311" t="str">
        <f t="shared" si="72"/>
        <v>d</v>
      </c>
      <c r="E2311" t="str">
        <f t="shared" si="73"/>
        <v>d) Invención- síntesis diagnóstica- interpretación- explicación.</v>
      </c>
    </row>
    <row r="2312" spans="1:5" x14ac:dyDescent="0.25">
      <c r="A2312">
        <v>2311</v>
      </c>
      <c r="B2312" s="1" t="s">
        <v>1976</v>
      </c>
      <c r="C2312">
        <v>1</v>
      </c>
      <c r="D2312" t="str">
        <f t="shared" si="72"/>
        <v>D</v>
      </c>
      <c r="E2312" t="str">
        <f t="shared" si="73"/>
        <v>Desde el Servicio Social de un Centro de Salud se llevará a cabo una investigación sobre embarazo adolescentes. Para tal fin, se prevé la aplicación de una encuesta a todas las embarazadas que concurren al consultorio de embarazo adolescente, y simultáneamente la realización de entrevistas en profunidad a algunas de ellas. Según Vasilachis de Gialdino, ¿Cómo se denomina esta triangulación para el estudio del mismo fenómeno?</v>
      </c>
    </row>
    <row r="2313" spans="1:5" x14ac:dyDescent="0.25">
      <c r="A2313">
        <v>2312</v>
      </c>
      <c r="B2313" t="s">
        <v>1447</v>
      </c>
      <c r="C2313">
        <v>0</v>
      </c>
      <c r="D2313" t="str">
        <f t="shared" si="72"/>
        <v>a</v>
      </c>
      <c r="E2313" t="str">
        <f t="shared" si="73"/>
        <v>a) Estratégica.</v>
      </c>
    </row>
    <row r="2314" spans="1:5" x14ac:dyDescent="0.25">
      <c r="A2314">
        <v>2313</v>
      </c>
      <c r="B2314" t="s">
        <v>1448</v>
      </c>
      <c r="C2314">
        <v>0</v>
      </c>
      <c r="D2314" t="str">
        <f t="shared" si="72"/>
        <v>b</v>
      </c>
      <c r="E2314" t="str">
        <f t="shared" si="73"/>
        <v>b) Investigativa.</v>
      </c>
    </row>
    <row r="2315" spans="1:5" x14ac:dyDescent="0.25">
      <c r="A2315">
        <v>2314</v>
      </c>
      <c r="B2315" t="s">
        <v>1449</v>
      </c>
      <c r="C2315">
        <v>0</v>
      </c>
      <c r="D2315" t="str">
        <f t="shared" si="72"/>
        <v>c</v>
      </c>
      <c r="E2315" t="str">
        <f t="shared" si="73"/>
        <v>c) Jerarquizada.</v>
      </c>
    </row>
    <row r="2316" spans="1:5" x14ac:dyDescent="0.25">
      <c r="A2316">
        <v>2315</v>
      </c>
      <c r="B2316" t="s">
        <v>1450</v>
      </c>
      <c r="C2316">
        <v>0</v>
      </c>
      <c r="D2316" t="str">
        <f t="shared" si="72"/>
        <v>*</v>
      </c>
      <c r="E2316" t="str">
        <f t="shared" si="73"/>
        <v>d) Metodológica.</v>
      </c>
    </row>
    <row r="2317" spans="1:5" x14ac:dyDescent="0.25">
      <c r="A2317">
        <v>2316</v>
      </c>
      <c r="B2317" s="1" t="s">
        <v>1977</v>
      </c>
      <c r="C2317">
        <v>1</v>
      </c>
      <c r="D2317" t="str">
        <f t="shared" si="72"/>
        <v>E</v>
      </c>
      <c r="E2317" t="str">
        <f t="shared" si="73"/>
        <v>En una investigación sobre los factores que influyen en los postulantes a una residencia de la CABA al momento de adjudicar un cargo en la selección de la sede, la hipótesis es que: Los factores que los postulantes tienen en cuenta son el prestigio de la sede, su modalidad teórica, su modalidad de atención, teniendo en cuenta la proximidad geográfica con el domicilio del postulante. ¿Qué tipo de variable es "proximidad geográfica con el domicilio del postulante"?</v>
      </c>
    </row>
    <row r="2318" spans="1:5" x14ac:dyDescent="0.25">
      <c r="A2318">
        <v>2317</v>
      </c>
      <c r="B2318" t="s">
        <v>192</v>
      </c>
      <c r="C2318">
        <v>0</v>
      </c>
      <c r="D2318" t="str">
        <f t="shared" si="72"/>
        <v>a</v>
      </c>
      <c r="E2318" t="str">
        <f t="shared" si="73"/>
        <v>a) Dependiente.</v>
      </c>
    </row>
    <row r="2319" spans="1:5" x14ac:dyDescent="0.25">
      <c r="A2319">
        <v>2318</v>
      </c>
      <c r="B2319" t="s">
        <v>189</v>
      </c>
      <c r="C2319">
        <v>0</v>
      </c>
      <c r="D2319" t="str">
        <f t="shared" si="72"/>
        <v>b</v>
      </c>
      <c r="E2319" t="str">
        <f t="shared" si="73"/>
        <v>b) Independiente.</v>
      </c>
    </row>
    <row r="2320" spans="1:5" x14ac:dyDescent="0.25">
      <c r="A2320">
        <v>2319</v>
      </c>
      <c r="B2320" t="s">
        <v>193</v>
      </c>
      <c r="C2320">
        <v>0</v>
      </c>
      <c r="D2320" t="str">
        <f t="shared" si="72"/>
        <v>*</v>
      </c>
      <c r="E2320" t="str">
        <f t="shared" si="73"/>
        <v>c) Interviniente.</v>
      </c>
    </row>
    <row r="2321" spans="1:5" x14ac:dyDescent="0.25">
      <c r="A2321">
        <v>2320</v>
      </c>
      <c r="B2321" t="s">
        <v>1451</v>
      </c>
      <c r="C2321">
        <v>0</v>
      </c>
      <c r="D2321" t="str">
        <f t="shared" si="72"/>
        <v>d</v>
      </c>
      <c r="E2321" t="str">
        <f t="shared" si="73"/>
        <v>d) Interdependiente.</v>
      </c>
    </row>
    <row r="2322" spans="1:5" x14ac:dyDescent="0.25">
      <c r="A2322">
        <v>2321</v>
      </c>
      <c r="B2322" s="1" t="s">
        <v>1978</v>
      </c>
      <c r="C2322">
        <v>1</v>
      </c>
      <c r="D2322" t="str">
        <f t="shared" si="72"/>
        <v>E</v>
      </c>
      <c r="E2322" t="str">
        <f t="shared" si="73"/>
        <v>En 1995, desde la Dirección de Capacitación se realizó una investigación sobre la inserción laboral de los egresados del Sistema de Residencias del GCBA de los últimos 5 años. La hipótesis fue: La mayoría de los egresados de los últimos 5 años, se insertaron laboralmente en el sector privado, con una modalidad de contractual precaria y poco remunerada debido a los cambios negativos en el mercado laboral de la salud privada en los últimos años y las escasas posibilidades de ingreso en el sistema público. En esta investigación,¿qué tipo de variable es "cambios en el mercado laboral de la Salud Privada"?</v>
      </c>
    </row>
    <row r="2323" spans="1:5" x14ac:dyDescent="0.25">
      <c r="A2323">
        <v>2322</v>
      </c>
      <c r="B2323" t="s">
        <v>192</v>
      </c>
      <c r="C2323">
        <v>0</v>
      </c>
      <c r="D2323" t="str">
        <f t="shared" si="72"/>
        <v>a</v>
      </c>
      <c r="E2323" t="str">
        <f t="shared" si="73"/>
        <v>a) Dependiente.</v>
      </c>
    </row>
    <row r="2324" spans="1:5" x14ac:dyDescent="0.25">
      <c r="A2324">
        <v>2323</v>
      </c>
      <c r="B2324" t="s">
        <v>1452</v>
      </c>
      <c r="C2324">
        <v>0</v>
      </c>
      <c r="D2324" t="str">
        <f t="shared" si="72"/>
        <v>*</v>
      </c>
      <c r="E2324" t="str">
        <f t="shared" si="73"/>
        <v>b) Independiente.</v>
      </c>
    </row>
    <row r="2325" spans="1:5" x14ac:dyDescent="0.25">
      <c r="A2325">
        <v>2324</v>
      </c>
      <c r="B2325" t="s">
        <v>186</v>
      </c>
      <c r="C2325">
        <v>0</v>
      </c>
      <c r="D2325" t="str">
        <f t="shared" si="72"/>
        <v>c</v>
      </c>
      <c r="E2325" t="str">
        <f t="shared" si="73"/>
        <v>c) Interviniente.</v>
      </c>
    </row>
    <row r="2326" spans="1:5" x14ac:dyDescent="0.25">
      <c r="A2326">
        <v>2325</v>
      </c>
      <c r="B2326" t="s">
        <v>1453</v>
      </c>
      <c r="C2326">
        <v>0</v>
      </c>
      <c r="D2326" t="str">
        <f t="shared" si="72"/>
        <v>d</v>
      </c>
      <c r="E2326" t="str">
        <f t="shared" si="73"/>
        <v>d) Concurrente.</v>
      </c>
    </row>
    <row r="2327" spans="1:5" x14ac:dyDescent="0.25">
      <c r="A2327">
        <v>2326</v>
      </c>
      <c r="B2327" s="1" t="s">
        <v>1979</v>
      </c>
      <c r="C2327">
        <v>1</v>
      </c>
      <c r="D2327" t="str">
        <f t="shared" si="72"/>
        <v>E</v>
      </c>
      <c r="E2327" t="str">
        <f t="shared" si="73"/>
        <v xml:space="preserve">El Centro de Salud Nº 425 y las Escuelas Nº 7 y 24 del Distrito Escolar Sur de La Matanza, realizaron una investigación por la alta deserción escolar en los primeros años de escolaridad. Para desarrollarla se plantearon la siguiente hipótesis: El acompañamiento familiar de los niños entre 6 y 9 años que concurren a escuelas públicas de la zona sur de La Matanza, aumenta el rendimiento escolar. ¿Qué tipo de variable es "el rendimiento escolar"? </v>
      </c>
    </row>
    <row r="2328" spans="1:5" x14ac:dyDescent="0.25">
      <c r="A2328">
        <v>2327</v>
      </c>
      <c r="B2328" t="s">
        <v>1454</v>
      </c>
      <c r="C2328">
        <v>0</v>
      </c>
      <c r="D2328" t="str">
        <f t="shared" si="72"/>
        <v>a</v>
      </c>
      <c r="E2328" t="str">
        <f t="shared" si="73"/>
        <v>a) Asociada.</v>
      </c>
    </row>
    <row r="2329" spans="1:5" x14ac:dyDescent="0.25">
      <c r="A2329">
        <v>2328</v>
      </c>
      <c r="B2329" t="s">
        <v>802</v>
      </c>
      <c r="C2329">
        <v>0</v>
      </c>
      <c r="D2329" t="str">
        <f t="shared" si="72"/>
        <v>*</v>
      </c>
      <c r="E2329" t="str">
        <f t="shared" si="73"/>
        <v>b) Dependiente.</v>
      </c>
    </row>
    <row r="2330" spans="1:5" x14ac:dyDescent="0.25">
      <c r="A2330">
        <v>2329</v>
      </c>
      <c r="B2330" t="s">
        <v>803</v>
      </c>
      <c r="C2330">
        <v>0</v>
      </c>
      <c r="D2330" t="str">
        <f t="shared" si="72"/>
        <v>c</v>
      </c>
      <c r="E2330" t="str">
        <f t="shared" si="73"/>
        <v>c) Independiente.</v>
      </c>
    </row>
    <row r="2331" spans="1:5" x14ac:dyDescent="0.25">
      <c r="A2331">
        <v>2330</v>
      </c>
      <c r="B2331" t="s">
        <v>1455</v>
      </c>
      <c r="C2331">
        <v>0</v>
      </c>
      <c r="D2331" t="str">
        <f t="shared" si="72"/>
        <v>d</v>
      </c>
      <c r="E2331" t="str">
        <f t="shared" si="73"/>
        <v>d) Contextual.</v>
      </c>
    </row>
    <row r="2332" spans="1:5" x14ac:dyDescent="0.25">
      <c r="A2332">
        <v>2331</v>
      </c>
      <c r="B2332" s="1" t="s">
        <v>1980</v>
      </c>
      <c r="C2332">
        <v>1</v>
      </c>
      <c r="D2332" t="str">
        <f t="shared" si="72"/>
        <v>D</v>
      </c>
      <c r="E2332" t="str">
        <f t="shared" si="73"/>
        <v>Durante los meses de verano se producen muchos accidentes en las rutas nacionales, por lo tanto el Hospital Interzonal de la Costa, decidió realizar una investigación. La hipótesis que se plantea el equipo es: Los accidentes mortales en las rutas nacionales, aumentan según el grado de consumo de alcohol de los conductores. ¿Qué tipo de variable es "grado de ebriedad"?</v>
      </c>
    </row>
    <row r="2333" spans="1:5" x14ac:dyDescent="0.25">
      <c r="A2333">
        <v>2332</v>
      </c>
      <c r="B2333" t="s">
        <v>192</v>
      </c>
      <c r="C2333">
        <v>0</v>
      </c>
      <c r="D2333" t="str">
        <f t="shared" si="72"/>
        <v>a</v>
      </c>
      <c r="E2333" t="str">
        <f t="shared" si="73"/>
        <v>a) Dependiente.</v>
      </c>
    </row>
    <row r="2334" spans="1:5" x14ac:dyDescent="0.25">
      <c r="A2334">
        <v>2333</v>
      </c>
      <c r="B2334" t="s">
        <v>189</v>
      </c>
      <c r="C2334">
        <v>0</v>
      </c>
      <c r="D2334" t="str">
        <f t="shared" si="72"/>
        <v>b</v>
      </c>
      <c r="E2334" t="str">
        <f t="shared" si="73"/>
        <v>b) Independiente.</v>
      </c>
    </row>
    <row r="2335" spans="1:5" x14ac:dyDescent="0.25">
      <c r="A2335">
        <v>2334</v>
      </c>
      <c r="B2335" t="s">
        <v>193</v>
      </c>
      <c r="C2335">
        <v>0</v>
      </c>
      <c r="D2335" t="str">
        <f t="shared" si="72"/>
        <v>*</v>
      </c>
      <c r="E2335" t="str">
        <f t="shared" si="73"/>
        <v>c) Interviniente.</v>
      </c>
    </row>
    <row r="2336" spans="1:5" x14ac:dyDescent="0.25">
      <c r="A2336">
        <v>2335</v>
      </c>
      <c r="B2336" t="s">
        <v>191</v>
      </c>
      <c r="C2336">
        <v>0</v>
      </c>
      <c r="D2336" t="str">
        <f t="shared" si="72"/>
        <v>d</v>
      </c>
      <c r="E2336" t="str">
        <f t="shared" si="73"/>
        <v>d) Relacional.</v>
      </c>
    </row>
    <row r="2337" spans="1:5" x14ac:dyDescent="0.25">
      <c r="A2337">
        <v>2336</v>
      </c>
      <c r="B2337" s="1" t="s">
        <v>1981</v>
      </c>
      <c r="C2337">
        <v>1</v>
      </c>
      <c r="D2337" t="str">
        <f t="shared" si="72"/>
        <v>E</v>
      </c>
      <c r="E2337" t="str">
        <f t="shared" si="73"/>
        <v>En el trabajo de Cecilia Acuña y Mónica Bolis, ¿Qué entienden las autoras como "la falta de acceso de ciertos grupos de personas a bienes, servicios y oportunidades que mejoran o preservan el estado de salud y que otros individuos y grupos de la sociedad disfrutan"?</v>
      </c>
    </row>
    <row r="2338" spans="1:5" x14ac:dyDescent="0.25">
      <c r="A2338">
        <v>2337</v>
      </c>
      <c r="B2338" t="s">
        <v>1456</v>
      </c>
      <c r="C2338">
        <v>0</v>
      </c>
      <c r="D2338" t="str">
        <f t="shared" si="72"/>
        <v>a</v>
      </c>
      <c r="E2338" t="str">
        <f t="shared" si="73"/>
        <v>a) Demanda latente de salud.</v>
      </c>
    </row>
    <row r="2339" spans="1:5" x14ac:dyDescent="0.25">
      <c r="A2339">
        <v>2338</v>
      </c>
      <c r="B2339" t="s">
        <v>1457</v>
      </c>
      <c r="C2339">
        <v>0</v>
      </c>
      <c r="D2339" t="str">
        <f t="shared" si="72"/>
        <v>b</v>
      </c>
      <c r="E2339" t="str">
        <f t="shared" si="73"/>
        <v>b) Discriminación en salud.</v>
      </c>
    </row>
    <row r="2340" spans="1:5" x14ac:dyDescent="0.25">
      <c r="A2340">
        <v>2339</v>
      </c>
      <c r="B2340" t="s">
        <v>1458</v>
      </c>
      <c r="C2340">
        <v>0</v>
      </c>
      <c r="D2340" t="str">
        <f t="shared" ref="D2340:D2403" si="74">+MID(B2340,1,1)</f>
        <v>*</v>
      </c>
      <c r="E2340" t="str">
        <f t="shared" si="73"/>
        <v>c) Exclusión en salud.</v>
      </c>
    </row>
    <row r="2341" spans="1:5" x14ac:dyDescent="0.25">
      <c r="A2341">
        <v>2340</v>
      </c>
      <c r="B2341" t="s">
        <v>1459</v>
      </c>
      <c r="C2341">
        <v>0</v>
      </c>
      <c r="D2341" t="str">
        <f t="shared" si="74"/>
        <v>d</v>
      </c>
      <c r="E2341" t="str">
        <f t="shared" si="73"/>
        <v>d) Marginación en salud.</v>
      </c>
    </row>
    <row r="2342" spans="1:5" x14ac:dyDescent="0.25">
      <c r="A2342">
        <v>2341</v>
      </c>
      <c r="B2342" t="s">
        <v>1982</v>
      </c>
      <c r="C2342">
        <v>1</v>
      </c>
      <c r="D2342" t="str">
        <f t="shared" si="74"/>
        <v>P</v>
      </c>
      <c r="E2342" t="str">
        <f t="shared" si="73"/>
        <v>Para la caracterización del estigma como variable de exclusión, Cecilia Acuña y Mónica Bolis, analizaron tres escenarios.¿Cúales son ?</v>
      </c>
    </row>
    <row r="2343" spans="1:5" x14ac:dyDescent="0.25">
      <c r="A2343">
        <v>2342</v>
      </c>
      <c r="B2343" t="s">
        <v>1460</v>
      </c>
      <c r="C2343">
        <v>0</v>
      </c>
      <c r="D2343" t="str">
        <f t="shared" si="74"/>
        <v>*</v>
      </c>
      <c r="E2343" t="str">
        <f t="shared" si="73"/>
        <v>a) El individual, el institucional y el comunitario.</v>
      </c>
    </row>
    <row r="2344" spans="1:5" x14ac:dyDescent="0.25">
      <c r="A2344">
        <v>2343</v>
      </c>
      <c r="B2344" t="s">
        <v>1461</v>
      </c>
      <c r="C2344">
        <v>0</v>
      </c>
      <c r="D2344" t="str">
        <f t="shared" si="74"/>
        <v>b</v>
      </c>
      <c r="E2344" t="str">
        <f t="shared" si="73"/>
        <v>b) El institucional, el grupal y el personal.</v>
      </c>
    </row>
    <row r="2345" spans="1:5" x14ac:dyDescent="0.25">
      <c r="A2345">
        <v>2344</v>
      </c>
      <c r="B2345" t="s">
        <v>1462</v>
      </c>
      <c r="C2345">
        <v>0</v>
      </c>
      <c r="D2345" t="str">
        <f t="shared" si="74"/>
        <v>c</v>
      </c>
      <c r="E2345" t="str">
        <f t="shared" si="73"/>
        <v>c) El personal, el familiar y el comunitario.</v>
      </c>
    </row>
    <row r="2346" spans="1:5" x14ac:dyDescent="0.25">
      <c r="A2346">
        <v>2345</v>
      </c>
      <c r="B2346" t="s">
        <v>1463</v>
      </c>
      <c r="C2346">
        <v>0</v>
      </c>
      <c r="D2346" t="str">
        <f t="shared" si="74"/>
        <v>d</v>
      </c>
      <c r="E2346" t="str">
        <f t="shared" si="73"/>
        <v>d) El biológico, el psicológico y el social.</v>
      </c>
    </row>
    <row r="2347" spans="1:5" x14ac:dyDescent="0.25">
      <c r="A2347">
        <v>2346</v>
      </c>
      <c r="B2347" s="1" t="s">
        <v>1983</v>
      </c>
      <c r="C2347">
        <v>1</v>
      </c>
      <c r="D2347" t="str">
        <f t="shared" si="74"/>
        <v>P</v>
      </c>
      <c r="E2347" t="str">
        <f t="shared" si="73"/>
        <v>Para Carrillo, el Estado ha organizado la atención de los enfermos con el concepto administrativo de realizar un servicio público, pero dentro de los conceptos de Justicia Social, corresponde llegar al ideal contemporáneo compatible con la dignidad humana. ¿Cómo denomina Ramón Carrillo la etapa a alcanzar?</v>
      </c>
    </row>
    <row r="2348" spans="1:5" x14ac:dyDescent="0.25">
      <c r="A2348">
        <v>2347</v>
      </c>
      <c r="B2348" t="s">
        <v>1464</v>
      </c>
      <c r="C2348">
        <v>0</v>
      </c>
      <c r="D2348" t="str">
        <f t="shared" si="74"/>
        <v>a</v>
      </c>
      <c r="E2348" t="str">
        <f t="shared" si="73"/>
        <v>a) Asistencia social.</v>
      </c>
    </row>
    <row r="2349" spans="1:5" x14ac:dyDescent="0.25">
      <c r="A2349">
        <v>2348</v>
      </c>
      <c r="B2349" t="s">
        <v>1465</v>
      </c>
      <c r="C2349">
        <v>0</v>
      </c>
      <c r="D2349" t="str">
        <f t="shared" si="74"/>
        <v>b</v>
      </c>
      <c r="E2349" t="str">
        <f t="shared" si="73"/>
        <v>b) Atención primaria de la salud.</v>
      </c>
    </row>
    <row r="2350" spans="1:5" x14ac:dyDescent="0.25">
      <c r="A2350">
        <v>2349</v>
      </c>
      <c r="B2350" t="s">
        <v>1466</v>
      </c>
      <c r="C2350">
        <v>0</v>
      </c>
      <c r="D2350" t="str">
        <f t="shared" si="74"/>
        <v>*</v>
      </c>
      <c r="E2350" t="str">
        <f t="shared" si="73"/>
        <v>c) Previsión social.</v>
      </c>
    </row>
    <row r="2351" spans="1:5" x14ac:dyDescent="0.25">
      <c r="A2351">
        <v>2350</v>
      </c>
      <c r="B2351" t="s">
        <v>1467</v>
      </c>
      <c r="C2351">
        <v>0</v>
      </c>
      <c r="D2351" t="str">
        <f t="shared" si="74"/>
        <v>d</v>
      </c>
      <c r="E2351" t="str">
        <f t="shared" si="73"/>
        <v>d) Seguridad privada.</v>
      </c>
    </row>
    <row r="2352" spans="1:5" x14ac:dyDescent="0.25">
      <c r="A2352">
        <v>2351</v>
      </c>
      <c r="B2352" t="s">
        <v>1984</v>
      </c>
      <c r="C2352">
        <v>1</v>
      </c>
      <c r="D2352" t="str">
        <f t="shared" si="74"/>
        <v>S</v>
      </c>
      <c r="E2352" t="str">
        <f t="shared" si="73"/>
        <v>Según Ramón Carrillo, si antes no se podía ser un buen higienista sin ser, al mismo tiempo, bacteriólogo, ¿Cuáles son los criterios que se necesitan para afrontar los problemas de la medicina de las masas?</v>
      </c>
    </row>
    <row r="2353" spans="1:5" x14ac:dyDescent="0.25">
      <c r="A2353">
        <v>2352</v>
      </c>
      <c r="B2353" t="s">
        <v>1468</v>
      </c>
      <c r="C2353">
        <v>0</v>
      </c>
      <c r="D2353" t="str">
        <f t="shared" si="74"/>
        <v>a</v>
      </c>
      <c r="E2353" t="str">
        <f t="shared" si="73"/>
        <v>a) Local y territorial.</v>
      </c>
    </row>
    <row r="2354" spans="1:5" x14ac:dyDescent="0.25">
      <c r="A2354">
        <v>2353</v>
      </c>
      <c r="B2354" t="s">
        <v>1469</v>
      </c>
      <c r="C2354">
        <v>0</v>
      </c>
      <c r="D2354" t="str">
        <f t="shared" si="74"/>
        <v>b</v>
      </c>
      <c r="E2354" t="str">
        <f t="shared" si="73"/>
        <v>b) Histórico y social.</v>
      </c>
    </row>
    <row r="2355" spans="1:5" x14ac:dyDescent="0.25">
      <c r="A2355">
        <v>2354</v>
      </c>
      <c r="B2355" t="s">
        <v>1470</v>
      </c>
      <c r="C2355">
        <v>0</v>
      </c>
      <c r="D2355" t="str">
        <f t="shared" si="74"/>
        <v>c</v>
      </c>
      <c r="E2355" t="str">
        <f t="shared" si="73"/>
        <v>c) Nacional y popular.</v>
      </c>
    </row>
    <row r="2356" spans="1:5" x14ac:dyDescent="0.25">
      <c r="A2356">
        <v>2355</v>
      </c>
      <c r="B2356" t="s">
        <v>1471</v>
      </c>
      <c r="C2356">
        <v>0</v>
      </c>
      <c r="D2356" t="str">
        <f t="shared" si="74"/>
        <v>*</v>
      </c>
      <c r="E2356" t="str">
        <f t="shared" si="73"/>
        <v>d) Político y económico.</v>
      </c>
    </row>
    <row r="2357" spans="1:5" x14ac:dyDescent="0.25">
      <c r="A2357">
        <v>2356</v>
      </c>
      <c r="B2357" t="s">
        <v>1985</v>
      </c>
      <c r="C2357">
        <v>1</v>
      </c>
      <c r="D2357" t="str">
        <f t="shared" si="74"/>
        <v>S</v>
      </c>
      <c r="E2357" t="str">
        <f t="shared" si="73"/>
        <v>Según Edith Fuentes, en los casos de violencia intrafamiliar ¿Qué garantiza el trabajo interdisciplinario?</v>
      </c>
    </row>
    <row r="2358" spans="1:5" x14ac:dyDescent="0.25">
      <c r="A2358">
        <v>2357</v>
      </c>
      <c r="B2358" t="s">
        <v>1472</v>
      </c>
      <c r="C2358">
        <v>0</v>
      </c>
      <c r="D2358" t="str">
        <f t="shared" si="74"/>
        <v>*</v>
      </c>
      <c r="E2358" t="str">
        <f t="shared" si="73"/>
        <v>a) Un abordaje integral y por lo tanto más efectivo de la problemática.</v>
      </c>
    </row>
    <row r="2359" spans="1:5" x14ac:dyDescent="0.25">
      <c r="A2359">
        <v>2358</v>
      </c>
      <c r="B2359" t="s">
        <v>1473</v>
      </c>
      <c r="C2359">
        <v>0</v>
      </c>
      <c r="D2359" t="str">
        <f t="shared" si="74"/>
        <v>b</v>
      </c>
      <c r="E2359" t="str">
        <f t="shared" si="73"/>
        <v>b) La atención de varios profesionales en relación a la salud de los miembros afectados.</v>
      </c>
    </row>
    <row r="2360" spans="1:5" x14ac:dyDescent="0.25">
      <c r="A2360">
        <v>2359</v>
      </c>
      <c r="B2360" t="s">
        <v>1474</v>
      </c>
      <c r="C2360">
        <v>0</v>
      </c>
      <c r="D2360" t="str">
        <f t="shared" si="74"/>
        <v>c</v>
      </c>
      <c r="E2360" t="str">
        <f t="shared" si="73"/>
        <v>c) La posibilidad de no fragmentar y superponer esfuerzos profesionales.</v>
      </c>
    </row>
    <row r="2361" spans="1:5" x14ac:dyDescent="0.25">
      <c r="A2361">
        <v>2360</v>
      </c>
      <c r="B2361" t="s">
        <v>1475</v>
      </c>
      <c r="C2361">
        <v>0</v>
      </c>
      <c r="D2361" t="str">
        <f t="shared" si="74"/>
        <v>d</v>
      </c>
      <c r="E2361" t="str">
        <f t="shared" si="73"/>
        <v>d) El buen descenlace de la problemática para las víctimas de la situación violenta.</v>
      </c>
    </row>
    <row r="2362" spans="1:5" x14ac:dyDescent="0.25">
      <c r="A2362">
        <v>2361</v>
      </c>
      <c r="B2362" t="s">
        <v>1986</v>
      </c>
      <c r="C2362">
        <v>1</v>
      </c>
      <c r="D2362" t="str">
        <f t="shared" si="74"/>
        <v>S</v>
      </c>
      <c r="E2362" t="str">
        <f t="shared" si="73"/>
        <v>Según Silvia Faraone, desde el imaginario social, ¿Qué constituye el diagnóstico para la persona a quien se le imprime?</v>
      </c>
    </row>
    <row r="2363" spans="1:5" x14ac:dyDescent="0.25">
      <c r="A2363">
        <v>2362</v>
      </c>
      <c r="B2363" t="s">
        <v>1476</v>
      </c>
      <c r="C2363">
        <v>0</v>
      </c>
      <c r="D2363" t="str">
        <f t="shared" si="74"/>
        <v>a</v>
      </c>
      <c r="E2363" t="str">
        <f t="shared" si="73"/>
        <v>a) Una molestia.</v>
      </c>
    </row>
    <row r="2364" spans="1:5" x14ac:dyDescent="0.25">
      <c r="A2364">
        <v>2363</v>
      </c>
      <c r="B2364" t="s">
        <v>1477</v>
      </c>
      <c r="C2364">
        <v>0</v>
      </c>
      <c r="D2364" t="str">
        <f t="shared" si="74"/>
        <v>b</v>
      </c>
      <c r="E2364" t="str">
        <f t="shared" si="73"/>
        <v>b) Un paso a la cura.</v>
      </c>
    </row>
    <row r="2365" spans="1:5" x14ac:dyDescent="0.25">
      <c r="A2365">
        <v>2364</v>
      </c>
      <c r="B2365" t="s">
        <v>1478</v>
      </c>
      <c r="C2365">
        <v>0</v>
      </c>
      <c r="D2365" t="str">
        <f t="shared" si="74"/>
        <v>*</v>
      </c>
      <c r="E2365" t="str">
        <f t="shared" si="73"/>
        <v>c) Un rótulo.</v>
      </c>
    </row>
    <row r="2366" spans="1:5" x14ac:dyDescent="0.25">
      <c r="A2366">
        <v>2365</v>
      </c>
      <c r="B2366" t="s">
        <v>1479</v>
      </c>
      <c r="C2366">
        <v>0</v>
      </c>
      <c r="D2366" t="str">
        <f t="shared" si="74"/>
        <v>d</v>
      </c>
      <c r="E2366" t="str">
        <f t="shared" si="73"/>
        <v>d) Una verdad absoluta.</v>
      </c>
    </row>
    <row r="2367" spans="1:5" x14ac:dyDescent="0.25">
      <c r="A2367">
        <v>2366</v>
      </c>
      <c r="B2367" t="s">
        <v>1987</v>
      </c>
      <c r="C2367">
        <v>1</v>
      </c>
      <c r="D2367" t="str">
        <f t="shared" si="74"/>
        <v>D</v>
      </c>
      <c r="E2367" t="str">
        <f t="shared" si="73"/>
        <v>De acuerdo con Silvia Faraone, en el marco de la desinstitucionalización, ¿Qué permite hablar de un cambio de paradigma?</v>
      </c>
    </row>
    <row r="2368" spans="1:5" x14ac:dyDescent="0.25">
      <c r="A2368">
        <v>2367</v>
      </c>
      <c r="B2368" t="s">
        <v>1480</v>
      </c>
      <c r="C2368">
        <v>0</v>
      </c>
      <c r="D2368" t="str">
        <f t="shared" si="74"/>
        <v>a</v>
      </c>
      <c r="E2368" t="str">
        <f t="shared" si="73"/>
        <v>a) El acceso a subsidios que permitan la convivencia con el grupo familiar de las personas internadas.</v>
      </c>
    </row>
    <row r="2369" spans="1:5" x14ac:dyDescent="0.25">
      <c r="A2369">
        <v>2368</v>
      </c>
      <c r="B2369" t="s">
        <v>1481</v>
      </c>
      <c r="C2369">
        <v>0</v>
      </c>
      <c r="D2369" t="str">
        <f t="shared" si="74"/>
        <v>b</v>
      </c>
      <c r="E2369" t="str">
        <f t="shared" si="73"/>
        <v>b) La participación activa de todos los actores sociales involucrados en los proceso de cambio.</v>
      </c>
    </row>
    <row r="2370" spans="1:5" x14ac:dyDescent="0.25">
      <c r="A2370">
        <v>2369</v>
      </c>
      <c r="B2370" t="s">
        <v>1482</v>
      </c>
      <c r="C2370">
        <v>0</v>
      </c>
      <c r="D2370" t="str">
        <f t="shared" si="74"/>
        <v>c</v>
      </c>
      <c r="E2370" t="str">
        <f t="shared" si="73"/>
        <v>c) La posibilidad de incorporar una visión mas integral de la salud y la comunidad.</v>
      </c>
    </row>
    <row r="2371" spans="1:5" x14ac:dyDescent="0.25">
      <c r="A2371">
        <v>2370</v>
      </c>
      <c r="B2371" t="s">
        <v>1483</v>
      </c>
      <c r="C2371">
        <v>0</v>
      </c>
      <c r="D2371" t="str">
        <f t="shared" si="74"/>
        <v>*</v>
      </c>
      <c r="E2371" t="str">
        <f t="shared" ref="E2371:E2434" si="75">+IF(D2371="*",MID(B2371,3,500),B2371)</f>
        <v>d) Una mirada que privilegia la vigencia y defensa de los derechos humanos de las personas internadas.</v>
      </c>
    </row>
    <row r="2372" spans="1:5" x14ac:dyDescent="0.25">
      <c r="A2372">
        <v>2371</v>
      </c>
      <c r="B2372" t="s">
        <v>1988</v>
      </c>
      <c r="C2372">
        <v>1</v>
      </c>
      <c r="D2372" t="str">
        <f t="shared" si="74"/>
        <v>S</v>
      </c>
      <c r="E2372" t="str">
        <f t="shared" si="75"/>
        <v>Según Floreal Ferrara, ¿Cómo deben identificarse las necesidades de salud?</v>
      </c>
    </row>
    <row r="2373" spans="1:5" x14ac:dyDescent="0.25">
      <c r="A2373">
        <v>2372</v>
      </c>
      <c r="B2373" t="s">
        <v>1484</v>
      </c>
      <c r="C2373">
        <v>0</v>
      </c>
      <c r="D2373" t="str">
        <f t="shared" si="74"/>
        <v>*</v>
      </c>
      <c r="E2373" t="str">
        <f t="shared" si="75"/>
        <v>a) Como elementos histórico-sociales, por las relaciones que genera el sistema productivo.</v>
      </c>
    </row>
    <row r="2374" spans="1:5" x14ac:dyDescent="0.25">
      <c r="A2374">
        <v>2373</v>
      </c>
      <c r="B2374" t="s">
        <v>1485</v>
      </c>
      <c r="C2374">
        <v>0</v>
      </c>
      <c r="D2374" t="str">
        <f t="shared" si="74"/>
        <v>b</v>
      </c>
      <c r="E2374" t="str">
        <f t="shared" si="75"/>
        <v>b) Como datos incontaminados, para ser interpretados como absolutos, sin influencias del medio.</v>
      </c>
    </row>
    <row r="2375" spans="1:5" x14ac:dyDescent="0.25">
      <c r="A2375">
        <v>2374</v>
      </c>
      <c r="B2375" t="s">
        <v>1486</v>
      </c>
      <c r="C2375">
        <v>0</v>
      </c>
      <c r="D2375" t="str">
        <f t="shared" si="74"/>
        <v>c</v>
      </c>
      <c r="E2375" t="str">
        <f t="shared" si="75"/>
        <v>c) Como percepciones subjetivas de cada individuo sobre su estado de salud.</v>
      </c>
    </row>
    <row r="2376" spans="1:5" x14ac:dyDescent="0.25">
      <c r="A2376">
        <v>2375</v>
      </c>
      <c r="B2376" t="s">
        <v>1487</v>
      </c>
      <c r="C2376">
        <v>0</v>
      </c>
      <c r="D2376" t="str">
        <f t="shared" si="74"/>
        <v>d</v>
      </c>
      <c r="E2376" t="str">
        <f t="shared" si="75"/>
        <v>d) Como requerimientos personales vinculados a demandas biológicas y/o espirituales.</v>
      </c>
    </row>
    <row r="2377" spans="1:5" x14ac:dyDescent="0.25">
      <c r="A2377">
        <v>2376</v>
      </c>
      <c r="B2377" t="s">
        <v>1989</v>
      </c>
      <c r="C2377">
        <v>1</v>
      </c>
      <c r="D2377" t="str">
        <f t="shared" si="74"/>
        <v>¿</v>
      </c>
      <c r="E2377" t="str">
        <f t="shared" si="75"/>
        <v xml:space="preserve">¿Cómo define Floreal Ferrara la relación paciente- médico? </v>
      </c>
    </row>
    <row r="2378" spans="1:5" x14ac:dyDescent="0.25">
      <c r="A2378">
        <v>2377</v>
      </c>
      <c r="B2378" t="s">
        <v>1488</v>
      </c>
      <c r="C2378">
        <v>0</v>
      </c>
      <c r="D2378" t="str">
        <f t="shared" si="74"/>
        <v>a</v>
      </c>
      <c r="E2378" t="str">
        <f t="shared" si="75"/>
        <v>a) Un acto de entendimiento bipersonal.</v>
      </c>
    </row>
    <row r="2379" spans="1:5" x14ac:dyDescent="0.25">
      <c r="A2379">
        <v>2378</v>
      </c>
      <c r="B2379" t="s">
        <v>1489</v>
      </c>
      <c r="C2379">
        <v>0</v>
      </c>
      <c r="D2379" t="str">
        <f t="shared" si="74"/>
        <v>b</v>
      </c>
      <c r="E2379" t="str">
        <f t="shared" si="75"/>
        <v>b) Una instancia de encuentro.</v>
      </c>
    </row>
    <row r="2380" spans="1:5" x14ac:dyDescent="0.25">
      <c r="A2380">
        <v>2379</v>
      </c>
      <c r="B2380" t="s">
        <v>1490</v>
      </c>
      <c r="C2380">
        <v>0</v>
      </c>
      <c r="D2380" t="str">
        <f t="shared" si="74"/>
        <v>*</v>
      </c>
      <c r="E2380" t="str">
        <f t="shared" si="75"/>
        <v>c) Una relación social.</v>
      </c>
    </row>
    <row r="2381" spans="1:5" x14ac:dyDescent="0.25">
      <c r="A2381">
        <v>2380</v>
      </c>
      <c r="B2381" t="s">
        <v>1491</v>
      </c>
      <c r="C2381">
        <v>0</v>
      </c>
      <c r="D2381" t="str">
        <f t="shared" si="74"/>
        <v>d</v>
      </c>
      <c r="E2381" t="str">
        <f t="shared" si="75"/>
        <v>d) Una situación necesaria.</v>
      </c>
    </row>
    <row r="2382" spans="1:5" x14ac:dyDescent="0.25">
      <c r="A2382">
        <v>2381</v>
      </c>
      <c r="B2382" t="s">
        <v>1990</v>
      </c>
      <c r="C2382">
        <v>1</v>
      </c>
      <c r="D2382" t="str">
        <f t="shared" si="74"/>
        <v>S</v>
      </c>
      <c r="E2382" t="str">
        <f t="shared" si="75"/>
        <v>Según Michel Foucault, ¿Dónde y cuándo se desarrolla principalmente la "medicina de Estado"?</v>
      </c>
    </row>
    <row r="2383" spans="1:5" x14ac:dyDescent="0.25">
      <c r="A2383">
        <v>2382</v>
      </c>
      <c r="B2383" t="s">
        <v>1492</v>
      </c>
      <c r="C2383">
        <v>0</v>
      </c>
      <c r="D2383" t="str">
        <f t="shared" si="74"/>
        <v>*</v>
      </c>
      <c r="E2383" t="str">
        <f t="shared" si="75"/>
        <v>a) Comienzos del Siglo XVIII en Alemania.</v>
      </c>
    </row>
    <row r="2384" spans="1:5" x14ac:dyDescent="0.25">
      <c r="A2384">
        <v>2383</v>
      </c>
      <c r="B2384" t="s">
        <v>1493</v>
      </c>
      <c r="C2384">
        <v>0</v>
      </c>
      <c r="D2384" t="str">
        <f t="shared" si="74"/>
        <v>b</v>
      </c>
      <c r="E2384" t="str">
        <f t="shared" si="75"/>
        <v>b) Fines del Siglo XVII en Francia.</v>
      </c>
    </row>
    <row r="2385" spans="1:5" x14ac:dyDescent="0.25">
      <c r="A2385">
        <v>2384</v>
      </c>
      <c r="B2385" t="s">
        <v>1494</v>
      </c>
      <c r="C2385">
        <v>0</v>
      </c>
      <c r="D2385" t="str">
        <f t="shared" si="74"/>
        <v>c</v>
      </c>
      <c r="E2385" t="str">
        <f t="shared" si="75"/>
        <v>c) Mediados del Siglo XVIII en España.</v>
      </c>
    </row>
    <row r="2386" spans="1:5" x14ac:dyDescent="0.25">
      <c r="A2386">
        <v>2385</v>
      </c>
      <c r="B2386" t="s">
        <v>1495</v>
      </c>
      <c r="C2386">
        <v>0</v>
      </c>
      <c r="D2386" t="str">
        <f t="shared" si="74"/>
        <v>d</v>
      </c>
      <c r="E2386" t="str">
        <f t="shared" si="75"/>
        <v>d) Principios del Siglo XIX en Inglaterra.</v>
      </c>
    </row>
    <row r="2387" spans="1:5" x14ac:dyDescent="0.25">
      <c r="A2387">
        <v>2386</v>
      </c>
      <c r="B2387" t="s">
        <v>1991</v>
      </c>
      <c r="C2387">
        <v>1</v>
      </c>
      <c r="D2387" t="str">
        <f t="shared" si="74"/>
        <v>M</v>
      </c>
      <c r="E2387" t="str">
        <f t="shared" si="75"/>
        <v>Maitena Fidalgo plantea una periodización de cuatro momentos en la historia de la sanidad en la Argentina. ¿Cuál fue el rol del Estado durante el primer período marcado por la autora?</v>
      </c>
    </row>
    <row r="2388" spans="1:5" x14ac:dyDescent="0.25">
      <c r="A2388">
        <v>2387</v>
      </c>
      <c r="B2388" t="s">
        <v>1496</v>
      </c>
      <c r="C2388">
        <v>0</v>
      </c>
      <c r="D2388" t="str">
        <f t="shared" si="74"/>
        <v>a</v>
      </c>
      <c r="E2388" t="str">
        <f t="shared" si="75"/>
        <v>a) Asumir un rol organizador y ser prestador de la política sanitaria del país.</v>
      </c>
    </row>
    <row r="2389" spans="1:5" x14ac:dyDescent="0.25">
      <c r="A2389">
        <v>2388</v>
      </c>
      <c r="B2389" t="s">
        <v>1497</v>
      </c>
      <c r="C2389">
        <v>0</v>
      </c>
      <c r="D2389" t="str">
        <f t="shared" si="74"/>
        <v>b</v>
      </c>
      <c r="E2389" t="str">
        <f t="shared" si="75"/>
        <v xml:space="preserve">b) Crear una modalidad de cobertura basada en los aportes de los trabajadores y sus empleadores. </v>
      </c>
    </row>
    <row r="2390" spans="1:5" x14ac:dyDescent="0.25">
      <c r="A2390">
        <v>2389</v>
      </c>
      <c r="B2390" t="s">
        <v>1498</v>
      </c>
      <c r="C2390">
        <v>0</v>
      </c>
      <c r="D2390" t="str">
        <f t="shared" si="74"/>
        <v>*</v>
      </c>
      <c r="E2390" t="str">
        <f t="shared" si="75"/>
        <v>c) No intervenir en forma directa en la atención de la salud, subsidiando instituciones privadas.</v>
      </c>
    </row>
    <row r="2391" spans="1:5" x14ac:dyDescent="0.25">
      <c r="A2391">
        <v>2390</v>
      </c>
      <c r="B2391" t="s">
        <v>1499</v>
      </c>
      <c r="C2391">
        <v>0</v>
      </c>
      <c r="D2391" t="str">
        <f t="shared" si="74"/>
        <v>d</v>
      </c>
      <c r="E2391" t="str">
        <f t="shared" si="75"/>
        <v>d) Regular e impulsar el desarrollo simultáneo del seguro social y de la cobertura universal.</v>
      </c>
    </row>
    <row r="2392" spans="1:5" x14ac:dyDescent="0.25">
      <c r="A2392">
        <v>2391</v>
      </c>
      <c r="B2392" t="s">
        <v>1992</v>
      </c>
      <c r="C2392">
        <v>1</v>
      </c>
      <c r="D2392" t="str">
        <f t="shared" si="74"/>
        <v>M</v>
      </c>
      <c r="E2392" t="str">
        <f t="shared" si="75"/>
        <v>Maitena Fidalgo, citando a Grassi, Hintze y Neufeld, señala que en la Argentina, la expasión de los derechos sociales no está ligada a la expansión de la ciudadanía, sino a la constitución misma de otra categoría, ¿A qué categoría hace referencia la autora?</v>
      </c>
    </row>
    <row r="2393" spans="1:5" x14ac:dyDescent="0.25">
      <c r="A2393">
        <v>2392</v>
      </c>
      <c r="B2393" t="s">
        <v>1500</v>
      </c>
      <c r="C2393">
        <v>0</v>
      </c>
      <c r="D2393" t="str">
        <f t="shared" si="74"/>
        <v>a</v>
      </c>
      <c r="E2393" t="str">
        <f t="shared" si="75"/>
        <v>a) La de derechos humanos.</v>
      </c>
    </row>
    <row r="2394" spans="1:5" x14ac:dyDescent="0.25">
      <c r="A2394">
        <v>2393</v>
      </c>
      <c r="B2394" t="s">
        <v>1501</v>
      </c>
      <c r="C2394">
        <v>0</v>
      </c>
      <c r="D2394" t="str">
        <f t="shared" si="74"/>
        <v>b</v>
      </c>
      <c r="E2394" t="str">
        <f t="shared" si="75"/>
        <v>b) La de empleado.</v>
      </c>
    </row>
    <row r="2395" spans="1:5" x14ac:dyDescent="0.25">
      <c r="A2395">
        <v>2394</v>
      </c>
      <c r="B2395" t="s">
        <v>1502</v>
      </c>
      <c r="C2395">
        <v>0</v>
      </c>
      <c r="D2395" t="str">
        <f t="shared" si="74"/>
        <v>c</v>
      </c>
      <c r="E2395" t="str">
        <f t="shared" si="75"/>
        <v>c) La de sujeto de derechos.</v>
      </c>
    </row>
    <row r="2396" spans="1:5" x14ac:dyDescent="0.25">
      <c r="A2396">
        <v>2395</v>
      </c>
      <c r="B2396" t="s">
        <v>1503</v>
      </c>
      <c r="C2396">
        <v>0</v>
      </c>
      <c r="D2396" t="str">
        <f t="shared" si="74"/>
        <v>*</v>
      </c>
      <c r="E2396" t="str">
        <f t="shared" si="75"/>
        <v>d) La de trabajador formal.</v>
      </c>
    </row>
    <row r="2397" spans="1:5" x14ac:dyDescent="0.25">
      <c r="A2397">
        <v>2396</v>
      </c>
      <c r="B2397" s="1" t="s">
        <v>1993</v>
      </c>
      <c r="C2397">
        <v>1</v>
      </c>
      <c r="D2397" t="str">
        <f t="shared" si="74"/>
        <v>¿</v>
      </c>
      <c r="E2397" t="str">
        <f t="shared" si="75"/>
        <v>¿Cómo denomina Michel Foucault a la nueva dimensión de posibilidades médicas, donde el médico y el biólogo ya no trabajan en el círculo del individuo y de su descendencia, sino que empiezan a hacerlo en el nivel de la propia vida y de sus acaecimientos fundamentales?</v>
      </c>
    </row>
    <row r="2398" spans="1:5" x14ac:dyDescent="0.25">
      <c r="A2398">
        <v>2397</v>
      </c>
      <c r="B2398" t="s">
        <v>1504</v>
      </c>
      <c r="C2398">
        <v>0</v>
      </c>
      <c r="D2398" t="str">
        <f t="shared" si="74"/>
        <v>a</v>
      </c>
      <c r="E2398" t="str">
        <f t="shared" si="75"/>
        <v>a) El desarrollo de la biopolítica.</v>
      </c>
    </row>
    <row r="2399" spans="1:5" x14ac:dyDescent="0.25">
      <c r="A2399">
        <v>2398</v>
      </c>
      <c r="B2399" t="s">
        <v>1505</v>
      </c>
      <c r="C2399">
        <v>0</v>
      </c>
      <c r="D2399" t="str">
        <f t="shared" si="74"/>
        <v>b</v>
      </c>
      <c r="E2399" t="str">
        <f t="shared" si="75"/>
        <v>b) El disciplinamiento de los cuerpos.</v>
      </c>
    </row>
    <row r="2400" spans="1:5" x14ac:dyDescent="0.25">
      <c r="A2400">
        <v>2399</v>
      </c>
      <c r="B2400" t="s">
        <v>1506</v>
      </c>
      <c r="C2400">
        <v>0</v>
      </c>
      <c r="D2400" t="str">
        <f t="shared" si="74"/>
        <v>*</v>
      </c>
      <c r="E2400" t="str">
        <f t="shared" si="75"/>
        <v>c) La cuestión de la biohistoria.</v>
      </c>
    </row>
    <row r="2401" spans="1:5" x14ac:dyDescent="0.25">
      <c r="A2401">
        <v>2400</v>
      </c>
      <c r="B2401" t="s">
        <v>1507</v>
      </c>
      <c r="C2401">
        <v>0</v>
      </c>
      <c r="D2401" t="str">
        <f t="shared" si="74"/>
        <v>d</v>
      </c>
      <c r="E2401" t="str">
        <f t="shared" si="75"/>
        <v>d) La medicalización colectiva.</v>
      </c>
    </row>
    <row r="2402" spans="1:5" x14ac:dyDescent="0.25">
      <c r="A2402">
        <v>2401</v>
      </c>
      <c r="B2402" s="1" t="s">
        <v>1994</v>
      </c>
      <c r="C2402">
        <v>1</v>
      </c>
      <c r="D2402" t="str">
        <f t="shared" si="74"/>
        <v>M</v>
      </c>
      <c r="E2402" t="str">
        <f t="shared" si="75"/>
        <v>María de los Ángeles, de 23 años, acaba de tener a su primer hijo en el Hospital Piñero. Manifiesta a la trabajadora social de la sala de maternidad, que el bebé es fruto de una relación extramatrimonial y que el padre biológico dijo que no se haría cargo del niño. Manifiesta que de todas formas lo anotará en el Registro Civil del hospital, como hijo de ambos, para poder comprometer legalmente al padre. Considerando la Ley Nº 23.264 de Filiación y Patria Potestad, ¿Qué le informa la Trabajadora Social en relación al acto de reconocimiento de la filiación?</v>
      </c>
    </row>
    <row r="2403" spans="1:5" x14ac:dyDescent="0.25">
      <c r="A2403">
        <v>2402</v>
      </c>
      <c r="B2403" t="s">
        <v>1508</v>
      </c>
      <c r="C2403">
        <v>0</v>
      </c>
      <c r="D2403" t="str">
        <f t="shared" si="74"/>
        <v>*</v>
      </c>
      <c r="E2403" t="str">
        <f t="shared" si="75"/>
        <v>a) Está prohibido declarar en nombre de la persona con quien se tuvo el hijo a menos que esa persona lo haya reconocido ya o lo haga en el mismo acto.</v>
      </c>
    </row>
    <row r="2404" spans="1:5" x14ac:dyDescent="0.25">
      <c r="A2404">
        <v>2403</v>
      </c>
      <c r="B2404" t="s">
        <v>1509</v>
      </c>
      <c r="C2404">
        <v>0</v>
      </c>
      <c r="D2404" t="str">
        <f t="shared" ref="D2404:D2467" si="76">+MID(B2404,1,1)</f>
        <v>b</v>
      </c>
      <c r="E2404" t="str">
        <f t="shared" si="75"/>
        <v>b) No está permitido declarar el nombre de la persona con quien se tuvo el hijo, en ausencia de esta última, salvo que se presenten elementos probatorios de la paternidad.</v>
      </c>
    </row>
    <row r="2405" spans="1:5" x14ac:dyDescent="0.25">
      <c r="A2405">
        <v>2404</v>
      </c>
      <c r="B2405" t="s">
        <v>1510</v>
      </c>
      <c r="C2405">
        <v>0</v>
      </c>
      <c r="D2405" t="str">
        <f t="shared" si="76"/>
        <v>c</v>
      </c>
      <c r="E2405" t="str">
        <f t="shared" si="75"/>
        <v>c) Puede declarar el nombre de la persona con quien tuvo el hijo, por ser la madre, aunque esta última no esté presente, aportando dos testigos que acrediten el vínculo.</v>
      </c>
    </row>
    <row r="2406" spans="1:5" x14ac:dyDescent="0.25">
      <c r="A2406">
        <v>2405</v>
      </c>
      <c r="B2406" t="s">
        <v>1511</v>
      </c>
      <c r="C2406">
        <v>0</v>
      </c>
      <c r="D2406" t="str">
        <f t="shared" si="76"/>
        <v>d</v>
      </c>
      <c r="E2406" t="str">
        <f t="shared" si="75"/>
        <v>d) Se puede declarar el nombre de la persona con quien se tuvo el hijo independientemente de la voluntad de la persona de consentir el acto.</v>
      </c>
    </row>
    <row r="2407" spans="1:5" x14ac:dyDescent="0.25">
      <c r="A2407">
        <v>2406</v>
      </c>
      <c r="B2407" s="1" t="s">
        <v>1995</v>
      </c>
      <c r="C2407">
        <v>1</v>
      </c>
      <c r="D2407" t="str">
        <f t="shared" si="76"/>
        <v>E</v>
      </c>
      <c r="E2407" t="str">
        <f t="shared" si="75"/>
        <v>Esther concurre al Centro de Salud Nº 7 a plantear su preocupación al Trabajador Social: refiere que se encuentra divorciada del padre de sus dos hijos de 8 y 5 años y que ha formado una nueva pareja. Teme que ante esta situación, y dado que ella tiene la tenencia de los dos niños, su ex marido le plantee que ya no tiene que continuar aportando económicamente para la crianza de los hijos. Según la Ley Nº 23.515 de Matrimonio, ¿Cúal es la información que se le debe transmitir a Esther?</v>
      </c>
    </row>
    <row r="2408" spans="1:5" x14ac:dyDescent="0.25">
      <c r="A2408">
        <v>2407</v>
      </c>
      <c r="B2408" t="s">
        <v>1512</v>
      </c>
      <c r="C2408">
        <v>0</v>
      </c>
      <c r="D2408" t="str">
        <f t="shared" si="76"/>
        <v>a</v>
      </c>
      <c r="E2408" t="str">
        <f t="shared" si="75"/>
        <v>a) El deber de dar alimento a los hijos y educarlos corresponde únicamente al progenitor que ejerza la tenencia legal.</v>
      </c>
    </row>
    <row r="2409" spans="1:5" x14ac:dyDescent="0.25">
      <c r="A2409">
        <v>2408</v>
      </c>
      <c r="B2409" t="s">
        <v>1513</v>
      </c>
      <c r="C2409">
        <v>0</v>
      </c>
      <c r="D2409" t="str">
        <f t="shared" si="76"/>
        <v>b</v>
      </c>
      <c r="E2409" t="str">
        <f t="shared" si="75"/>
        <v>b) En caso de divorcio, existe deber de dar alimentos y educar a los hijos siempre que el progenitor que ejerza la tencia no cuente con los medios para hacerlo.</v>
      </c>
    </row>
    <row r="2410" spans="1:5" x14ac:dyDescent="0.25">
      <c r="A2410">
        <v>2409</v>
      </c>
      <c r="B2410" t="s">
        <v>1514</v>
      </c>
      <c r="C2410">
        <v>0</v>
      </c>
      <c r="D2410" t="str">
        <f t="shared" si="76"/>
        <v>*</v>
      </c>
      <c r="E2410" t="str">
        <f t="shared" si="75"/>
        <v>c) Incumbe siempre a ambos padre el deber de dar alimento a sus hijos y educarlos, no obstante que la tenencia sea ejercida por uno de ellos.</v>
      </c>
    </row>
    <row r="2411" spans="1:5" x14ac:dyDescent="0.25">
      <c r="A2411">
        <v>2410</v>
      </c>
      <c r="B2411" t="s">
        <v>1515</v>
      </c>
      <c r="C2411">
        <v>0</v>
      </c>
      <c r="D2411" t="str">
        <f t="shared" si="76"/>
        <v>d</v>
      </c>
      <c r="E2411" t="str">
        <f t="shared" si="75"/>
        <v>d) La obligación de manutención económica hacia los hijos, cesa si el progenitor que ejercer la tenencia contrae un nuevo matrimonio o establece una  nueva unión de hecho.</v>
      </c>
    </row>
    <row r="2412" spans="1:5" x14ac:dyDescent="0.25">
      <c r="A2412">
        <v>2411</v>
      </c>
      <c r="B2412" s="1" t="s">
        <v>1996</v>
      </c>
      <c r="C2412">
        <v>1</v>
      </c>
      <c r="D2412" t="str">
        <f t="shared" si="76"/>
        <v>L</v>
      </c>
      <c r="E2412" t="str">
        <f t="shared" si="75"/>
        <v>Lucía de 15 años, y su pareja Bautista, de 17 años, asisten al Centro de Salud Nº 18 a plantear una inquietud al Servicio Social. Ambos relatan que están de novios desde hace un año, que se encuentran muy enamorados y que desean contraer matrimonio. Manifiestan que aún no han comentado esta idea a sus padres ya que antes quisieran informarse sobre cuáles son las condiciones legales para poder concretar su proyecto. ¿Qué establece la Ley  de Matrimonio Nº 23.515 para estos casos?</v>
      </c>
    </row>
    <row r="2413" spans="1:5" x14ac:dyDescent="0.25">
      <c r="A2413">
        <v>2412</v>
      </c>
      <c r="B2413" t="s">
        <v>1516</v>
      </c>
      <c r="C2413">
        <v>0</v>
      </c>
      <c r="D2413" t="str">
        <f t="shared" si="76"/>
        <v>*</v>
      </c>
      <c r="E2413" t="str">
        <f t="shared" si="75"/>
        <v>a) Pueden contrare matrimonio previa dispensa jurídica.</v>
      </c>
    </row>
    <row r="2414" spans="1:5" x14ac:dyDescent="0.25">
      <c r="A2414">
        <v>2413</v>
      </c>
      <c r="B2414" t="s">
        <v>1517</v>
      </c>
      <c r="C2414">
        <v>0</v>
      </c>
      <c r="D2414" t="str">
        <f t="shared" si="76"/>
        <v>b</v>
      </c>
      <c r="E2414" t="str">
        <f t="shared" si="75"/>
        <v>b) Realizando un pedido administrativo de autorización ante el Juez de Paz del Registro Civil.</v>
      </c>
    </row>
    <row r="2415" spans="1:5" x14ac:dyDescent="0.25">
      <c r="A2415">
        <v>2414</v>
      </c>
      <c r="B2415" t="s">
        <v>1518</v>
      </c>
      <c r="C2415">
        <v>0</v>
      </c>
      <c r="D2415" t="str">
        <f t="shared" si="76"/>
        <v>c</v>
      </c>
      <c r="E2415" t="str">
        <f t="shared" si="75"/>
        <v>c) Si disponen de los medios materiales que aseguren su subsistencia podrán casarse.</v>
      </c>
    </row>
    <row r="2416" spans="1:5" x14ac:dyDescent="0.25">
      <c r="A2416">
        <v>2415</v>
      </c>
      <c r="B2416" t="s">
        <v>1519</v>
      </c>
      <c r="C2416">
        <v>0</v>
      </c>
      <c r="D2416" t="str">
        <f t="shared" si="76"/>
        <v>d</v>
      </c>
      <c r="E2416" t="str">
        <f t="shared" si="75"/>
        <v>d) Sólo con el consentimiento de los padres de ambos pueden concretar el acto jurídico del matrimonio.</v>
      </c>
    </row>
    <row r="2417" spans="1:5" x14ac:dyDescent="0.25">
      <c r="A2417">
        <v>2416</v>
      </c>
      <c r="B2417" s="1" t="s">
        <v>1997</v>
      </c>
      <c r="C2417">
        <v>1</v>
      </c>
      <c r="D2417" t="str">
        <f t="shared" si="76"/>
        <v>J</v>
      </c>
      <c r="E2417" t="str">
        <f t="shared" si="75"/>
        <v>Juan Carlos de 35 años, se presenta en la guardia de un hospital de emergencias psiquiátricas, solicitando su internación en forma voluntaria ya  que se siente muy deprimido, hace días que no puede dormir bien y tiene ideas suicidas. El equipo interdisciplinario y los profesionales que lo atienden evalúan necesaria una internación breve. Se ponen en contacto con su grupo familiar y trabajan con el paciente la firma de su consentimiento informado. Luego de 10 días Juan Carlos, que no presenta riesgo cierto e inminente, refiere querer abandonar su internación. ¿Qué dice el artículo 18 de la Ley Nacional de Salud Mental con respecto a esta situación?</v>
      </c>
    </row>
    <row r="2418" spans="1:5" x14ac:dyDescent="0.25">
      <c r="A2418">
        <v>2417</v>
      </c>
      <c r="B2418" t="s">
        <v>1520</v>
      </c>
      <c r="C2418">
        <v>0</v>
      </c>
      <c r="D2418" t="str">
        <f t="shared" si="76"/>
        <v>a</v>
      </c>
      <c r="E2418" t="str">
        <f t="shared" si="75"/>
        <v>a) Las personas internadas podrán irse sólo cuando autorice el Juez y previo informe al órgano de revisión.</v>
      </c>
    </row>
    <row r="2419" spans="1:5" x14ac:dyDescent="0.25">
      <c r="A2419">
        <v>2418</v>
      </c>
      <c r="B2419" t="s">
        <v>1521</v>
      </c>
      <c r="C2419">
        <v>0</v>
      </c>
      <c r="D2419" t="str">
        <f t="shared" si="76"/>
        <v>b</v>
      </c>
      <c r="E2419" t="str">
        <f t="shared" si="75"/>
        <v>b) Los pacientes no podrán abandonar el hospital hasta que el equipo interdisciplinario evalúe que están en condiciones de alta.</v>
      </c>
    </row>
    <row r="2420" spans="1:5" x14ac:dyDescent="0.25">
      <c r="A2420">
        <v>2419</v>
      </c>
      <c r="B2420" t="s">
        <v>1522</v>
      </c>
      <c r="C2420">
        <v>0</v>
      </c>
      <c r="D2420" t="str">
        <f t="shared" si="76"/>
        <v>*</v>
      </c>
      <c r="E2420" t="str">
        <f t="shared" si="75"/>
        <v>c) Las personas internadas bajo su consentimiento podrán decidir por sí mismas el abandono de la internación en cualquier momento.</v>
      </c>
    </row>
    <row r="2421" spans="1:5" x14ac:dyDescent="0.25">
      <c r="A2421">
        <v>2420</v>
      </c>
      <c r="B2421" t="s">
        <v>1523</v>
      </c>
      <c r="C2421">
        <v>0</v>
      </c>
      <c r="D2421" t="str">
        <f t="shared" si="76"/>
        <v>d</v>
      </c>
      <c r="E2421" t="str">
        <f t="shared" si="75"/>
        <v>d) Los Trabajadores Sociales deberán localizar y llamar a familiares para que firmen el alta voluntaria de los pacientes que decidan abandonar el tratamiento.</v>
      </c>
    </row>
    <row r="2422" spans="1:5" x14ac:dyDescent="0.25">
      <c r="A2422">
        <v>2421</v>
      </c>
      <c r="B2422" s="1" t="s">
        <v>1998</v>
      </c>
      <c r="C2422">
        <v>1</v>
      </c>
      <c r="D2422" t="str">
        <f t="shared" si="76"/>
        <v>M</v>
      </c>
      <c r="E2422" t="str">
        <f t="shared" si="75"/>
        <v>María del Carmen de 40 años, es llevada a la guardia de un hospital general por la policía en la madrugada. Es atendida por profesionales del quipo de salud mental, quienes evalúan que presenta riesgo cierto e inminente para sí o para terceros. No se encuentra en condiciones de brindar consentimiento por estar delirante y con ideas de agresión. Se procede a una internación involuntaria. Según el artículo 21 de la Ley Nacional de Salud Mental Nº26657, ¿Cúal es el primer paso legal que debe cumplir el equipo?</v>
      </c>
    </row>
    <row r="2423" spans="1:5" x14ac:dyDescent="0.25">
      <c r="A2423">
        <v>2422</v>
      </c>
      <c r="B2423" t="s">
        <v>1524</v>
      </c>
      <c r="C2423">
        <v>0</v>
      </c>
      <c r="D2423" t="str">
        <f t="shared" si="76"/>
        <v>a</v>
      </c>
      <c r="E2423" t="str">
        <f t="shared" si="75"/>
        <v>a) Localizar a los familiares o referentes sociales para que firmen el consentimiento e informar al Juez.</v>
      </c>
    </row>
    <row r="2424" spans="1:5" x14ac:dyDescent="0.25">
      <c r="A2424">
        <v>2423</v>
      </c>
      <c r="B2424" t="s">
        <v>1525</v>
      </c>
      <c r="C2424">
        <v>0</v>
      </c>
      <c r="D2424" t="str">
        <f t="shared" si="76"/>
        <v>b</v>
      </c>
      <c r="E2424" t="str">
        <f t="shared" si="75"/>
        <v>b) Informar por escrito al órgano de revisión dentro de las 72 horas.</v>
      </c>
    </row>
    <row r="2425" spans="1:5" x14ac:dyDescent="0.25">
      <c r="A2425">
        <v>2424</v>
      </c>
      <c r="B2425" t="s">
        <v>1526</v>
      </c>
      <c r="C2425">
        <v>0</v>
      </c>
      <c r="D2425" t="str">
        <f t="shared" si="76"/>
        <v>c</v>
      </c>
      <c r="E2425" t="str">
        <f t="shared" si="75"/>
        <v>c) Elevar el informe interdisciplinario de la situación al Juez Competente en la materia dentro de las 48 horas.</v>
      </c>
    </row>
    <row r="2426" spans="1:5" x14ac:dyDescent="0.25">
      <c r="A2426">
        <v>2425</v>
      </c>
      <c r="B2426" t="s">
        <v>1527</v>
      </c>
      <c r="C2426">
        <v>0</v>
      </c>
      <c r="D2426" t="str">
        <f t="shared" si="76"/>
        <v>*</v>
      </c>
      <c r="E2426" t="str">
        <f t="shared" si="75"/>
        <v>d) Notificar al juez competente y al órgano de revisión en un plazo máximo de 10 horas.</v>
      </c>
    </row>
    <row r="2427" spans="1:5" x14ac:dyDescent="0.25">
      <c r="A2427">
        <v>2426</v>
      </c>
      <c r="B2427" s="1" t="s">
        <v>1999</v>
      </c>
      <c r="C2427">
        <v>1</v>
      </c>
      <c r="D2427" t="str">
        <f t="shared" si="76"/>
        <v>S</v>
      </c>
      <c r="E2427" t="str">
        <f t="shared" si="75"/>
        <v>Se presenta en la guardia de un hospital general del GCBA, una mujer que impresiona desorientada en tiempo y espacio, con alucinaciones auditivas. En la admisión se considera necesario descartar una posible intoxicación u organicidad, mientras se evalúa una eventual internación. La mujer habla y entiende con dificultad el castellano, quien la acompaña y oficia de traductora refiere que es inmigrante, no posee DNI, ni regularizó su situación migratoria para obtener su documentación. Según la Ley Nacional de Migraciones, ¿A qué intervenciones tiene derecho?</v>
      </c>
    </row>
    <row r="2428" spans="1:5" x14ac:dyDescent="0.25">
      <c r="A2428">
        <v>2427</v>
      </c>
      <c r="B2428" t="s">
        <v>1528</v>
      </c>
      <c r="C2428">
        <v>0</v>
      </c>
      <c r="D2428" t="str">
        <f t="shared" si="76"/>
        <v>a</v>
      </c>
      <c r="E2428" t="str">
        <f t="shared" si="75"/>
        <v>a) A todas las intervenciones en salud de que impliquen riesgo de vida, las intervenciones complejas o en salud mental sólo se cubren con la documentación en regla con las disposiciones vigentes.</v>
      </c>
    </row>
    <row r="2429" spans="1:5" x14ac:dyDescent="0.25">
      <c r="A2429">
        <v>2428</v>
      </c>
      <c r="B2429" t="s">
        <v>1529</v>
      </c>
      <c r="C2429">
        <v>0</v>
      </c>
      <c r="D2429" t="str">
        <f t="shared" si="76"/>
        <v>b</v>
      </c>
      <c r="E2429" t="str">
        <f t="shared" si="75"/>
        <v>b) El acceso estará supeditado a la acreditación de identidad que justifique mediante constancia hábil su permanencia en la República Argentina.</v>
      </c>
    </row>
    <row r="2430" spans="1:5" x14ac:dyDescent="0.25">
      <c r="A2430">
        <v>2429</v>
      </c>
      <c r="B2430" t="s">
        <v>1530</v>
      </c>
      <c r="C2430">
        <v>0</v>
      </c>
      <c r="D2430" t="str">
        <f t="shared" si="76"/>
        <v>c</v>
      </c>
      <c r="E2430" t="str">
        <f t="shared" si="75"/>
        <v>c) Podrá acceder sólo a las prestaciones de urgencia si es residente transitorio y acceso al total de prestaciones si es residente temporario y/o permanente.</v>
      </c>
    </row>
    <row r="2431" spans="1:5" x14ac:dyDescent="0.25">
      <c r="A2431">
        <v>2430</v>
      </c>
      <c r="B2431" t="s">
        <v>1531</v>
      </c>
      <c r="C2431">
        <v>0</v>
      </c>
      <c r="D2431" t="str">
        <f t="shared" si="76"/>
        <v>*</v>
      </c>
      <c r="E2431" t="str">
        <f t="shared" si="75"/>
        <v>d) No podrá negársele o restringírsele en ningún caso, el acceso al derecho a la salud, la asistencia social o atención sanitaria a todos los extranjeros que lo requieran, cualquiera sea su situación migratoria.</v>
      </c>
    </row>
    <row r="2432" spans="1:5" x14ac:dyDescent="0.25">
      <c r="A2432">
        <v>2431</v>
      </c>
      <c r="B2432" s="1" t="s">
        <v>2000</v>
      </c>
      <c r="C2432">
        <v>1</v>
      </c>
      <c r="D2432" t="str">
        <f t="shared" si="76"/>
        <v>A</v>
      </c>
      <c r="E2432" t="str">
        <f t="shared" si="75"/>
        <v>Alcira de 28 años de edad fue atacada sexualmente por su ex pareja. Concurre a la Guardia del Hospital Pirovano donde plantea su situación y sus  temores por la situación transitada. Pide orientación y asesoramiento al Trabajador Social de Guardia sobre una posible denuncia al agresor. Según el artículo 24 de la Ley 26485 de Protección Integral para prevenir la violencia contra las mujeres, ¿Quién esta legitimado para hacer la denuncia?</v>
      </c>
    </row>
    <row r="2433" spans="1:5" x14ac:dyDescent="0.25">
      <c r="A2433">
        <v>2432</v>
      </c>
      <c r="B2433" t="s">
        <v>1532</v>
      </c>
      <c r="C2433">
        <v>0</v>
      </c>
      <c r="D2433" t="str">
        <f t="shared" si="76"/>
        <v>a</v>
      </c>
      <c r="E2433" t="str">
        <f t="shared" si="75"/>
        <v>a) Basta con la denuncia que pudiera realizar la trabajadora social del hospital como parte del equipo de salud.</v>
      </c>
    </row>
    <row r="2434" spans="1:5" x14ac:dyDescent="0.25">
      <c r="A2434">
        <v>2433</v>
      </c>
      <c r="B2434" t="s">
        <v>1533</v>
      </c>
      <c r="C2434">
        <v>0</v>
      </c>
      <c r="D2434" t="str">
        <f t="shared" si="76"/>
        <v>b</v>
      </c>
      <c r="E2434" t="str">
        <f t="shared" si="75"/>
        <v>b) Cualquier persona vinculada a la víctima podrá registrar el hecho en la Comisaría mas cercana.</v>
      </c>
    </row>
    <row r="2435" spans="1:5" x14ac:dyDescent="0.25">
      <c r="A2435">
        <v>2434</v>
      </c>
      <c r="B2435" t="s">
        <v>1534</v>
      </c>
      <c r="C2435">
        <v>0</v>
      </c>
      <c r="D2435" t="str">
        <f t="shared" si="76"/>
        <v>*</v>
      </c>
      <c r="E2435" t="str">
        <f t="shared" ref="E2435:E2498" si="77">+IF(D2435="*",MID(B2435,3,500),B2435)</f>
        <v>c) La mujer que haya padecido violencia sexual es la única legitimada para hacer la denuncia.</v>
      </c>
    </row>
    <row r="2436" spans="1:5" x14ac:dyDescent="0.25">
      <c r="A2436">
        <v>2435</v>
      </c>
      <c r="B2436" t="s">
        <v>1535</v>
      </c>
      <c r="C2436">
        <v>0</v>
      </c>
      <c r="D2436" t="str">
        <f t="shared" si="76"/>
        <v>d</v>
      </c>
      <c r="E2436" t="str">
        <f t="shared" si="77"/>
        <v>d) La mujer deberá radicar la denuncia sólo si está acompañada de testigos oculares del hecho y/u otras pruebas irrefutables.</v>
      </c>
    </row>
    <row r="2437" spans="1:5" x14ac:dyDescent="0.25">
      <c r="A2437">
        <v>2436</v>
      </c>
      <c r="B2437" s="1" t="s">
        <v>2001</v>
      </c>
      <c r="C2437">
        <v>1</v>
      </c>
      <c r="D2437" t="str">
        <f t="shared" si="76"/>
        <v>M</v>
      </c>
      <c r="E2437" t="str">
        <f t="shared" si="77"/>
        <v>María Ester denunció a Omar, su pareja y padre de tres hijos por maltratos físicos y agresiones verbales hacia su persona. Ha denunciado e iniciado un proceso contra Omar, sin embargo éste ha comenzado a vender parte de sus bienes adquiridos en común durante la convivencia. Temerosa de que quiera desalojarla para vender la casa, acude a un Centro de Gestión y Participación para buscar orientación en el Servicio Social. Según la Ley 26485 ¿Qué medidas preventivas podría ordenar el Juez?</v>
      </c>
    </row>
    <row r="2438" spans="1:5" x14ac:dyDescent="0.25">
      <c r="A2438">
        <v>2437</v>
      </c>
      <c r="B2438" t="s">
        <v>1536</v>
      </c>
      <c r="C2438">
        <v>0</v>
      </c>
      <c r="D2438" t="str">
        <f t="shared" si="76"/>
        <v>a</v>
      </c>
      <c r="E2438" t="str">
        <f t="shared" si="77"/>
        <v>a) Prohibir al presunto agresor enajenar, disponer, ocultar o destruir el 50% de los bienes habidos en forma ganancial y correspondientes a su pareja.</v>
      </c>
    </row>
    <row r="2439" spans="1:5" x14ac:dyDescent="0.25">
      <c r="A2439">
        <v>2438</v>
      </c>
      <c r="B2439" t="s">
        <v>1537</v>
      </c>
      <c r="C2439">
        <v>0</v>
      </c>
      <c r="D2439" t="str">
        <f t="shared" si="76"/>
        <v>*</v>
      </c>
      <c r="E2439" t="str">
        <f t="shared" si="77"/>
        <v>b) Prohibir al presunto agresor enajenar, disponer, destruir, ocultar o trasladar bienes gananciales de la sociedad conyugal o los comunes de la pareja conviviente.</v>
      </c>
    </row>
    <row r="2440" spans="1:5" x14ac:dyDescent="0.25">
      <c r="A2440">
        <v>2439</v>
      </c>
      <c r="B2440" t="s">
        <v>1538</v>
      </c>
      <c r="C2440">
        <v>0</v>
      </c>
      <c r="D2440" t="str">
        <f t="shared" si="76"/>
        <v>c</v>
      </c>
      <c r="E2440" t="str">
        <f t="shared" si="77"/>
        <v>c) Sólo podrá prohibir la enajenación, disposición, destrucción o traslado de los bienes del presunto agresor en caso de sentencia favorable a la mujer.</v>
      </c>
    </row>
    <row r="2441" spans="1:5" x14ac:dyDescent="0.25">
      <c r="A2441">
        <v>2440</v>
      </c>
      <c r="B2441" t="s">
        <v>1539</v>
      </c>
      <c r="C2441">
        <v>0</v>
      </c>
      <c r="D2441" t="str">
        <f t="shared" si="76"/>
        <v>d</v>
      </c>
      <c r="E2441" t="str">
        <f t="shared" si="77"/>
        <v>d) La prohibición al presunto agresor de enajenar, disponer, destruir, ocultar o trasladar bienes gananciales solo podrá realizarse en caso de la sociedad conyugal.</v>
      </c>
    </row>
    <row r="2442" spans="1:5" x14ac:dyDescent="0.25">
      <c r="A2442">
        <v>2441</v>
      </c>
      <c r="B2442" s="1" t="s">
        <v>2002</v>
      </c>
      <c r="C2442">
        <v>1</v>
      </c>
      <c r="D2442" t="str">
        <f t="shared" si="76"/>
        <v>G</v>
      </c>
      <c r="E2442" t="str">
        <f t="shared" si="77"/>
        <v>Gonzalo tiene 9 años y su hermano 11. Ambos sufrieron situaciones de violencia física y verbal por parte de la pareja de su madre. Su padre los abandonó de pequeños y su madre refiere no querer abandonar y desalojar a su pareja del hogar donde vive con los niños. La escuela dió intervención a la Defensoría local y al Consejo de Derechos de los Niños, niñas y adolescentes. Ambos organismos decidieron adoptar una medida excepcional separando a los niños de su núcleo familiar incluyéndolos en un hogar por un breve tiempo, hasta tanto se resuelva la situación con el agresor. Según la Ley 26.061, ¿Qué objetivos persigue la aplicación de este tipo de medidas excepcionales?</v>
      </c>
    </row>
    <row r="2443" spans="1:5" x14ac:dyDescent="0.25">
      <c r="A2443">
        <v>2442</v>
      </c>
      <c r="B2443" t="s">
        <v>1540</v>
      </c>
      <c r="C2443">
        <v>0</v>
      </c>
      <c r="D2443" t="str">
        <f t="shared" si="76"/>
        <v>a</v>
      </c>
      <c r="E2443" t="str">
        <f t="shared" si="77"/>
        <v>a) El reestablecimiento del normal desarrollo de los sujetos a su vida familiar y social mediante el tratamiento en el medio de los miembros con problemas.</v>
      </c>
    </row>
    <row r="2444" spans="1:5" x14ac:dyDescent="0.25">
      <c r="A2444">
        <v>2443</v>
      </c>
      <c r="B2444" t="s">
        <v>1541</v>
      </c>
      <c r="C2444">
        <v>0</v>
      </c>
      <c r="D2444" t="str">
        <f t="shared" si="76"/>
        <v>*</v>
      </c>
      <c r="E2444" t="str">
        <f t="shared" si="77"/>
        <v xml:space="preserve">b) La conservación o recuperación por parte de los sujetos del ejercicio y goce de sus derechos vulnerados y la reparación de sus consecuencias. </v>
      </c>
    </row>
    <row r="2445" spans="1:5" x14ac:dyDescent="0.25">
      <c r="A2445">
        <v>2444</v>
      </c>
      <c r="B2445" t="s">
        <v>1542</v>
      </c>
      <c r="C2445">
        <v>0</v>
      </c>
      <c r="D2445" t="str">
        <f t="shared" si="76"/>
        <v>c</v>
      </c>
      <c r="E2445" t="str">
        <f t="shared" si="77"/>
        <v>c) La protección temprana de la integridad física, psíquica y emocional de los sujetos afectados por situaciones violentas en su seno familiar.</v>
      </c>
    </row>
    <row r="2446" spans="1:5" x14ac:dyDescent="0.25">
      <c r="A2446">
        <v>2445</v>
      </c>
      <c r="B2446" t="s">
        <v>1543</v>
      </c>
      <c r="C2446">
        <v>0</v>
      </c>
      <c r="D2446" t="str">
        <f t="shared" si="76"/>
        <v>d</v>
      </c>
      <c r="E2446" t="str">
        <f t="shared" si="77"/>
        <v>d) La evaluación de las funciones de protección y crianza que ejercían los adultos del medio en el que se encuentran insertos.</v>
      </c>
    </row>
    <row r="2447" spans="1:5" x14ac:dyDescent="0.25">
      <c r="A2447">
        <v>2446</v>
      </c>
      <c r="B2447" s="1" t="s">
        <v>2003</v>
      </c>
      <c r="C2447">
        <v>1</v>
      </c>
      <c r="D2447" t="str">
        <f t="shared" si="76"/>
        <v>L</v>
      </c>
      <c r="E2447" t="str">
        <f t="shared" si="77"/>
        <v>La Ley 24.901 de Sistemas de Prestaciones básicas de discapacidad, contempla la incorporación de las personas con discapacidad a sistemas alternativos al grupo familiar cuando éstas no pudieran permanecer en el mismo.Según el Artículo 30 ¿Cúal de los siguientes sistemas alternativos sería el adecuado para una persona adulta con discapacidad que contara con suficiente y adecuado nivel de autovalimiento e independencia para abastecer necesidades básicas?</v>
      </c>
    </row>
    <row r="2448" spans="1:5" x14ac:dyDescent="0.25">
      <c r="A2448">
        <v>2447</v>
      </c>
      <c r="B2448" t="s">
        <v>1544</v>
      </c>
      <c r="C2448">
        <v>0</v>
      </c>
      <c r="D2448" t="str">
        <f t="shared" si="76"/>
        <v>a</v>
      </c>
      <c r="E2448" t="str">
        <f t="shared" si="77"/>
        <v>a) Centro educativo terapéutico.</v>
      </c>
    </row>
    <row r="2449" spans="1:5" x14ac:dyDescent="0.25">
      <c r="A2449">
        <v>2448</v>
      </c>
      <c r="B2449" t="s">
        <v>1545</v>
      </c>
      <c r="C2449">
        <v>0</v>
      </c>
      <c r="D2449" t="str">
        <f t="shared" si="76"/>
        <v>b</v>
      </c>
      <c r="E2449" t="str">
        <f t="shared" si="77"/>
        <v>b) Centro de día.</v>
      </c>
    </row>
    <row r="2450" spans="1:5" x14ac:dyDescent="0.25">
      <c r="A2450">
        <v>2449</v>
      </c>
      <c r="B2450" t="s">
        <v>1546</v>
      </c>
      <c r="C2450">
        <v>0</v>
      </c>
      <c r="D2450" t="str">
        <f t="shared" si="76"/>
        <v>c</v>
      </c>
      <c r="E2450" t="str">
        <f t="shared" si="77"/>
        <v>c) Pequeño Hogar.</v>
      </c>
    </row>
    <row r="2451" spans="1:5" x14ac:dyDescent="0.25">
      <c r="A2451">
        <v>2450</v>
      </c>
      <c r="B2451" t="s">
        <v>1547</v>
      </c>
      <c r="C2451">
        <v>0</v>
      </c>
      <c r="D2451" t="str">
        <f t="shared" si="76"/>
        <v>*</v>
      </c>
      <c r="E2451" t="str">
        <f t="shared" si="77"/>
        <v>d) Residencia.</v>
      </c>
    </row>
    <row r="2452" spans="1:5" x14ac:dyDescent="0.25">
      <c r="A2452">
        <v>2451</v>
      </c>
      <c r="B2452" s="1" t="s">
        <v>2004</v>
      </c>
      <c r="C2452">
        <v>1</v>
      </c>
      <c r="D2452" t="str">
        <f t="shared" si="76"/>
        <v>J</v>
      </c>
      <c r="E2452" t="str">
        <f t="shared" si="77"/>
        <v>Juan José tiene un pequeño microemprendimiento de respotería y panificados en el barrio. Necesita incorporar más empleados porque ha aumentado la demanda y por consiguiente el nivel de producción. Leticia, una trabajadora social del Centro Comunitario, le sugiere que contrate vecinos del barrio con algún tipo de discapacidad. ¿Qué beneficio otorga a los empleadores la Ley 22.431 de Protección Integral de personas discapacitadas?</v>
      </c>
    </row>
    <row r="2453" spans="1:5" x14ac:dyDescent="0.25">
      <c r="A2453">
        <v>2452</v>
      </c>
      <c r="B2453" t="s">
        <v>1548</v>
      </c>
      <c r="C2453">
        <v>0</v>
      </c>
      <c r="D2453" t="str">
        <f t="shared" si="76"/>
        <v>a</v>
      </c>
      <c r="E2453" t="str">
        <f t="shared" si="77"/>
        <v>a) La eximición de los cargos por aportes patronales sobre los beneficios sociales.</v>
      </c>
    </row>
    <row r="2454" spans="1:5" x14ac:dyDescent="0.25">
      <c r="A2454">
        <v>2453</v>
      </c>
      <c r="B2454" t="s">
        <v>1549</v>
      </c>
      <c r="C2454">
        <v>0</v>
      </c>
      <c r="D2454" t="str">
        <f t="shared" si="76"/>
        <v>b</v>
      </c>
      <c r="E2454" t="str">
        <f t="shared" si="77"/>
        <v>b) La eximición del monto de los ingresos brutos sobre un porcentaje de la producción en cada período fiscal.</v>
      </c>
    </row>
    <row r="2455" spans="1:5" x14ac:dyDescent="0.25">
      <c r="A2455">
        <v>2454</v>
      </c>
      <c r="B2455" t="s">
        <v>1550</v>
      </c>
      <c r="C2455">
        <v>0</v>
      </c>
      <c r="D2455" t="str">
        <f t="shared" si="76"/>
        <v>*</v>
      </c>
      <c r="E2455" t="str">
        <f t="shared" si="77"/>
        <v>c) Una deducción especial en la determinación del Impuesto a las ganancias sobre los capitales.</v>
      </c>
    </row>
    <row r="2456" spans="1:5" x14ac:dyDescent="0.25">
      <c r="A2456">
        <v>2455</v>
      </c>
      <c r="B2456" t="s">
        <v>1551</v>
      </c>
      <c r="C2456">
        <v>0</v>
      </c>
      <c r="D2456" t="str">
        <f t="shared" si="76"/>
        <v>d</v>
      </c>
      <c r="E2456" t="str">
        <f t="shared" si="77"/>
        <v>d) Un descuento del cincuenta porciento sobre los impuesto municipales y de bromatología.</v>
      </c>
    </row>
    <row r="2457" spans="1:5" x14ac:dyDescent="0.25">
      <c r="A2457">
        <v>2456</v>
      </c>
      <c r="B2457" s="1" t="s">
        <v>2005</v>
      </c>
      <c r="C2457">
        <v>1</v>
      </c>
      <c r="D2457" t="str">
        <f t="shared" si="76"/>
        <v>A</v>
      </c>
      <c r="E2457" t="str">
        <f t="shared" si="77"/>
        <v>Ana Clara de 16 años, asiste con su pareja al Centro de Salud del barrio. Refiere su inquietud sobre formas de cuidarse e inmediatamente la derivan con la ginecóloga de la institución. Ese mismo día junto a su pareja reciben información y asesoramiento sobre todos los métodos anticonceptivos. Ana Clara se siente presionada en su elección por su novio quien le insiste en el uso de un dispositivo intrauterino refiriendo su molestia por el uso de preservativos. Según la Ley 418 de Salud Sexual y Reproductiva del GBA, ¿Cómo debe ser la adopción de un método anticonceptivo?</v>
      </c>
    </row>
    <row r="2458" spans="1:5" x14ac:dyDescent="0.25">
      <c r="A2458">
        <v>2457</v>
      </c>
      <c r="B2458" t="s">
        <v>1552</v>
      </c>
      <c r="C2458">
        <v>0</v>
      </c>
      <c r="D2458" t="str">
        <f t="shared" si="76"/>
        <v>a</v>
      </c>
      <c r="E2458" t="str">
        <f t="shared" si="77"/>
        <v>a) De común acuerdo por las parejas que asisten a la consulta tras recibir la información completa y adecuada en el efector de salud.</v>
      </c>
    </row>
    <row r="2459" spans="1:5" x14ac:dyDescent="0.25">
      <c r="A2459">
        <v>2458</v>
      </c>
      <c r="B2459" t="s">
        <v>1553</v>
      </c>
      <c r="C2459">
        <v>0</v>
      </c>
      <c r="D2459" t="str">
        <f t="shared" si="76"/>
        <v>*</v>
      </c>
      <c r="E2459" t="str">
        <f t="shared" si="77"/>
        <v>b) Elegidos voluntariamente por las/los beneficiarios luego de recibir información completa y adecuada por parte del profesional.</v>
      </c>
    </row>
    <row r="2460" spans="1:5" x14ac:dyDescent="0.25">
      <c r="A2460">
        <v>2459</v>
      </c>
      <c r="B2460" t="s">
        <v>1554</v>
      </c>
      <c r="C2460">
        <v>0</v>
      </c>
      <c r="D2460" t="str">
        <f t="shared" si="76"/>
        <v>c</v>
      </c>
      <c r="E2460" t="str">
        <f t="shared" si="77"/>
        <v>c) En caso de ser menores de 18 años, los padres o parejas mayores de edad, deben firmar el consentimiento informado al suministrársele el método elegido.</v>
      </c>
    </row>
    <row r="2461" spans="1:5" x14ac:dyDescent="0.25">
      <c r="A2461">
        <v>2460</v>
      </c>
      <c r="B2461" t="s">
        <v>1555</v>
      </c>
      <c r="C2461">
        <v>0</v>
      </c>
      <c r="D2461" t="str">
        <f t="shared" si="76"/>
        <v>d</v>
      </c>
      <c r="E2461" t="str">
        <f t="shared" si="77"/>
        <v>d) La adopción de un método anticonceptivo está sujeto a la disponibilidad de recursos en el efector donde se brinda información.</v>
      </c>
    </row>
    <row r="2462" spans="1:5" x14ac:dyDescent="0.25">
      <c r="A2462">
        <v>2461</v>
      </c>
      <c r="B2462" s="1" t="s">
        <v>2006</v>
      </c>
      <c r="C2462">
        <v>1</v>
      </c>
      <c r="D2462" t="str">
        <f t="shared" si="76"/>
        <v>E</v>
      </c>
      <c r="E2462" t="str">
        <f t="shared" si="77"/>
        <v>En los efectores de salud del Municipio de San Vicente han empezado a diagnosticarse casos de VIH-Sida. Las autoridades sanitarias de la Secretaría de Salud han comenzado a planificar un sistema integrado de registro y seguimiento personalizado de los casos que aparecieron y sus familias. ¿Qué dice la Ley Nacional de Sida 23.798 con respecto a esta situación?</v>
      </c>
    </row>
    <row r="2463" spans="1:5" x14ac:dyDescent="0.25">
      <c r="A2463">
        <v>2462</v>
      </c>
      <c r="B2463" t="s">
        <v>1556</v>
      </c>
      <c r="C2463">
        <v>0</v>
      </c>
      <c r="D2463" t="str">
        <f t="shared" si="76"/>
        <v>*</v>
      </c>
      <c r="E2463" t="str">
        <f t="shared" si="77"/>
        <v>a) En ningún caso se puede individualizar a las personas a través de fichas, registros o almacenamiento de datos, los cuales deberán llevarse en forma codificada.</v>
      </c>
    </row>
    <row r="2464" spans="1:5" x14ac:dyDescent="0.25">
      <c r="A2464">
        <v>2463</v>
      </c>
      <c r="B2464" t="s">
        <v>1557</v>
      </c>
      <c r="C2464">
        <v>0</v>
      </c>
      <c r="D2464" t="str">
        <f t="shared" si="76"/>
        <v>b</v>
      </c>
      <c r="E2464" t="str">
        <f t="shared" si="77"/>
        <v>b) Cada caso sospechoso que aparece y se confirma debe registrarse, identificarse y realizar la correspondiente denuncia epidemiológica al organismo nacional correspondiente.</v>
      </c>
    </row>
    <row r="2465" spans="1:5" x14ac:dyDescent="0.25">
      <c r="A2465">
        <v>2464</v>
      </c>
      <c r="B2465" t="s">
        <v>1558</v>
      </c>
      <c r="C2465">
        <v>0</v>
      </c>
      <c r="D2465" t="str">
        <f t="shared" si="76"/>
        <v>c</v>
      </c>
      <c r="E2465" t="str">
        <f t="shared" si="77"/>
        <v>c) Siempre que aparezca un caso sospechoso debe citárselo o buscárselo con la fuerza pública para realizar las pruebas correspondientes para su confirmación y registro público epidemiológico.</v>
      </c>
    </row>
    <row r="2466" spans="1:5" x14ac:dyDescent="0.25">
      <c r="A2466">
        <v>2465</v>
      </c>
      <c r="B2466" t="s">
        <v>1559</v>
      </c>
      <c r="C2466">
        <v>0</v>
      </c>
      <c r="D2466" t="str">
        <f t="shared" si="76"/>
        <v>d</v>
      </c>
      <c r="E2466" t="str">
        <f t="shared" si="77"/>
        <v>d) Sólo podrán llevar un registro personalizado de los casos que aparecen siempre que los datos se encuentren informatizados y con clave de acceso secreto y restringido.</v>
      </c>
    </row>
    <row r="2467" spans="1:5" x14ac:dyDescent="0.25">
      <c r="A2467">
        <v>2466</v>
      </c>
      <c r="B2467" s="1" t="s">
        <v>2007</v>
      </c>
      <c r="C2467">
        <v>1</v>
      </c>
      <c r="D2467" t="str">
        <f t="shared" si="76"/>
        <v>A</v>
      </c>
      <c r="E2467" t="str">
        <f t="shared" si="77"/>
        <v>Amalia es una joven sin pareja que vive en Quilmes, tiene cuatro hijos menores de 10 años y acaba de tener un parto prematuro en el Hospital Argerich. Dado que el recién nacido tiene bajo peso y algunos problemas respiratorios debió ser internado en el Servicio de Neonatología donde los horarios de visita son de 8 a 9,30 hs de la mañana y de 13 a 14,30 hs. La restricción de los horarios y el cuidado de los 4 hijos le dificulta la visita all pequeño. Amalia se acerca angustiada al Servicio Social del Hospital para plantear su situación y pedir una ampliación de los horarios de visita. Teniendo en cuenta la Ley 114 de Protección Integral de los Derechos de niños, niñas y adolescentes ¿Cuál es el fundamento de cualquier tipo  de acción o sugerencia?</v>
      </c>
    </row>
    <row r="2468" spans="1:5" x14ac:dyDescent="0.25">
      <c r="A2468">
        <v>2467</v>
      </c>
      <c r="B2468" t="s">
        <v>1560</v>
      </c>
      <c r="C2468">
        <v>0</v>
      </c>
      <c r="D2468" t="str">
        <f t="shared" ref="D2468:D2531" si="78">+MID(B2468,1,1)</f>
        <v>a</v>
      </c>
      <c r="E2468" t="str">
        <f t="shared" si="77"/>
        <v>a) Generar acciones que protejan a los 4 niños que quedan sin cuidado materno.</v>
      </c>
    </row>
    <row r="2469" spans="1:5" x14ac:dyDescent="0.25">
      <c r="A2469">
        <v>2468</v>
      </c>
      <c r="B2469" t="s">
        <v>1561</v>
      </c>
      <c r="C2469">
        <v>0</v>
      </c>
      <c r="D2469" t="str">
        <f t="shared" si="78"/>
        <v>*</v>
      </c>
      <c r="E2469" t="str">
        <f t="shared" si="77"/>
        <v>b) Posibilitar la permanencia del neonato junto con la madre.</v>
      </c>
    </row>
    <row r="2470" spans="1:5" x14ac:dyDescent="0.25">
      <c r="A2470">
        <v>2469</v>
      </c>
      <c r="B2470" t="s">
        <v>1562</v>
      </c>
      <c r="C2470">
        <v>0</v>
      </c>
      <c r="D2470" t="str">
        <f t="shared" si="78"/>
        <v>c</v>
      </c>
      <c r="E2470" t="str">
        <f t="shared" si="77"/>
        <v>c) Restringir el contacto con adultos por posibles gérmenes y bacterias.</v>
      </c>
    </row>
    <row r="2471" spans="1:5" x14ac:dyDescent="0.25">
      <c r="A2471">
        <v>2470</v>
      </c>
      <c r="B2471" t="s">
        <v>1563</v>
      </c>
      <c r="C2471">
        <v>0</v>
      </c>
      <c r="D2471" t="str">
        <f t="shared" si="78"/>
        <v>d</v>
      </c>
      <c r="E2471" t="str">
        <f t="shared" si="77"/>
        <v>d) Subsidiar los traslados de los padres de los niños internados.</v>
      </c>
    </row>
    <row r="2472" spans="1:5" x14ac:dyDescent="0.25">
      <c r="A2472">
        <v>2471</v>
      </c>
      <c r="B2472" t="s">
        <v>2008</v>
      </c>
      <c r="C2472">
        <v>1</v>
      </c>
      <c r="D2472" t="str">
        <f t="shared" si="78"/>
        <v>S</v>
      </c>
      <c r="E2472" t="str">
        <f t="shared" si="77"/>
        <v>Según el Artículo 39 de la Ley Nº23.377 de Ejercicio Profesional, ¿Quiénes estarían en condiciones de ser electores de los órganos del Consejo Profesional de Graduados en Servicio Social o Trabajo Social?</v>
      </c>
    </row>
    <row r="2473" spans="1:5" x14ac:dyDescent="0.25">
      <c r="A2473">
        <v>2472</v>
      </c>
      <c r="B2473" t="s">
        <v>1564</v>
      </c>
      <c r="C2473">
        <v>0</v>
      </c>
      <c r="D2473" t="str">
        <f t="shared" si="78"/>
        <v>a</v>
      </c>
      <c r="E2473" t="str">
        <f t="shared" si="77"/>
        <v>a) Los estudiantes avanzados y los matriculados de las carreras terciarias y universitarias vinculadas al Servicio Social o Trabajo Social.</v>
      </c>
    </row>
    <row r="2474" spans="1:5" x14ac:dyDescent="0.25">
      <c r="A2474">
        <v>2473</v>
      </c>
      <c r="B2474" t="s">
        <v>1565</v>
      </c>
      <c r="C2474">
        <v>0</v>
      </c>
      <c r="D2474" t="str">
        <f t="shared" si="78"/>
        <v>b</v>
      </c>
      <c r="E2474" t="str">
        <f t="shared" si="77"/>
        <v>b) Todos los matriculados que no tengan llamados de atención, multa e incumplimiento de pago de matrícula mayor de dos años.</v>
      </c>
    </row>
    <row r="2475" spans="1:5" x14ac:dyDescent="0.25">
      <c r="A2475">
        <v>2474</v>
      </c>
      <c r="B2475" t="s">
        <v>1566</v>
      </c>
      <c r="C2475">
        <v>0</v>
      </c>
      <c r="D2475" t="str">
        <f t="shared" si="78"/>
        <v>*</v>
      </c>
      <c r="E2475" t="str">
        <f t="shared" si="77"/>
        <v>c) Todos los matriculados que no se hallen cumpliendo sanciones previstas en los incisos d) y e) del artículo 32.</v>
      </c>
    </row>
    <row r="2476" spans="1:5" x14ac:dyDescent="0.25">
      <c r="A2476">
        <v>2475</v>
      </c>
      <c r="B2476" t="s">
        <v>1567</v>
      </c>
      <c r="C2476">
        <v>0</v>
      </c>
      <c r="D2476" t="str">
        <f t="shared" si="78"/>
        <v>d</v>
      </c>
      <c r="E2476" t="str">
        <f t="shared" si="77"/>
        <v>d) Todos los matriculados que tengan mas de un año de matriculación y no sean alcanzados por las sanciones del artículo 31.</v>
      </c>
    </row>
    <row r="2477" spans="1:5" x14ac:dyDescent="0.25">
      <c r="A2477">
        <v>2476</v>
      </c>
      <c r="B2477" s="1" t="s">
        <v>2009</v>
      </c>
      <c r="C2477">
        <v>1</v>
      </c>
      <c r="D2477" t="str">
        <f t="shared" si="78"/>
        <v>L</v>
      </c>
      <c r="E2477" t="str">
        <f t="shared" si="77"/>
        <v>La Ordenanza Nº 40.997/85 (GCBA) del Sistema de Municipal de Residencias del Equipo de Salud, en su artículo 20 refiere la creación de la Subcomisión de Residencias en establecimientos asistenciales de la Municipalidad de Buenos Aires, donde se desarrolla el Sistema Municipal de Residencias del Equipo de Salud. ¿Cómo estará constituída esta comisión?</v>
      </c>
    </row>
    <row r="2478" spans="1:5" x14ac:dyDescent="0.25">
      <c r="A2478">
        <v>2477</v>
      </c>
      <c r="B2478" t="s">
        <v>1568</v>
      </c>
      <c r="C2478">
        <v>0</v>
      </c>
      <c r="D2478" t="str">
        <f t="shared" si="78"/>
        <v>a</v>
      </c>
      <c r="E2478" t="str">
        <f t="shared" si="77"/>
        <v xml:space="preserve">a) Coordinadores de todos los programas de residencias del hospital, los jefes de residentes y un residente representante de cada </v>
      </c>
    </row>
    <row r="2479" spans="1:5" x14ac:dyDescent="0.25">
      <c r="A2479">
        <v>2478</v>
      </c>
      <c r="B2479" t="s">
        <v>1569</v>
      </c>
      <c r="C2479">
        <v>0</v>
      </c>
      <c r="D2479" t="str">
        <f t="shared" si="78"/>
        <v>b</v>
      </c>
      <c r="E2479" t="str">
        <f t="shared" si="77"/>
        <v>b) Director del Hospital, Secretario del Comité de Docencia y Jefes de Residentes de cadauna de las especialidades en el hospital.</v>
      </c>
    </row>
    <row r="2480" spans="1:5" x14ac:dyDescent="0.25">
      <c r="A2480">
        <v>2479</v>
      </c>
      <c r="B2480" t="s">
        <v>1570</v>
      </c>
      <c r="C2480">
        <v>0</v>
      </c>
      <c r="D2480" t="str">
        <f t="shared" si="78"/>
        <v>c</v>
      </c>
      <c r="E2480" t="str">
        <f t="shared" si="77"/>
        <v>c) Residentes y Jefes de residentes.</v>
      </c>
    </row>
    <row r="2481" spans="1:5" x14ac:dyDescent="0.25">
      <c r="A2481">
        <v>2480</v>
      </c>
      <c r="B2481" t="s">
        <v>1571</v>
      </c>
      <c r="C2481">
        <v>0</v>
      </c>
      <c r="D2481" t="str">
        <f t="shared" si="78"/>
        <v>*</v>
      </c>
      <c r="E2481" t="str">
        <f t="shared" si="77"/>
        <v>d) Secretario del Comité de Docencia, cuatro representantes de residentes o jefes de residentes y cuatro coordinadores de programas de residencias.</v>
      </c>
    </row>
    <row r="2482" spans="1:5" x14ac:dyDescent="0.25">
      <c r="A2482">
        <v>2481</v>
      </c>
      <c r="B2482" s="1" t="s">
        <v>2010</v>
      </c>
      <c r="C2482">
        <v>1</v>
      </c>
      <c r="D2482" t="str">
        <f t="shared" si="78"/>
        <v>J</v>
      </c>
      <c r="E2482" t="str">
        <f t="shared" si="77"/>
        <v>Jacinto se realizó una test de VIH en un hospital público del Gobierno de la Ciudad en el Consultorio de HIV-SIDA. Han llegado los resultados del laboratorio al consultorio cuyo resultado es positivo. ¿Cuánto tiempo tienen los profesionales del Consultorio para notificarlo del diagnóstico?</v>
      </c>
    </row>
    <row r="2483" spans="1:5" x14ac:dyDescent="0.25">
      <c r="A2483">
        <v>2482</v>
      </c>
      <c r="B2483" t="s">
        <v>1572</v>
      </c>
      <c r="C2483">
        <v>0</v>
      </c>
      <c r="D2483" t="str">
        <f t="shared" si="78"/>
        <v>a</v>
      </c>
      <c r="E2483" t="str">
        <f t="shared" si="77"/>
        <v>a) Cuando el paciente vuelva a retirar los resultados.</v>
      </c>
    </row>
    <row r="2484" spans="1:5" x14ac:dyDescent="0.25">
      <c r="A2484">
        <v>2483</v>
      </c>
      <c r="B2484" t="s">
        <v>1573</v>
      </c>
      <c r="C2484">
        <v>0</v>
      </c>
      <c r="D2484" t="str">
        <f t="shared" si="78"/>
        <v>*</v>
      </c>
      <c r="E2484" t="str">
        <f t="shared" si="77"/>
        <v>b) Dentro de las 48 hs.</v>
      </c>
    </row>
    <row r="2485" spans="1:5" x14ac:dyDescent="0.25">
      <c r="A2485">
        <v>2484</v>
      </c>
      <c r="B2485" t="s">
        <v>1574</v>
      </c>
      <c r="C2485">
        <v>0</v>
      </c>
      <c r="D2485" t="str">
        <f t="shared" si="78"/>
        <v>c</v>
      </c>
      <c r="E2485" t="str">
        <f t="shared" si="77"/>
        <v>c) En las 72 horas siguientes.</v>
      </c>
    </row>
    <row r="2486" spans="1:5" x14ac:dyDescent="0.25">
      <c r="A2486">
        <v>2485</v>
      </c>
      <c r="B2486" t="s">
        <v>1575</v>
      </c>
      <c r="C2486">
        <v>0</v>
      </c>
      <c r="D2486" t="str">
        <f t="shared" si="78"/>
        <v>d</v>
      </c>
      <c r="E2486" t="str">
        <f t="shared" si="77"/>
        <v>d) No tiene un límite de tiempo.</v>
      </c>
    </row>
    <row r="2487" spans="1:5" x14ac:dyDescent="0.25">
      <c r="A2487">
        <v>2486</v>
      </c>
      <c r="B2487" s="1" t="s">
        <v>2011</v>
      </c>
      <c r="C2487">
        <v>1</v>
      </c>
      <c r="D2487" t="str">
        <f t="shared" si="78"/>
        <v>A</v>
      </c>
      <c r="E2487" t="str">
        <f t="shared" si="77"/>
        <v>Adela, una mujer de 58 años, sin cobertura médica, sin domicilio fijo, a causa del frío de la noche y la falta de alimentación ha sufrido una descompensación aguda en la puerta del Sanatorio Privado Luis Pasteur de la Ciudad de Buenos Aires. Los guardias de seguridad del Sanatorio se debaten entre llamar una ambulancia del SAME o a los médicos de la institución. ¿Qué dice la Ley 153 Básica de Salud de la Ciudad de Buenos Aires frente a situaciones de urgencia?</v>
      </c>
    </row>
    <row r="2488" spans="1:5" x14ac:dyDescent="0.25">
      <c r="A2488">
        <v>2487</v>
      </c>
      <c r="B2488" t="s">
        <v>1576</v>
      </c>
      <c r="C2488">
        <v>0</v>
      </c>
      <c r="D2488" t="str">
        <f t="shared" si="78"/>
        <v>a</v>
      </c>
      <c r="E2488" t="str">
        <f t="shared" si="77"/>
        <v>a) Cada persona será atendida dentro de los efectores del subsector al que esté vinculado en cualquier tipo de situación que acontezca.</v>
      </c>
    </row>
    <row r="2489" spans="1:5" x14ac:dyDescent="0.25">
      <c r="A2489">
        <v>2488</v>
      </c>
      <c r="B2489" t="s">
        <v>1577</v>
      </c>
      <c r="C2489">
        <v>0</v>
      </c>
      <c r="D2489" t="str">
        <f t="shared" si="78"/>
        <v>b</v>
      </c>
      <c r="E2489" t="str">
        <f t="shared" si="77"/>
        <v>b) El primer lugar donde recibirá primeros auxilios una persona en situación de emergencia y sin cobertura de pre paga u obra social, será el hospital público.</v>
      </c>
    </row>
    <row r="2490" spans="1:5" x14ac:dyDescent="0.25">
      <c r="A2490">
        <v>2489</v>
      </c>
      <c r="B2490" t="s">
        <v>1578</v>
      </c>
      <c r="C2490">
        <v>0</v>
      </c>
      <c r="D2490" t="str">
        <f t="shared" si="78"/>
        <v>*</v>
      </c>
      <c r="E2490" t="str">
        <f t="shared" si="77"/>
        <v>c) En caso de urgencia, tiene derecho a recibir los primeros auxilios en el efector más cercano, perteneciente a cualquiera de los subsectores.</v>
      </c>
    </row>
    <row r="2491" spans="1:5" x14ac:dyDescent="0.25">
      <c r="A2491">
        <v>2490</v>
      </c>
      <c r="B2491" t="s">
        <v>1579</v>
      </c>
      <c r="C2491">
        <v>0</v>
      </c>
      <c r="D2491" t="str">
        <f t="shared" si="78"/>
        <v>d</v>
      </c>
      <c r="E2491" t="str">
        <f t="shared" si="77"/>
        <v>d) Las personas sin cobertura médico social podrán ser atendidas, en caso de urgencia, en los sanatorios mas cercanos, siempre que esté conveniado con el subsistema público de salud del GBA.</v>
      </c>
    </row>
    <row r="2492" spans="1:5" x14ac:dyDescent="0.25">
      <c r="A2492">
        <v>2491</v>
      </c>
      <c r="B2492" s="1" t="s">
        <v>2012</v>
      </c>
      <c r="C2492">
        <v>1</v>
      </c>
      <c r="D2492" t="str">
        <f t="shared" si="78"/>
        <v>V</v>
      </c>
      <c r="E2492" t="str">
        <f t="shared" si="77"/>
        <v>Vicente, de 67 años, se encuentra internado desde hace 6 meses en la sala de clínica médica. Padece una enfermedad oncológica, no tiene ningún tipo de ingreso así como tampoco un lugar donde vivir. Posee una red familiar constituída por tres hijos mayores de edad, quienes se encuentran en una buena posición económica; sin embargo los mismos hace un mes que no lo visitan, habiendo manifestado a los médicos que no se harán cargo del cuidado de su padre. Ante esta situación, los profesionales consultan a la trabajadora social, quien considerando la Ley Nº 23.264 responde:</v>
      </c>
    </row>
    <row r="2493" spans="1:5" x14ac:dyDescent="0.25">
      <c r="A2493">
        <v>2492</v>
      </c>
      <c r="B2493" t="s">
        <v>1580</v>
      </c>
      <c r="C2493">
        <v>0</v>
      </c>
      <c r="D2493" t="str">
        <f t="shared" si="78"/>
        <v>a</v>
      </c>
      <c r="E2493" t="str">
        <f t="shared" si="77"/>
        <v>a) El primer hijo de la descendencia está obligado legalmente a atender a sus padres en situación de enfermedad o necesidad.</v>
      </c>
    </row>
    <row r="2494" spans="1:5" x14ac:dyDescent="0.25">
      <c r="A2494">
        <v>2493</v>
      </c>
      <c r="B2494" t="s">
        <v>1581</v>
      </c>
      <c r="C2494">
        <v>0</v>
      </c>
      <c r="D2494" t="str">
        <f t="shared" si="78"/>
        <v>b</v>
      </c>
      <c r="E2494" t="str">
        <f t="shared" si="77"/>
        <v>b) La obligación legal de cuidar a los padres en su ancianidad y en estado de demencia o enfermedad cesa si los hijos tienen su propia descendencia.</v>
      </c>
    </row>
    <row r="2495" spans="1:5" x14ac:dyDescent="0.25">
      <c r="A2495">
        <v>2494</v>
      </c>
      <c r="B2495" t="s">
        <v>1582</v>
      </c>
      <c r="C2495">
        <v>0</v>
      </c>
      <c r="D2495" t="str">
        <f t="shared" si="78"/>
        <v>*</v>
      </c>
      <c r="E2495" t="str">
        <f t="shared" si="77"/>
        <v>c) Los hijos están obligados a cuidar a sus padres en su ancianidad y en estado de demencia o enfermedad y a proveer a sus necesidades.</v>
      </c>
    </row>
    <row r="2496" spans="1:5" x14ac:dyDescent="0.25">
      <c r="A2496">
        <v>2495</v>
      </c>
      <c r="B2496" t="s">
        <v>1583</v>
      </c>
      <c r="C2496">
        <v>0</v>
      </c>
      <c r="D2496" t="str">
        <f t="shared" si="78"/>
        <v>d</v>
      </c>
      <c r="E2496" t="str">
        <f t="shared" si="77"/>
        <v>d) No existe obligación legal de atender a los padres en situación de enfermedad o necesidad.</v>
      </c>
    </row>
    <row r="2497" spans="1:5" x14ac:dyDescent="0.25">
      <c r="A2497">
        <v>2496</v>
      </c>
      <c r="B2497" t="s">
        <v>2013</v>
      </c>
      <c r="C2497">
        <v>1</v>
      </c>
      <c r="D2497" t="str">
        <f t="shared" si="78"/>
        <v>S</v>
      </c>
      <c r="E2497" t="str">
        <f t="shared" si="77"/>
        <v>Según la Ley 153 Básica de Salud, ¿En qué se basa la organización y control de las prestaciones y servicios del subsector estatal que debe contemplar la autoridad de aplicación?</v>
      </c>
    </row>
    <row r="2498" spans="1:5" x14ac:dyDescent="0.25">
      <c r="A2498">
        <v>2497</v>
      </c>
      <c r="B2498" t="s">
        <v>1584</v>
      </c>
      <c r="C2498">
        <v>0</v>
      </c>
      <c r="D2498" t="str">
        <f t="shared" si="78"/>
        <v>a</v>
      </c>
      <c r="E2498" t="str">
        <f t="shared" si="77"/>
        <v>a) En la distribución de los recursos en salud por comunas y área programáticas.</v>
      </c>
    </row>
    <row r="2499" spans="1:5" x14ac:dyDescent="0.25">
      <c r="A2499">
        <v>2498</v>
      </c>
      <c r="B2499" t="s">
        <v>1585</v>
      </c>
      <c r="C2499">
        <v>0</v>
      </c>
      <c r="D2499" t="str">
        <f t="shared" si="78"/>
        <v>b</v>
      </c>
      <c r="E2499" t="str">
        <f t="shared" ref="E2499:E2562" si="79">+IF(D2499="*",MID(B2499,3,500),B2499)</f>
        <v>b) En los criterios de igualdad y equidad en el acceso a la atención de la salud.</v>
      </c>
    </row>
    <row r="2500" spans="1:5" x14ac:dyDescent="0.25">
      <c r="A2500">
        <v>2499</v>
      </c>
      <c r="B2500" t="s">
        <v>1586</v>
      </c>
      <c r="C2500">
        <v>0</v>
      </c>
      <c r="D2500" t="str">
        <f t="shared" si="78"/>
        <v>c</v>
      </c>
      <c r="E2500" t="str">
        <f t="shared" si="79"/>
        <v>c) En los resultados epidemiológicos de la morbimortalidad que presenta la Ciudad.</v>
      </c>
    </row>
    <row r="2501" spans="1:5" x14ac:dyDescent="0.25">
      <c r="A2501">
        <v>2500</v>
      </c>
      <c r="B2501" t="s">
        <v>1587</v>
      </c>
      <c r="C2501">
        <v>0</v>
      </c>
      <c r="D2501" t="str">
        <f t="shared" si="78"/>
        <v>*</v>
      </c>
      <c r="E2501" t="str">
        <f t="shared" si="79"/>
        <v>d) En tres niveles de atención categorizados por capacidades de resolución.</v>
      </c>
    </row>
    <row r="2502" spans="1:5" x14ac:dyDescent="0.25">
      <c r="A2502">
        <f>+A2501+1</f>
        <v>2501</v>
      </c>
      <c r="B2502" t="s">
        <v>2017</v>
      </c>
      <c r="C2502">
        <v>1</v>
      </c>
      <c r="D2502" t="str">
        <f t="shared" si="78"/>
        <v>S</v>
      </c>
      <c r="E2502" t="str">
        <f t="shared" si="79"/>
        <v>Según Franco Basaglia, el problema no es el de la enfermedad en sí, sino determinar el tipo derelación que se establece con el enfermo. De acuerdo a esto, ¿Qué caracteriza la relación de tipomutualista?</v>
      </c>
    </row>
    <row r="2503" spans="1:5" x14ac:dyDescent="0.25">
      <c r="A2503">
        <f t="shared" ref="A2503:A2566" si="80">+A2502+1</f>
        <v>2502</v>
      </c>
      <c r="B2503" t="s">
        <v>2018</v>
      </c>
      <c r="C2503">
        <v>0</v>
      </c>
      <c r="D2503" t="str">
        <f t="shared" si="78"/>
        <v>a</v>
      </c>
      <c r="E2503" t="str">
        <f t="shared" si="79"/>
        <v>a)El aumento vertiginoso del poder puro del médico y la disminución del poder del enfermo.</v>
      </c>
    </row>
    <row r="2504" spans="1:5" x14ac:dyDescent="0.25">
      <c r="A2504">
        <f t="shared" si="80"/>
        <v>2503</v>
      </c>
      <c r="B2504" t="s">
        <v>2019</v>
      </c>
      <c r="C2504">
        <v>0</v>
      </c>
      <c r="D2504" t="str">
        <f t="shared" si="78"/>
        <v>b</v>
      </c>
      <c r="E2504" t="str">
        <f t="shared" si="79"/>
        <v>b)La disminución del poder del médico y el aumento del poder del paciente como resultadode asociación con otros enfermos.</v>
      </c>
    </row>
    <row r="2505" spans="1:5" x14ac:dyDescent="0.25">
      <c r="A2505">
        <f t="shared" si="80"/>
        <v>2504</v>
      </c>
      <c r="B2505" t="s">
        <v>2020</v>
      </c>
      <c r="C2505">
        <v>0</v>
      </c>
      <c r="D2505" t="str">
        <f t="shared" si="78"/>
        <v>c</v>
      </c>
      <c r="E2505" t="str">
        <f t="shared" si="79"/>
        <v>c)La disposición por parte del paciente de un " poder" que oponer al "poder" técnico delmédico con conciencia de su fuerza.</v>
      </c>
    </row>
    <row r="2506" spans="1:5" x14ac:dyDescent="0.25">
      <c r="A2506">
        <f t="shared" si="80"/>
        <v>2505</v>
      </c>
      <c r="B2506" t="s">
        <v>2394</v>
      </c>
      <c r="C2506">
        <v>0</v>
      </c>
      <c r="D2506" t="str">
        <f t="shared" si="78"/>
        <v>*</v>
      </c>
      <c r="E2506" t="str">
        <f t="shared" si="79"/>
        <v>d)La reducción del poder técnico y el aumento del poder arbitrario frente a un aseguradoque no siempre tiene conciencia de su fuerza.</v>
      </c>
    </row>
    <row r="2507" spans="1:5" x14ac:dyDescent="0.25">
      <c r="A2507">
        <f t="shared" si="80"/>
        <v>2506</v>
      </c>
      <c r="B2507" t="s">
        <v>2021</v>
      </c>
      <c r="C2507">
        <v>1</v>
      </c>
      <c r="D2507" t="str">
        <f t="shared" si="78"/>
        <v>S</v>
      </c>
      <c r="E2507" t="str">
        <f t="shared" si="79"/>
        <v>Según Franco Basaglia, el psiquiatra, con sus organizaciones ultramodernas y perfectamenteequipadas, o con teorías lógicas, perpetuaría con el paciente una relación de instrumento ainstrumento donde la reciprocidad seguiría siendo negada sistemáticamente, ¿cómo nomina elautor a dicha relación?</v>
      </c>
    </row>
    <row r="2508" spans="1:5" x14ac:dyDescent="0.25">
      <c r="A2508">
        <f t="shared" si="80"/>
        <v>2507</v>
      </c>
      <c r="B2508" t="s">
        <v>2022</v>
      </c>
      <c r="C2508">
        <v>0</v>
      </c>
      <c r="D2508" t="str">
        <f t="shared" si="78"/>
        <v>a</v>
      </c>
      <c r="E2508" t="str">
        <f t="shared" si="79"/>
        <v>a)Autoritaria.</v>
      </c>
    </row>
    <row r="2509" spans="1:5" x14ac:dyDescent="0.25">
      <c r="A2509">
        <f t="shared" si="80"/>
        <v>2508</v>
      </c>
      <c r="B2509" t="s">
        <v>2023</v>
      </c>
      <c r="C2509">
        <v>0</v>
      </c>
      <c r="D2509" t="str">
        <f t="shared" si="78"/>
        <v>b</v>
      </c>
      <c r="E2509" t="str">
        <f t="shared" si="79"/>
        <v>b)Asimétrica.</v>
      </c>
    </row>
    <row r="2510" spans="1:5" x14ac:dyDescent="0.25">
      <c r="A2510">
        <f t="shared" si="80"/>
        <v>2509</v>
      </c>
      <c r="B2510" t="s">
        <v>2395</v>
      </c>
      <c r="C2510">
        <v>0</v>
      </c>
      <c r="D2510" t="str">
        <f t="shared" si="78"/>
        <v>*</v>
      </c>
      <c r="E2510" t="str">
        <f t="shared" si="79"/>
        <v>c)Metálica.</v>
      </c>
    </row>
    <row r="2511" spans="1:5" x14ac:dyDescent="0.25">
      <c r="A2511">
        <f t="shared" si="80"/>
        <v>2510</v>
      </c>
      <c r="B2511" t="s">
        <v>2024</v>
      </c>
      <c r="C2511">
        <v>0</v>
      </c>
      <c r="D2511" t="str">
        <f t="shared" si="78"/>
        <v>d</v>
      </c>
      <c r="E2511" t="str">
        <f t="shared" si="79"/>
        <v>d)Restrictiva.</v>
      </c>
    </row>
    <row r="2512" spans="1:5" x14ac:dyDescent="0.25">
      <c r="A2512">
        <f t="shared" si="80"/>
        <v>2511</v>
      </c>
      <c r="B2512" t="s">
        <v>2025</v>
      </c>
      <c r="C2512">
        <v>1</v>
      </c>
      <c r="D2512" t="str">
        <f t="shared" si="78"/>
        <v>P</v>
      </c>
      <c r="E2512" t="str">
        <f t="shared" si="79"/>
        <v>Para Bourdieu y Wacquant el principio de la dinámica de un campo radica en la configuraciónparticular de su estructura ¿Qué es lo que produce las diferencias más importantes y definen elcapital específico?</v>
      </c>
    </row>
    <row r="2513" spans="1:5" x14ac:dyDescent="0.25">
      <c r="A2513">
        <f t="shared" si="80"/>
        <v>2512</v>
      </c>
      <c r="B2513" t="s">
        <v>2396</v>
      </c>
      <c r="C2513">
        <v>0</v>
      </c>
      <c r="D2513" t="str">
        <f t="shared" si="78"/>
        <v>*</v>
      </c>
      <c r="E2513" t="str">
        <f t="shared" si="79"/>
        <v>a)Las fuerzas que son activas en el campo.</v>
      </c>
    </row>
    <row r="2514" spans="1:5" x14ac:dyDescent="0.25">
      <c r="A2514">
        <f t="shared" si="80"/>
        <v>2513</v>
      </c>
      <c r="B2514" t="s">
        <v>2026</v>
      </c>
      <c r="C2514">
        <v>0</v>
      </c>
      <c r="D2514" t="str">
        <f t="shared" si="78"/>
        <v>b</v>
      </c>
      <c r="E2514" t="str">
        <f t="shared" si="79"/>
        <v>b)Las fuerzas potenciales en tanto el campo es un campo de lucha.</v>
      </c>
    </row>
    <row r="2515" spans="1:5" x14ac:dyDescent="0.25">
      <c r="A2515">
        <f t="shared" si="80"/>
        <v>2514</v>
      </c>
      <c r="B2515" t="s">
        <v>2027</v>
      </c>
      <c r="C2515">
        <v>0</v>
      </c>
      <c r="D2515" t="str">
        <f t="shared" si="78"/>
        <v>c</v>
      </c>
      <c r="E2515" t="str">
        <f t="shared" si="79"/>
        <v>c)Las regularidades y las reglas de un campo particular.</v>
      </c>
    </row>
    <row r="2516" spans="1:5" x14ac:dyDescent="0.25">
      <c r="A2516">
        <f t="shared" si="80"/>
        <v>2515</v>
      </c>
      <c r="B2516" t="s">
        <v>2028</v>
      </c>
      <c r="C2516">
        <v>0</v>
      </c>
      <c r="D2516" t="str">
        <f t="shared" si="78"/>
        <v>d</v>
      </c>
      <c r="E2516" t="str">
        <f t="shared" si="79"/>
        <v>d)La distribución de los instrumentos incorporados a un espacio</v>
      </c>
    </row>
    <row r="2517" spans="1:5" x14ac:dyDescent="0.25">
      <c r="A2517">
        <f t="shared" si="80"/>
        <v>2516</v>
      </c>
      <c r="B2517" t="s">
        <v>2029</v>
      </c>
      <c r="C2517">
        <v>1</v>
      </c>
      <c r="D2517" t="str">
        <f t="shared" si="78"/>
        <v>S</v>
      </c>
      <c r="E2517" t="str">
        <f t="shared" si="79"/>
        <v>Según Alfredo Carballeda, en "El Trabajo Social desde una mirada histórica", ¿por qué secaracterizó la biopolítica a partir del S XVIII ?</v>
      </c>
    </row>
    <row r="2518" spans="1:5" x14ac:dyDescent="0.25">
      <c r="A2518">
        <f t="shared" si="80"/>
        <v>2517</v>
      </c>
      <c r="B2518" t="s">
        <v>2030</v>
      </c>
      <c r="C2518">
        <v>0</v>
      </c>
      <c r="D2518" t="str">
        <f t="shared" si="78"/>
        <v>a</v>
      </c>
      <c r="E2518" t="str">
        <f t="shared" si="79"/>
        <v>a)Por desarrollar estrategias de coerción individual a través de dispositivos colectivos.</v>
      </c>
    </row>
    <row r="2519" spans="1:5" x14ac:dyDescent="0.25">
      <c r="A2519">
        <f t="shared" si="80"/>
        <v>2518</v>
      </c>
      <c r="B2519" t="s">
        <v>2397</v>
      </c>
      <c r="C2519">
        <v>0</v>
      </c>
      <c r="D2519" t="str">
        <f t="shared" si="78"/>
        <v>*</v>
      </c>
      <c r="E2519" t="str">
        <f t="shared" si="79"/>
        <v>b)Por actuar sobre los cuerpos individuales pero afectando a la multiplicidad de loshombres.</v>
      </c>
    </row>
    <row r="2520" spans="1:5" x14ac:dyDescent="0.25">
      <c r="A2520">
        <f t="shared" si="80"/>
        <v>2519</v>
      </c>
      <c r="B2520" t="s">
        <v>2031</v>
      </c>
      <c r="C2520">
        <v>0</v>
      </c>
      <c r="D2520" t="str">
        <f t="shared" si="78"/>
        <v>c</v>
      </c>
      <c r="E2520" t="str">
        <f t="shared" si="79"/>
        <v>c)Por el control ejercido sobre las masas en forma legitimada desde el positivismo.</v>
      </c>
    </row>
    <row r="2521" spans="1:5" x14ac:dyDescent="0.25">
      <c r="A2521">
        <f t="shared" si="80"/>
        <v>2520</v>
      </c>
      <c r="B2521" t="s">
        <v>2032</v>
      </c>
      <c r="C2521">
        <v>0</v>
      </c>
      <c r="D2521" t="str">
        <f t="shared" si="78"/>
        <v>d</v>
      </c>
      <c r="E2521" t="str">
        <f t="shared" si="79"/>
        <v>d)Por el poder ejercido sobre el pueblo teniendo en cuenta la sumatoria de individuoscontrolados.</v>
      </c>
    </row>
    <row r="2522" spans="1:5" x14ac:dyDescent="0.25">
      <c r="A2522">
        <f t="shared" si="80"/>
        <v>2521</v>
      </c>
      <c r="B2522" t="s">
        <v>2033</v>
      </c>
      <c r="C2522">
        <v>1</v>
      </c>
      <c r="D2522" t="str">
        <f t="shared" si="78"/>
        <v>P</v>
      </c>
      <c r="E2522" t="str">
        <f t="shared" si="79"/>
        <v>Para Alfredo Carballeda ¿a partir de qué esferas desarrolladas por el Trabajo Social durante losúltimos años, se construye una nueva forma de intervención relacionada con la nueva cuestiónsocial?</v>
      </c>
    </row>
    <row r="2523" spans="1:5" x14ac:dyDescent="0.25">
      <c r="A2523">
        <f t="shared" si="80"/>
        <v>2522</v>
      </c>
      <c r="B2523" t="s">
        <v>2034</v>
      </c>
      <c r="C2523">
        <v>0</v>
      </c>
      <c r="D2523" t="str">
        <f t="shared" si="78"/>
        <v>a</v>
      </c>
      <c r="E2523" t="str">
        <f t="shared" si="79"/>
        <v>a)El diálogo, la atención, la promoción.</v>
      </c>
    </row>
    <row r="2524" spans="1:5" x14ac:dyDescent="0.25">
      <c r="A2524">
        <f t="shared" si="80"/>
        <v>2523</v>
      </c>
      <c r="B2524" t="s">
        <v>2035</v>
      </c>
      <c r="C2524">
        <v>0</v>
      </c>
      <c r="D2524" t="str">
        <f t="shared" si="78"/>
        <v>b</v>
      </c>
      <c r="E2524" t="str">
        <f t="shared" si="79"/>
        <v>b)La entrevista, la comprensión activa, la educación.</v>
      </c>
    </row>
    <row r="2525" spans="1:5" x14ac:dyDescent="0.25">
      <c r="A2525">
        <f t="shared" si="80"/>
        <v>2524</v>
      </c>
      <c r="B2525" t="s">
        <v>2036</v>
      </c>
      <c r="C2525">
        <v>0</v>
      </c>
      <c r="D2525" t="str">
        <f t="shared" si="78"/>
        <v>c</v>
      </c>
      <c r="E2525" t="str">
        <f t="shared" si="79"/>
        <v>c)La observación, la interpelación, la transformación.</v>
      </c>
    </row>
    <row r="2526" spans="1:5" x14ac:dyDescent="0.25">
      <c r="A2526">
        <f t="shared" si="80"/>
        <v>2525</v>
      </c>
      <c r="B2526" t="s">
        <v>2398</v>
      </c>
      <c r="C2526">
        <v>0</v>
      </c>
      <c r="D2526" t="str">
        <f t="shared" si="78"/>
        <v>*</v>
      </c>
      <c r="E2526" t="str">
        <f t="shared" si="79"/>
        <v>d)La palabra, la mirada, la escucha.</v>
      </c>
    </row>
    <row r="2527" spans="1:5" x14ac:dyDescent="0.25">
      <c r="A2527">
        <f t="shared" si="80"/>
        <v>2526</v>
      </c>
      <c r="B2527" t="s">
        <v>2037</v>
      </c>
      <c r="C2527">
        <v>1</v>
      </c>
      <c r="D2527" t="str">
        <f t="shared" si="78"/>
        <v>S</v>
      </c>
      <c r="E2527" t="str">
        <f t="shared" si="79"/>
        <v>Según Alfredo Carballeda ¿qué cuestiones atraviesan a las instituciones de las últimas décadas delSiglo XIX y las primeras del Siglo XX, marcando con claridad la intervención en lo social desde unadeterminada modalidad?</v>
      </c>
    </row>
    <row r="2528" spans="1:5" x14ac:dyDescent="0.25">
      <c r="A2528">
        <f t="shared" si="80"/>
        <v>2527</v>
      </c>
      <c r="B2528" t="s">
        <v>2399</v>
      </c>
      <c r="C2528">
        <v>0</v>
      </c>
      <c r="D2528" t="str">
        <f t="shared" si="78"/>
        <v>*</v>
      </c>
      <c r="E2528" t="str">
        <f t="shared" si="79"/>
        <v>a)Anomia, conflicto social y disciplinamiento.</v>
      </c>
    </row>
    <row r="2529" spans="1:5" x14ac:dyDescent="0.25">
      <c r="A2529">
        <f t="shared" si="80"/>
        <v>2528</v>
      </c>
      <c r="B2529" t="s">
        <v>2038</v>
      </c>
      <c r="C2529">
        <v>0</v>
      </c>
      <c r="D2529" t="str">
        <f t="shared" si="78"/>
        <v>b</v>
      </c>
      <c r="E2529" t="str">
        <f t="shared" si="79"/>
        <v>b)Aislamiento, vigilancia y control social.</v>
      </c>
    </row>
    <row r="2530" spans="1:5" x14ac:dyDescent="0.25">
      <c r="A2530">
        <f t="shared" si="80"/>
        <v>2529</v>
      </c>
      <c r="B2530" t="s">
        <v>2039</v>
      </c>
      <c r="C2530">
        <v>0</v>
      </c>
      <c r="D2530" t="str">
        <f t="shared" si="78"/>
        <v>c</v>
      </c>
      <c r="E2530" t="str">
        <f t="shared" si="79"/>
        <v>c)Caos, desprotección y violencia.</v>
      </c>
    </row>
    <row r="2531" spans="1:5" x14ac:dyDescent="0.25">
      <c r="A2531">
        <f t="shared" si="80"/>
        <v>2530</v>
      </c>
      <c r="B2531" t="s">
        <v>2040</v>
      </c>
      <c r="C2531">
        <v>0</v>
      </c>
      <c r="D2531" t="str">
        <f t="shared" si="78"/>
        <v>d</v>
      </c>
      <c r="E2531" t="str">
        <f t="shared" si="79"/>
        <v>d)Orden, progreso y moral.</v>
      </c>
    </row>
    <row r="2532" spans="1:5" x14ac:dyDescent="0.25">
      <c r="A2532">
        <f t="shared" si="80"/>
        <v>2531</v>
      </c>
      <c r="B2532" t="s">
        <v>2041</v>
      </c>
      <c r="C2532">
        <v>1</v>
      </c>
      <c r="D2532" t="str">
        <f t="shared" ref="D2532:D2595" si="81">+MID(B2532,1,1)</f>
        <v>¿</v>
      </c>
      <c r="E2532" t="str">
        <f t="shared" si="79"/>
        <v>¿Cuáles son, según Danani, las políticas que regulan directamente los ingresos del capital y sedesenvuelven principalmente en la esfera de la distribución primaria?</v>
      </c>
    </row>
    <row r="2533" spans="1:5" x14ac:dyDescent="0.25">
      <c r="A2533">
        <f t="shared" si="80"/>
        <v>2532</v>
      </c>
      <c r="B2533" t="s">
        <v>2042</v>
      </c>
      <c r="C2533">
        <v>0</v>
      </c>
      <c r="D2533" t="str">
        <f t="shared" si="81"/>
        <v>a</v>
      </c>
      <c r="E2533" t="str">
        <f t="shared" si="79"/>
        <v>a)Culturales.</v>
      </c>
    </row>
    <row r="2534" spans="1:5" x14ac:dyDescent="0.25">
      <c r="A2534">
        <f t="shared" si="80"/>
        <v>2533</v>
      </c>
      <c r="B2534" t="s">
        <v>2043</v>
      </c>
      <c r="C2534">
        <v>0</v>
      </c>
      <c r="D2534" t="str">
        <f t="shared" si="81"/>
        <v>b</v>
      </c>
      <c r="E2534" t="str">
        <f t="shared" si="79"/>
        <v>b)Económicas.</v>
      </c>
    </row>
    <row r="2535" spans="1:5" x14ac:dyDescent="0.25">
      <c r="A2535">
        <f t="shared" si="80"/>
        <v>2534</v>
      </c>
      <c r="B2535" t="s">
        <v>2400</v>
      </c>
      <c r="C2535">
        <v>0</v>
      </c>
      <c r="D2535" t="str">
        <f t="shared" si="81"/>
        <v>*</v>
      </c>
      <c r="E2535" t="str">
        <f t="shared" si="79"/>
        <v>c)Laborales.</v>
      </c>
    </row>
    <row r="2536" spans="1:5" x14ac:dyDescent="0.25">
      <c r="A2536">
        <f t="shared" si="80"/>
        <v>2535</v>
      </c>
      <c r="B2536" t="s">
        <v>2044</v>
      </c>
      <c r="C2536">
        <v>0</v>
      </c>
      <c r="D2536" t="str">
        <f t="shared" si="81"/>
        <v>d</v>
      </c>
      <c r="E2536" t="str">
        <f t="shared" si="79"/>
        <v>d)Sociales.</v>
      </c>
    </row>
    <row r="2537" spans="1:5" x14ac:dyDescent="0.25">
      <c r="A2537">
        <f t="shared" si="80"/>
        <v>2536</v>
      </c>
      <c r="B2537" t="s">
        <v>2045</v>
      </c>
      <c r="C2537">
        <v>1</v>
      </c>
      <c r="D2537" t="str">
        <f t="shared" si="81"/>
        <v>¿</v>
      </c>
      <c r="E2537" t="str">
        <f t="shared" si="79"/>
        <v>¿Como denomina Anthony Giddens a uno de los comportamientos básicos de presencia que se daen los encuentros con extraños en las circunstancias de la modernidad?</v>
      </c>
    </row>
    <row r="2538" spans="1:5" x14ac:dyDescent="0.25">
      <c r="A2538">
        <f t="shared" si="80"/>
        <v>2537</v>
      </c>
      <c r="B2538" t="s">
        <v>2046</v>
      </c>
      <c r="C2538">
        <v>0</v>
      </c>
      <c r="D2538" t="str">
        <f t="shared" si="81"/>
        <v>a</v>
      </c>
      <c r="E2538" t="str">
        <f t="shared" si="79"/>
        <v>a)Conexión de acceso.</v>
      </c>
    </row>
    <row r="2539" spans="1:5" x14ac:dyDescent="0.25">
      <c r="A2539">
        <f t="shared" si="80"/>
        <v>2538</v>
      </c>
      <c r="B2539" t="s">
        <v>2401</v>
      </c>
      <c r="C2539">
        <v>0</v>
      </c>
      <c r="D2539" t="str">
        <f t="shared" si="81"/>
        <v>*</v>
      </c>
      <c r="E2539" t="str">
        <f t="shared" si="79"/>
        <v>b)Desatención cortes.</v>
      </c>
    </row>
    <row r="2540" spans="1:5" x14ac:dyDescent="0.25">
      <c r="A2540">
        <f t="shared" si="80"/>
        <v>2539</v>
      </c>
      <c r="B2540" t="s">
        <v>2047</v>
      </c>
      <c r="C2540">
        <v>0</v>
      </c>
      <c r="D2540" t="str">
        <f t="shared" si="81"/>
        <v>c</v>
      </c>
      <c r="E2540" t="str">
        <f t="shared" si="79"/>
        <v>c)Interacción informal.</v>
      </c>
    </row>
    <row r="2541" spans="1:5" x14ac:dyDescent="0.25">
      <c r="A2541">
        <f t="shared" si="80"/>
        <v>2540</v>
      </c>
      <c r="B2541" t="s">
        <v>2048</v>
      </c>
      <c r="C2541">
        <v>0</v>
      </c>
      <c r="D2541" t="str">
        <f t="shared" si="81"/>
        <v>d</v>
      </c>
      <c r="E2541" t="str">
        <f t="shared" si="79"/>
        <v>d)Interaccion formal.</v>
      </c>
    </row>
    <row r="2542" spans="1:5" x14ac:dyDescent="0.25">
      <c r="A2542">
        <f t="shared" si="80"/>
        <v>2541</v>
      </c>
      <c r="B2542" t="s">
        <v>2049</v>
      </c>
      <c r="C2542">
        <v>1</v>
      </c>
      <c r="D2542" t="str">
        <f t="shared" si="81"/>
        <v>E</v>
      </c>
      <c r="E2542" t="str">
        <f t="shared" si="79"/>
        <v>En el texto "Servicio Social: Identidad y alienación", según Martinelli ¿Con qué fin habría sidodesarrollada y engendrada la profesion del servicio social?</v>
      </c>
    </row>
    <row r="2543" spans="1:5" x14ac:dyDescent="0.25">
      <c r="A2543">
        <f t="shared" si="80"/>
        <v>2542</v>
      </c>
      <c r="B2543" t="s">
        <v>2050</v>
      </c>
      <c r="C2543">
        <v>0</v>
      </c>
      <c r="D2543" t="str">
        <f t="shared" si="81"/>
        <v>a</v>
      </c>
      <c r="E2543" t="str">
        <f t="shared" si="79"/>
        <v>a)Como una de las formas de beneficencia desarrollada por la Iglesia para el control moralde sus fieles.</v>
      </c>
    </row>
    <row r="2544" spans="1:5" x14ac:dyDescent="0.25">
      <c r="A2544">
        <f t="shared" si="80"/>
        <v>2543</v>
      </c>
      <c r="B2544" t="s">
        <v>2051</v>
      </c>
      <c r="C2544">
        <v>0</v>
      </c>
      <c r="D2544" t="str">
        <f t="shared" si="81"/>
        <v>b</v>
      </c>
      <c r="E2544" t="str">
        <f t="shared" si="79"/>
        <v>b)Como una estrategia de disciplinamiento cultural higienista al interior de las familiasacorde a las teorías positivistas de la época.</v>
      </c>
    </row>
    <row r="2545" spans="1:5" x14ac:dyDescent="0.25">
      <c r="A2545">
        <f t="shared" si="80"/>
        <v>2544</v>
      </c>
      <c r="B2545" t="s">
        <v>2402</v>
      </c>
      <c r="C2545">
        <v>0</v>
      </c>
      <c r="D2545" t="str">
        <f t="shared" si="81"/>
        <v>*</v>
      </c>
      <c r="E2545" t="str">
        <f t="shared" si="79"/>
        <v>c)Como una importante estrategia de control social para garantizarle la efectividad ypermanencia histórica.</v>
      </c>
    </row>
    <row r="2546" spans="1:5" x14ac:dyDescent="0.25">
      <c r="A2546">
        <f t="shared" si="80"/>
        <v>2545</v>
      </c>
      <c r="B2546" t="s">
        <v>2052</v>
      </c>
      <c r="C2546">
        <v>0</v>
      </c>
      <c r="D2546" t="str">
        <f t="shared" si="81"/>
        <v>d</v>
      </c>
      <c r="E2546" t="str">
        <f t="shared" si="79"/>
        <v>d)Como una forma evolucionada de la caridad y la beneficencia desarrollada a lo largo delSiglo XVIII para influir en la conducta de la población pobre.</v>
      </c>
    </row>
    <row r="2547" spans="1:5" x14ac:dyDescent="0.25">
      <c r="A2547">
        <f t="shared" si="80"/>
        <v>2546</v>
      </c>
      <c r="B2547" t="s">
        <v>2053</v>
      </c>
      <c r="C2547">
        <v>1</v>
      </c>
      <c r="D2547" t="str">
        <f t="shared" si="81"/>
        <v>S</v>
      </c>
      <c r="E2547" t="str">
        <f t="shared" si="79"/>
        <v>Según Martinelli en el texto "Servicio Social: Identidad y alienación", la burguesía en los finales delSiglo XIX e inicio del Siglo XX se sentía amenazada por la cuestión social que se expresaba deforma contundente a través de dos faces: la política, representada por el avance del movimientode los trabajadores y ¿por cuál otra?</v>
      </c>
    </row>
    <row r="2548" spans="1:5" x14ac:dyDescent="0.25">
      <c r="A2548">
        <f t="shared" si="80"/>
        <v>2547</v>
      </c>
      <c r="B2548" t="s">
        <v>2054</v>
      </c>
      <c r="C2548">
        <v>0</v>
      </c>
      <c r="D2548" t="str">
        <f t="shared" si="81"/>
        <v>a</v>
      </c>
      <c r="E2548" t="str">
        <f t="shared" si="79"/>
        <v>a)La económica, representada por las fluctuaciones del mercado capitalista.</v>
      </c>
    </row>
    <row r="2549" spans="1:5" x14ac:dyDescent="0.25">
      <c r="A2549">
        <f t="shared" si="80"/>
        <v>2548</v>
      </c>
      <c r="B2549" t="s">
        <v>2055</v>
      </c>
      <c r="C2549">
        <v>0</v>
      </c>
      <c r="D2549" t="str">
        <f t="shared" si="81"/>
        <v>b</v>
      </c>
      <c r="E2549" t="str">
        <f t="shared" si="79"/>
        <v>b)La histórica, representada por las permanentes y continuas luchas obreras surgidas alcalor de la contradicción capital-trabajo</v>
      </c>
    </row>
    <row r="2550" spans="1:5" x14ac:dyDescent="0.25">
      <c r="A2550">
        <f t="shared" si="80"/>
        <v>2549</v>
      </c>
      <c r="B2550" t="s">
        <v>2056</v>
      </c>
      <c r="C2550">
        <v>0</v>
      </c>
      <c r="D2550" t="str">
        <f t="shared" si="81"/>
        <v>c</v>
      </c>
      <c r="E2550" t="str">
        <f t="shared" si="79"/>
        <v>c)La migratoria, representada por los grandes movimientos poblacionales del campo a laciudad, que generaban la superpoblación en las grandes ciudades.</v>
      </c>
    </row>
    <row r="2551" spans="1:5" x14ac:dyDescent="0.25">
      <c r="A2551">
        <f t="shared" si="80"/>
        <v>2550</v>
      </c>
      <c r="B2551" t="s">
        <v>2403</v>
      </c>
      <c r="C2551">
        <v>0</v>
      </c>
      <c r="D2551" t="str">
        <f t="shared" si="81"/>
        <v>*</v>
      </c>
      <c r="E2551" t="str">
        <f t="shared" si="79"/>
        <v>d)La social, representada por la acumulación de la pobreza, por la generalización de lamiseria.</v>
      </c>
    </row>
    <row r="2552" spans="1:5" x14ac:dyDescent="0.25">
      <c r="A2552">
        <f t="shared" si="80"/>
        <v>2551</v>
      </c>
      <c r="B2552" t="s">
        <v>2057</v>
      </c>
      <c r="C2552">
        <v>1</v>
      </c>
      <c r="D2552" t="str">
        <f t="shared" si="81"/>
        <v>S</v>
      </c>
      <c r="E2552" t="str">
        <f t="shared" si="79"/>
        <v>Según Andrea Oliva, Di Liscia refiere que la creación de las visitadoras responde a la lógica detransmitir los preceptos de la higiene a los pobres urbanos. ¿De qué manera?</v>
      </c>
    </row>
    <row r="2553" spans="1:5" x14ac:dyDescent="0.25">
      <c r="A2553">
        <f t="shared" si="80"/>
        <v>2552</v>
      </c>
      <c r="B2553" t="s">
        <v>2058</v>
      </c>
      <c r="C2553">
        <v>0</v>
      </c>
      <c r="D2553" t="str">
        <f t="shared" si="81"/>
        <v>a</v>
      </c>
      <c r="E2553" t="str">
        <f t="shared" si="79"/>
        <v>a)Convenciendo a cada familia de readecuar las condiciones de su hogar.</v>
      </c>
    </row>
    <row r="2554" spans="1:5" x14ac:dyDescent="0.25">
      <c r="A2554">
        <f t="shared" si="80"/>
        <v>2553</v>
      </c>
      <c r="B2554" t="s">
        <v>2404</v>
      </c>
      <c r="C2554">
        <v>0</v>
      </c>
      <c r="D2554" t="str">
        <f t="shared" si="81"/>
        <v>*</v>
      </c>
      <c r="E2554" t="str">
        <f t="shared" si="79"/>
        <v>b)Ejerciendo influencia directa en los hogares, utilizando el vínculo como recurso.</v>
      </c>
    </row>
    <row r="2555" spans="1:5" x14ac:dyDescent="0.25">
      <c r="A2555">
        <f t="shared" si="80"/>
        <v>2554</v>
      </c>
      <c r="B2555" t="s">
        <v>2059</v>
      </c>
      <c r="C2555">
        <v>0</v>
      </c>
      <c r="D2555" t="str">
        <f t="shared" si="81"/>
        <v>c</v>
      </c>
      <c r="E2555" t="str">
        <f t="shared" si="79"/>
        <v>c)Invirtiendo en equipamientos colectivos y subsidios familiares.</v>
      </c>
    </row>
    <row r="2556" spans="1:5" x14ac:dyDescent="0.25">
      <c r="A2556">
        <f t="shared" si="80"/>
        <v>2555</v>
      </c>
      <c r="B2556" t="s">
        <v>2060</v>
      </c>
      <c r="C2556">
        <v>0</v>
      </c>
      <c r="D2556" t="str">
        <f t="shared" si="81"/>
        <v>d</v>
      </c>
      <c r="E2556" t="str">
        <f t="shared" si="79"/>
        <v>d)Organizando estrategias de prevención al interior de la familia.</v>
      </c>
    </row>
    <row r="2557" spans="1:5" x14ac:dyDescent="0.25">
      <c r="A2557">
        <f t="shared" si="80"/>
        <v>2556</v>
      </c>
      <c r="B2557" t="s">
        <v>2061</v>
      </c>
      <c r="C2557">
        <v>1</v>
      </c>
      <c r="D2557" t="str">
        <f t="shared" si="81"/>
        <v>A</v>
      </c>
      <c r="E2557" t="str">
        <f t="shared" si="79"/>
        <v>Andrea Oliva recurre al autor Topalov para explicar el proceso por el cual el Estado emergecumpliendo un papel fundamental en la cobertura de necesidades disociadas del salario medianteel financiamiento público de equipamientos de uso colectivo. ¿Porqué afirma el autor que elfinanciamiento público nace de las contradicciones de base económica y sus formas concretas sonmuy variables?</v>
      </c>
    </row>
    <row r="2558" spans="1:5" x14ac:dyDescent="0.25">
      <c r="A2558">
        <f t="shared" si="80"/>
        <v>2557</v>
      </c>
      <c r="B2558" t="s">
        <v>2062</v>
      </c>
      <c r="C2558">
        <v>0</v>
      </c>
      <c r="D2558" t="str">
        <f t="shared" si="81"/>
        <v>a</v>
      </c>
      <c r="E2558" t="str">
        <f t="shared" si="79"/>
        <v>a)Porque deben cubrir necesidades diversas de la población trabajadora.</v>
      </c>
    </row>
    <row r="2559" spans="1:5" x14ac:dyDescent="0.25">
      <c r="A2559">
        <f t="shared" si="80"/>
        <v>2558</v>
      </c>
      <c r="B2559" t="s">
        <v>2063</v>
      </c>
      <c r="C2559">
        <v>0</v>
      </c>
      <c r="D2559" t="str">
        <f t="shared" si="81"/>
        <v>b</v>
      </c>
      <c r="E2559" t="str">
        <f t="shared" si="79"/>
        <v>b)Porque el capital necesita mano de obra pero no puede cubrir los costos reales de sureproducción.</v>
      </c>
    </row>
    <row r="2560" spans="1:5" x14ac:dyDescent="0.25">
      <c r="A2560">
        <f t="shared" si="80"/>
        <v>2559</v>
      </c>
      <c r="B2560" t="s">
        <v>2064</v>
      </c>
      <c r="C2560">
        <v>0</v>
      </c>
      <c r="D2560" t="str">
        <f t="shared" si="81"/>
        <v>c</v>
      </c>
      <c r="E2560" t="str">
        <f t="shared" si="79"/>
        <v>c)Porque son las pujas del capital concentrado y las luchas de poder.</v>
      </c>
    </row>
    <row r="2561" spans="1:5" x14ac:dyDescent="0.25">
      <c r="A2561">
        <f t="shared" si="80"/>
        <v>2560</v>
      </c>
      <c r="B2561" t="s">
        <v>2405</v>
      </c>
      <c r="C2561">
        <v>0</v>
      </c>
      <c r="D2561" t="str">
        <f t="shared" si="81"/>
        <v>*</v>
      </c>
      <c r="E2561" t="str">
        <f t="shared" si="79"/>
        <v>d)Porque son el resultado de la lucha de clases y de las particulares relaciones políticas.</v>
      </c>
    </row>
    <row r="2562" spans="1:5" x14ac:dyDescent="0.25">
      <c r="A2562">
        <f t="shared" si="80"/>
        <v>2561</v>
      </c>
      <c r="B2562" t="s">
        <v>2065</v>
      </c>
      <c r="C2562">
        <v>1</v>
      </c>
      <c r="D2562" t="str">
        <f t="shared" si="81"/>
        <v>S</v>
      </c>
      <c r="E2562" t="str">
        <f t="shared" si="79"/>
        <v>Según la autora Andrea Oliva, tanto la vivienda popular como los servicios de enseñanza y desalud son bienes y servicios que no responden a las necesidades inmediatas, uniformes yfraccionales de los trabajadores y donde la aparición del Estado es clave para su desarrollo. Enmateria de salud pública, ¿cuándo se institucionaliza la intervención del Estado?</v>
      </c>
    </row>
    <row r="2563" spans="1:5" x14ac:dyDescent="0.25">
      <c r="A2563">
        <f t="shared" si="80"/>
        <v>2562</v>
      </c>
      <c r="B2563" t="s">
        <v>2066</v>
      </c>
      <c r="C2563">
        <v>0</v>
      </c>
      <c r="D2563" t="str">
        <f t="shared" si="81"/>
        <v>a</v>
      </c>
      <c r="E2563" t="str">
        <f t="shared" ref="E2563:E2626" si="82">+IF(D2563="*",MID(B2563,3,500),B2563)</f>
        <v>a)En 1880 con la creación por Ley del Departamento de Higiene.</v>
      </c>
    </row>
    <row r="2564" spans="1:5" x14ac:dyDescent="0.25">
      <c r="A2564">
        <f t="shared" si="80"/>
        <v>2563</v>
      </c>
      <c r="B2564" t="s">
        <v>2406</v>
      </c>
      <c r="C2564">
        <v>0</v>
      </c>
      <c r="D2564" t="str">
        <f t="shared" si="81"/>
        <v>*</v>
      </c>
      <c r="E2564" t="str">
        <f t="shared" si="82"/>
        <v>b)En 1883 con la creación de la Asistencia Pública en la ciudad de Buenos Aires.</v>
      </c>
    </row>
    <row r="2565" spans="1:5" x14ac:dyDescent="0.25">
      <c r="A2565">
        <f t="shared" si="80"/>
        <v>2564</v>
      </c>
      <c r="B2565" t="s">
        <v>2067</v>
      </c>
      <c r="C2565">
        <v>0</v>
      </c>
      <c r="D2565" t="str">
        <f t="shared" si="81"/>
        <v>c</v>
      </c>
      <c r="E2565" t="str">
        <f t="shared" si="82"/>
        <v>c)En 1906 con la creación de la Comisión Asesora de Asilos y Hospitales Regionales.</v>
      </c>
    </row>
    <row r="2566" spans="1:5" x14ac:dyDescent="0.25">
      <c r="A2566">
        <f t="shared" si="80"/>
        <v>2565</v>
      </c>
      <c r="B2566" t="s">
        <v>2068</v>
      </c>
      <c r="C2566">
        <v>0</v>
      </c>
      <c r="D2566" t="str">
        <f t="shared" si="81"/>
        <v>d</v>
      </c>
      <c r="E2566" t="str">
        <f t="shared" si="82"/>
        <v>d)En 1909 con la creación de la Sociedad Asistencia a domicilio de enfermos pobres.</v>
      </c>
    </row>
    <row r="2567" spans="1:5" x14ac:dyDescent="0.25">
      <c r="A2567">
        <f t="shared" ref="A2567:A2630" si="83">+A2566+1</f>
        <v>2566</v>
      </c>
      <c r="B2567" t="s">
        <v>2069</v>
      </c>
      <c r="C2567">
        <v>1</v>
      </c>
      <c r="D2567" t="str">
        <f t="shared" si="81"/>
        <v>S</v>
      </c>
      <c r="E2567" t="str">
        <f t="shared" si="82"/>
        <v>Según Sonia Fleury en "Estado sin ciudadanos" ¿Cómo se denomina al modelo de política socialque a través de una acción gubernamental centralizada y unificada, procura garantizar a latotalidad de los ciudadanos, un mínimo vital en términos de renta, bienes y servicios?:</v>
      </c>
    </row>
    <row r="2568" spans="1:5" x14ac:dyDescent="0.25">
      <c r="A2568">
        <f t="shared" si="83"/>
        <v>2567</v>
      </c>
      <c r="B2568" t="s">
        <v>2070</v>
      </c>
      <c r="C2568">
        <v>0</v>
      </c>
      <c r="D2568" t="str">
        <f t="shared" si="81"/>
        <v>a</v>
      </c>
      <c r="E2568" t="str">
        <f t="shared" si="82"/>
        <v>a)Acción social.</v>
      </c>
    </row>
    <row r="2569" spans="1:5" x14ac:dyDescent="0.25">
      <c r="A2569">
        <f t="shared" si="83"/>
        <v>2568</v>
      </c>
      <c r="B2569" t="s">
        <v>2071</v>
      </c>
      <c r="C2569">
        <v>0</v>
      </c>
      <c r="D2569" t="str">
        <f t="shared" si="81"/>
        <v>b</v>
      </c>
      <c r="E2569" t="str">
        <f t="shared" si="82"/>
        <v>b)Asistencia social.</v>
      </c>
    </row>
    <row r="2570" spans="1:5" x14ac:dyDescent="0.25">
      <c r="A2570">
        <f t="shared" si="83"/>
        <v>2569</v>
      </c>
      <c r="B2570" t="s">
        <v>2407</v>
      </c>
      <c r="C2570">
        <v>0</v>
      </c>
      <c r="D2570" t="str">
        <f t="shared" si="81"/>
        <v>*</v>
      </c>
      <c r="E2570" t="str">
        <f t="shared" si="82"/>
        <v>c)Seguridad social.</v>
      </c>
    </row>
    <row r="2571" spans="1:5" x14ac:dyDescent="0.25">
      <c r="A2571">
        <f t="shared" si="83"/>
        <v>2570</v>
      </c>
      <c r="B2571" t="s">
        <v>2072</v>
      </c>
      <c r="C2571">
        <v>0</v>
      </c>
      <c r="D2571" t="str">
        <f t="shared" si="81"/>
        <v>d</v>
      </c>
      <c r="E2571" t="str">
        <f t="shared" si="82"/>
        <v>d)Seguro social.</v>
      </c>
    </row>
    <row r="2572" spans="1:5" x14ac:dyDescent="0.25">
      <c r="A2572">
        <f t="shared" si="83"/>
        <v>2571</v>
      </c>
      <c r="B2572" t="s">
        <v>2073</v>
      </c>
      <c r="C2572">
        <v>1</v>
      </c>
      <c r="D2572" t="str">
        <f t="shared" si="81"/>
        <v>S</v>
      </c>
      <c r="E2572" t="str">
        <f t="shared" si="82"/>
        <v>Según Altamirano, Armanini y Gonzalez en "La adopción, una mirada no hegemónica", ¿Qué riesgoacarrea la adopción utilizada en forma indiscriminada frente a situaciones de extrema pobreza?:</v>
      </c>
    </row>
    <row r="2573" spans="1:5" x14ac:dyDescent="0.25">
      <c r="A2573">
        <f t="shared" si="83"/>
        <v>2572</v>
      </c>
      <c r="B2573" t="s">
        <v>2074</v>
      </c>
      <c r="C2573">
        <v>0</v>
      </c>
      <c r="D2573" t="str">
        <f t="shared" si="81"/>
        <v>a</v>
      </c>
      <c r="E2573" t="str">
        <f t="shared" si="82"/>
        <v>a)Desconocer la responsabilidad del Estado en la aplicación de políticas públicas deinclusión social.</v>
      </c>
    </row>
    <row r="2574" spans="1:5" x14ac:dyDescent="0.25">
      <c r="A2574">
        <f t="shared" si="83"/>
        <v>2573</v>
      </c>
      <c r="B2574" t="s">
        <v>2408</v>
      </c>
      <c r="C2574">
        <v>0</v>
      </c>
      <c r="D2574" t="str">
        <f t="shared" si="81"/>
        <v>*</v>
      </c>
      <c r="E2574" t="str">
        <f t="shared" si="82"/>
        <v>b)Desconocer al niño como "sujeto de derechos".</v>
      </c>
    </row>
    <row r="2575" spans="1:5" x14ac:dyDescent="0.25">
      <c r="A2575">
        <f t="shared" si="83"/>
        <v>2574</v>
      </c>
      <c r="B2575" t="s">
        <v>2075</v>
      </c>
      <c r="C2575">
        <v>0</v>
      </c>
      <c r="D2575" t="str">
        <f t="shared" si="81"/>
        <v>c</v>
      </c>
      <c r="E2575" t="str">
        <f t="shared" si="82"/>
        <v>c)Priorizar la situación económica a la capacidad de amor.</v>
      </c>
    </row>
    <row r="2576" spans="1:5" x14ac:dyDescent="0.25">
      <c r="A2576">
        <f t="shared" si="83"/>
        <v>2575</v>
      </c>
      <c r="B2576" t="s">
        <v>2076</v>
      </c>
      <c r="C2576">
        <v>0</v>
      </c>
      <c r="D2576" t="str">
        <f t="shared" si="81"/>
        <v>d</v>
      </c>
      <c r="E2576" t="str">
        <f t="shared" si="82"/>
        <v>d)Priorizar los derechos de los padres adoptivos sobre los del niño adoptado</v>
      </c>
    </row>
    <row r="2577" spans="1:5" x14ac:dyDescent="0.25">
      <c r="A2577">
        <f t="shared" si="83"/>
        <v>2576</v>
      </c>
      <c r="B2577" t="s">
        <v>2077</v>
      </c>
      <c r="C2577">
        <v>1</v>
      </c>
      <c r="D2577" t="str">
        <f t="shared" si="81"/>
        <v>P</v>
      </c>
      <c r="E2577" t="str">
        <f t="shared" si="82"/>
        <v>Para Eloísa de Jong, en la sociedad capitalista burguesa se transforma a la familia en el lugar dedepositación de la responsabilidad social por la conducta de sus miembros. ¿Qué efectoconsecuente se produce?</v>
      </c>
    </row>
    <row r="2578" spans="1:5" x14ac:dyDescent="0.25">
      <c r="A2578">
        <f t="shared" si="83"/>
        <v>2577</v>
      </c>
      <c r="B2578" t="s">
        <v>2078</v>
      </c>
      <c r="C2578">
        <v>0</v>
      </c>
      <c r="D2578" t="str">
        <f t="shared" si="81"/>
        <v>a</v>
      </c>
      <c r="E2578" t="str">
        <f t="shared" si="82"/>
        <v>a)El desarrollo de políticas focalizadas al interior de la familia y desligadas del contextosocial.</v>
      </c>
    </row>
    <row r="2579" spans="1:5" x14ac:dyDescent="0.25">
      <c r="A2579">
        <f t="shared" si="83"/>
        <v>2578</v>
      </c>
      <c r="B2579" t="s">
        <v>2079</v>
      </c>
      <c r="C2579">
        <v>0</v>
      </c>
      <c r="D2579" t="str">
        <f t="shared" si="81"/>
        <v>b</v>
      </c>
      <c r="E2579" t="str">
        <f t="shared" si="82"/>
        <v>b)El fortalecimiento de los derechos individuales y una reorginazación de las relacionessociales.</v>
      </c>
    </row>
    <row r="2580" spans="1:5" x14ac:dyDescent="0.25">
      <c r="A2580">
        <f t="shared" si="83"/>
        <v>2579</v>
      </c>
      <c r="B2580" t="s">
        <v>2080</v>
      </c>
      <c r="C2580">
        <v>0</v>
      </c>
      <c r="D2580" t="str">
        <f t="shared" si="81"/>
        <v>c</v>
      </c>
      <c r="E2580" t="str">
        <f t="shared" si="82"/>
        <v>c)La consolidación de la esfera de lo doméstico por un lado y la esfera comunitaria por otro.</v>
      </c>
    </row>
    <row r="2581" spans="1:5" x14ac:dyDescent="0.25">
      <c r="A2581">
        <f t="shared" si="83"/>
        <v>2580</v>
      </c>
      <c r="B2581" t="s">
        <v>2409</v>
      </c>
      <c r="C2581">
        <v>0</v>
      </c>
      <c r="D2581" t="str">
        <f t="shared" si="81"/>
        <v>*</v>
      </c>
      <c r="E2581" t="str">
        <f t="shared" si="82"/>
        <v>d)La división entre el mundo de lo público ligado al trabajo y el mundo privado de lafamilia.</v>
      </c>
    </row>
    <row r="2582" spans="1:5" x14ac:dyDescent="0.25">
      <c r="A2582">
        <f t="shared" si="83"/>
        <v>2581</v>
      </c>
      <c r="B2582" t="s">
        <v>2081</v>
      </c>
      <c r="C2582">
        <v>1</v>
      </c>
      <c r="D2582" t="str">
        <f t="shared" si="81"/>
        <v>S</v>
      </c>
      <c r="E2582" t="str">
        <f t="shared" si="82"/>
        <v>Según Eloísa De Jong en su trabajo "La famila en los albores del nuevo milenio", ¿Cómo seconsidera a la familia en la vertiente "crítica" del quehacer profesional?</v>
      </c>
    </row>
    <row r="2583" spans="1:5" x14ac:dyDescent="0.25">
      <c r="A2583">
        <f t="shared" si="83"/>
        <v>2582</v>
      </c>
      <c r="B2583" t="s">
        <v>2082</v>
      </c>
      <c r="C2583">
        <v>0</v>
      </c>
      <c r="D2583" t="str">
        <f t="shared" si="81"/>
        <v>a</v>
      </c>
      <c r="E2583" t="str">
        <f t="shared" si="82"/>
        <v>a)Una institución de carácter universal, natural y ahistórica.</v>
      </c>
    </row>
    <row r="2584" spans="1:5" x14ac:dyDescent="0.25">
      <c r="A2584">
        <f t="shared" si="83"/>
        <v>2583</v>
      </c>
      <c r="B2584" t="s">
        <v>2410</v>
      </c>
      <c r="C2584">
        <v>0</v>
      </c>
      <c r="D2584" t="str">
        <f t="shared" si="81"/>
        <v>*</v>
      </c>
      <c r="E2584" t="str">
        <f t="shared" si="82"/>
        <v>b)Una organización temporo- espacial en el movimiento histórico cultural.</v>
      </c>
    </row>
    <row r="2585" spans="1:5" x14ac:dyDescent="0.25">
      <c r="A2585">
        <f t="shared" si="83"/>
        <v>2584</v>
      </c>
      <c r="B2585" t="s">
        <v>2083</v>
      </c>
      <c r="C2585">
        <v>0</v>
      </c>
      <c r="D2585" t="str">
        <f t="shared" si="81"/>
        <v>c</v>
      </c>
      <c r="E2585" t="str">
        <f t="shared" si="82"/>
        <v>c)Una variable independiente del contexto social en el desarrollo de su existencia.</v>
      </c>
    </row>
    <row r="2586" spans="1:5" x14ac:dyDescent="0.25">
      <c r="A2586">
        <f t="shared" si="83"/>
        <v>2585</v>
      </c>
      <c r="B2586" t="s">
        <v>2084</v>
      </c>
      <c r="C2586">
        <v>0</v>
      </c>
      <c r="D2586" t="str">
        <f t="shared" si="81"/>
        <v>d</v>
      </c>
      <c r="E2586" t="str">
        <f t="shared" si="82"/>
        <v>d)Un objeto a ser observado desde múltiples criterios de abordaje terapeútico.</v>
      </c>
    </row>
    <row r="2587" spans="1:5" x14ac:dyDescent="0.25">
      <c r="A2587">
        <f t="shared" si="83"/>
        <v>2586</v>
      </c>
      <c r="B2587" t="s">
        <v>2085</v>
      </c>
      <c r="C2587">
        <v>1</v>
      </c>
      <c r="D2587" t="str">
        <f t="shared" si="81"/>
        <v>J</v>
      </c>
      <c r="E2587" t="str">
        <f t="shared" si="82"/>
        <v>Jacques Donzelot afirma que desde 1840 hasta finales del siglo XIX se multiplican las leyes quedecretan las normas proctectoras da la infancia. Según el autor, ¿De qué natulareza eran y qué sepretendía con esas medidas de normalización de la relación adulto- niño?</v>
      </c>
    </row>
    <row r="2588" spans="1:5" x14ac:dyDescent="0.25">
      <c r="A2588">
        <f t="shared" si="83"/>
        <v>2587</v>
      </c>
      <c r="B2588" t="s">
        <v>2411</v>
      </c>
      <c r="C2588">
        <v>0</v>
      </c>
      <c r="D2588" t="str">
        <f t="shared" si="81"/>
        <v>*</v>
      </c>
      <c r="E2588" t="str">
        <f t="shared" si="82"/>
        <v>a)Sanitaria y política, tendientes a satisfacer el estado de abandono en el que seencontraban los niños de las clases trabajadoras y también reducir la capacidad socio-político de estas.</v>
      </c>
    </row>
    <row r="2589" spans="1:5" x14ac:dyDescent="0.25">
      <c r="A2589">
        <f t="shared" si="83"/>
        <v>2588</v>
      </c>
      <c r="B2589" t="s">
        <v>2086</v>
      </c>
      <c r="C2589">
        <v>0</v>
      </c>
      <c r="D2589" t="str">
        <f t="shared" si="81"/>
        <v>b</v>
      </c>
      <c r="E2589" t="str">
        <f t="shared" si="82"/>
        <v>b)Social y económica, pretendían mejorar las condiciones de vida de los niños de las clasestrabajadoras, futuros vendedores de fuerza de trabajo necesaria para la acumulación decapital.</v>
      </c>
    </row>
    <row r="2590" spans="1:5" x14ac:dyDescent="0.25">
      <c r="A2590">
        <f t="shared" si="83"/>
        <v>2589</v>
      </c>
      <c r="B2590" t="s">
        <v>2087</v>
      </c>
      <c r="C2590">
        <v>0</v>
      </c>
      <c r="D2590" t="str">
        <f t="shared" si="81"/>
        <v>c</v>
      </c>
      <c r="E2590" t="str">
        <f t="shared" si="82"/>
        <v>c)Social e histórica, destinadas a brindar protección por parte del Estado a los niños defamilias obreras, imposibilitando a sus padres extraer beneficio del trabajo de sus hijos.</v>
      </c>
    </row>
    <row r="2591" spans="1:5" x14ac:dyDescent="0.25">
      <c r="A2591">
        <f t="shared" si="83"/>
        <v>2590</v>
      </c>
      <c r="B2591" t="s">
        <v>2088</v>
      </c>
      <c r="C2591">
        <v>0</v>
      </c>
      <c r="D2591" t="str">
        <f t="shared" si="81"/>
        <v>d</v>
      </c>
      <c r="E2591" t="str">
        <f t="shared" si="82"/>
        <v>d)Educativa y moral, procuraban actuar en la vigilancia de la educación de la infancia porparte de las familias y reformar las prácticas inmorales y promiscuas.</v>
      </c>
    </row>
    <row r="2592" spans="1:5" x14ac:dyDescent="0.25">
      <c r="A2592">
        <f t="shared" si="83"/>
        <v>2591</v>
      </c>
      <c r="B2592" t="s">
        <v>2089</v>
      </c>
      <c r="C2592">
        <v>1</v>
      </c>
      <c r="D2592" t="str">
        <f t="shared" si="81"/>
        <v>E</v>
      </c>
      <c r="E2592" t="str">
        <f t="shared" si="82"/>
        <v>En el artículo de Enrique Gracia Fuster, ¿Cómo define Simos los problemas que plantea a la familiael cuidado de un persona mayor?</v>
      </c>
    </row>
    <row r="2593" spans="1:5" x14ac:dyDescent="0.25">
      <c r="A2593">
        <f t="shared" si="83"/>
        <v>2592</v>
      </c>
      <c r="B2593" t="s">
        <v>2090</v>
      </c>
      <c r="C2593">
        <v>0</v>
      </c>
      <c r="D2593" t="str">
        <f t="shared" si="81"/>
        <v>a</v>
      </c>
      <c r="E2593" t="str">
        <f t="shared" si="82"/>
        <v>a)Desigualdades y agobio en la responsabilidad asumida por cada miembro de la familia enel cuidado del anciano.</v>
      </c>
    </row>
    <row r="2594" spans="1:5" x14ac:dyDescent="0.25">
      <c r="A2594">
        <f t="shared" si="83"/>
        <v>2593</v>
      </c>
      <c r="B2594" t="s">
        <v>2091</v>
      </c>
      <c r="C2594">
        <v>0</v>
      </c>
      <c r="D2594" t="str">
        <f t="shared" si="81"/>
        <v>b</v>
      </c>
      <c r="E2594" t="str">
        <f t="shared" si="82"/>
        <v>b)El hacerse cargo de una persona mayor produce un proceso de desintegración familiardebido a las dificultades económicas que implica su cuidado.</v>
      </c>
    </row>
    <row r="2595" spans="1:5" x14ac:dyDescent="0.25">
      <c r="A2595">
        <f t="shared" si="83"/>
        <v>2594</v>
      </c>
      <c r="B2595" t="s">
        <v>2092</v>
      </c>
      <c r="C2595">
        <v>0</v>
      </c>
      <c r="D2595" t="str">
        <f t="shared" si="81"/>
        <v>c</v>
      </c>
      <c r="E2595" t="str">
        <f t="shared" si="82"/>
        <v>c)La pérdida de afecto hacia la persona mayor por parte de la familia debido a la "carga"que supone su cuidado.</v>
      </c>
    </row>
    <row r="2596" spans="1:5" x14ac:dyDescent="0.25">
      <c r="A2596">
        <f t="shared" si="83"/>
        <v>2595</v>
      </c>
      <c r="B2596" t="s">
        <v>2412</v>
      </c>
      <c r="C2596">
        <v>0</v>
      </c>
      <c r="D2596" t="str">
        <f t="shared" ref="D2596:D2659" si="84">+MID(B2596,1,1)</f>
        <v>*</v>
      </c>
      <c r="E2596" t="str">
        <f t="shared" si="82"/>
        <v>d)El envejecimiento de un individuo eventualmente resulta en una crisis para cada familia.</v>
      </c>
    </row>
    <row r="2597" spans="1:5" x14ac:dyDescent="0.25">
      <c r="A2597">
        <f t="shared" si="83"/>
        <v>2596</v>
      </c>
      <c r="B2597" t="s">
        <v>2093</v>
      </c>
      <c r="C2597">
        <v>1</v>
      </c>
      <c r="D2597" t="str">
        <f t="shared" si="84"/>
        <v>¿</v>
      </c>
      <c r="E2597" t="str">
        <f t="shared" si="82"/>
        <v>¿Dónde radica, según Gattino y Flores, la característica diferencial de la famila respecto a otrosespacios establecidos para la reproducción de la existencia social?</v>
      </c>
    </row>
    <row r="2598" spans="1:5" x14ac:dyDescent="0.25">
      <c r="A2598">
        <f t="shared" si="83"/>
        <v>2597</v>
      </c>
      <c r="B2598" t="s">
        <v>2094</v>
      </c>
      <c r="C2598">
        <v>0</v>
      </c>
      <c r="D2598" t="str">
        <f t="shared" si="84"/>
        <v>a</v>
      </c>
      <c r="E2598" t="str">
        <f t="shared" si="82"/>
        <v>a)En el imaginario social de "acogimiento" que se construye en la sociedad.</v>
      </c>
    </row>
    <row r="2599" spans="1:5" x14ac:dyDescent="0.25">
      <c r="A2599">
        <f t="shared" si="83"/>
        <v>2598</v>
      </c>
      <c r="B2599" t="s">
        <v>2095</v>
      </c>
      <c r="C2599">
        <v>0</v>
      </c>
      <c r="D2599" t="str">
        <f t="shared" si="84"/>
        <v>b</v>
      </c>
      <c r="E2599" t="str">
        <f t="shared" si="82"/>
        <v>b)En la percepción sobre los "lazos sociales" que tienen los integrantes de la misma.</v>
      </c>
    </row>
    <row r="2600" spans="1:5" x14ac:dyDescent="0.25">
      <c r="A2600">
        <f t="shared" si="83"/>
        <v>2599</v>
      </c>
      <c r="B2600" t="s">
        <v>2413</v>
      </c>
      <c r="C2600">
        <v>0</v>
      </c>
      <c r="D2600" t="str">
        <f t="shared" si="84"/>
        <v>*</v>
      </c>
      <c r="E2600" t="str">
        <f t="shared" si="82"/>
        <v>c)En el significado de "necesariedad" que adopta para el ser humano.</v>
      </c>
    </row>
    <row r="2601" spans="1:5" x14ac:dyDescent="0.25">
      <c r="A2601">
        <f t="shared" si="83"/>
        <v>2600</v>
      </c>
      <c r="B2601" t="s">
        <v>2096</v>
      </c>
      <c r="C2601">
        <v>0</v>
      </c>
      <c r="D2601" t="str">
        <f t="shared" si="84"/>
        <v>d</v>
      </c>
      <c r="E2601" t="str">
        <f t="shared" si="82"/>
        <v>d)En la significación que le otorgan las diferentes generaciones.</v>
      </c>
    </row>
    <row r="2602" spans="1:5" x14ac:dyDescent="0.25">
      <c r="A2602">
        <f t="shared" si="83"/>
        <v>2601</v>
      </c>
      <c r="B2602" t="s">
        <v>2097</v>
      </c>
      <c r="C2602">
        <v>1</v>
      </c>
      <c r="D2602" t="str">
        <f t="shared" si="84"/>
        <v>E</v>
      </c>
      <c r="E2602" t="str">
        <f t="shared" si="82"/>
        <v>En el texto "Iniciación sexual, prácticas sexuales y prevención del HIV- SIDA... " ¿Qué dimensionestoma Mabel Grimberg para el análisis de la trayectoria sexual en los jóvenes de sectorespopulares?</v>
      </c>
    </row>
    <row r="2603" spans="1:5" x14ac:dyDescent="0.25">
      <c r="A2603">
        <f t="shared" si="83"/>
        <v>2602</v>
      </c>
      <c r="B2603" t="s">
        <v>2098</v>
      </c>
      <c r="C2603">
        <v>0</v>
      </c>
      <c r="D2603" t="str">
        <f t="shared" si="84"/>
        <v>a</v>
      </c>
      <c r="E2603" t="str">
        <f t="shared" si="82"/>
        <v>a)El desarrollo del autocuidado y la autopercepción; la educación e información; la cultura;y la conformación familiar y social.</v>
      </c>
    </row>
    <row r="2604" spans="1:5" x14ac:dyDescent="0.25">
      <c r="A2604">
        <f t="shared" si="83"/>
        <v>2603</v>
      </c>
      <c r="B2604" t="s">
        <v>2414</v>
      </c>
      <c r="C2604">
        <v>0</v>
      </c>
      <c r="D2604" t="str">
        <f t="shared" si="84"/>
        <v>*</v>
      </c>
      <c r="E2604" t="str">
        <f t="shared" si="82"/>
        <v>b)El rol de iniciativa y sus modalidades; el control de la situación; los márgenes denegociación; y el lugar del deseo y el placer.</v>
      </c>
    </row>
    <row r="2605" spans="1:5" x14ac:dyDescent="0.25">
      <c r="A2605">
        <f t="shared" si="83"/>
        <v>2604</v>
      </c>
      <c r="B2605" t="s">
        <v>2099</v>
      </c>
      <c r="C2605">
        <v>0</v>
      </c>
      <c r="D2605" t="str">
        <f t="shared" si="84"/>
        <v>c</v>
      </c>
      <c r="E2605" t="str">
        <f t="shared" si="82"/>
        <v>c)La modalidad de toma de decisiones; la frecuencia de exposición a riesgos; las relacionesde poder en la pareja; y la percepción del goce.</v>
      </c>
    </row>
    <row r="2606" spans="1:5" x14ac:dyDescent="0.25">
      <c r="A2606">
        <f t="shared" si="83"/>
        <v>2605</v>
      </c>
      <c r="B2606" t="s">
        <v>2100</v>
      </c>
      <c r="C2606">
        <v>0</v>
      </c>
      <c r="D2606" t="str">
        <f t="shared" si="84"/>
        <v>d</v>
      </c>
      <c r="E2606" t="str">
        <f t="shared" si="82"/>
        <v>d)Las formas de intercambio sexual; el complejo placer- deseo; los significados socialesasignados a la sexualidad; y los modelos de género.</v>
      </c>
    </row>
    <row r="2607" spans="1:5" x14ac:dyDescent="0.25">
      <c r="A2607">
        <f t="shared" si="83"/>
        <v>2606</v>
      </c>
      <c r="B2607" t="s">
        <v>2101</v>
      </c>
      <c r="C2607">
        <v>1</v>
      </c>
      <c r="D2607" t="str">
        <f t="shared" si="84"/>
        <v>M</v>
      </c>
      <c r="E2607" t="str">
        <f t="shared" si="82"/>
        <v>María del Carmen Ludi acuerda con Guita Debert que desde el punto de vista antropológico existentres aspectos sobre la vejez que ganan significados particulares en contextos históricos, sociales yculturales distintos. ¿Cúales son?</v>
      </c>
    </row>
    <row r="2608" spans="1:5" x14ac:dyDescent="0.25">
      <c r="A2608">
        <f t="shared" si="83"/>
        <v>2607</v>
      </c>
      <c r="B2608" t="s">
        <v>2102</v>
      </c>
      <c r="C2608">
        <v>0</v>
      </c>
      <c r="D2608" t="str">
        <f t="shared" si="84"/>
        <v>a</v>
      </c>
      <c r="E2608" t="str">
        <f t="shared" si="82"/>
        <v>a)El abordaje que realizan los profesionales del tema, las políticas que desarrollan losEstados y el cuidado de las familias.</v>
      </c>
    </row>
    <row r="2609" spans="1:5" x14ac:dyDescent="0.25">
      <c r="A2609">
        <f t="shared" si="83"/>
        <v>2608</v>
      </c>
      <c r="B2609" t="s">
        <v>2103</v>
      </c>
      <c r="C2609">
        <v>0</v>
      </c>
      <c r="D2609" t="str">
        <f t="shared" si="84"/>
        <v>b</v>
      </c>
      <c r="E2609" t="str">
        <f t="shared" si="82"/>
        <v>b)El tratamiento en los medios masivos de comunicación, los sistemas de protección socialy la autopercepción de los viejos.</v>
      </c>
    </row>
    <row r="2610" spans="1:5" x14ac:dyDescent="0.25">
      <c r="A2610">
        <f t="shared" si="83"/>
        <v>2609</v>
      </c>
      <c r="B2610" t="s">
        <v>2415</v>
      </c>
      <c r="C2610">
        <v>0</v>
      </c>
      <c r="D2610" t="str">
        <f t="shared" si="84"/>
        <v>*</v>
      </c>
      <c r="E2610" t="str">
        <f t="shared" si="82"/>
        <v>c)Las representaciones sobre la vejez, el posicionamiento social de los viejos y eltratamiento dado por los más jóvenes.</v>
      </c>
    </row>
    <row r="2611" spans="1:5" x14ac:dyDescent="0.25">
      <c r="A2611">
        <f t="shared" si="83"/>
        <v>2610</v>
      </c>
      <c r="B2611" t="s">
        <v>2104</v>
      </c>
      <c r="C2611">
        <v>0</v>
      </c>
      <c r="D2611" t="str">
        <f t="shared" si="84"/>
        <v>d</v>
      </c>
      <c r="E2611" t="str">
        <f t="shared" si="82"/>
        <v>d)Los movimientos sociales sobre tercera edad, las conductas negativas y positivas de lasociedad en su conjunto.</v>
      </c>
    </row>
    <row r="2612" spans="1:5" x14ac:dyDescent="0.25">
      <c r="A2612">
        <f t="shared" si="83"/>
        <v>2611</v>
      </c>
      <c r="B2612" t="s">
        <v>2105</v>
      </c>
      <c r="C2612">
        <v>1</v>
      </c>
      <c r="D2612" t="str">
        <f t="shared" si="84"/>
        <v>¿</v>
      </c>
      <c r="E2612" t="str">
        <f t="shared" si="82"/>
        <v>¿Cómo entiende la intervención profesional Carmen Ludi, en tanto proceso teórico- metodológico?</v>
      </c>
    </row>
    <row r="2613" spans="1:5" x14ac:dyDescent="0.25">
      <c r="A2613">
        <f t="shared" si="83"/>
        <v>2612</v>
      </c>
      <c r="B2613" t="s">
        <v>2416</v>
      </c>
      <c r="C2613">
        <v>0</v>
      </c>
      <c r="D2613" t="str">
        <f t="shared" si="84"/>
        <v>*</v>
      </c>
      <c r="E2613" t="str">
        <f t="shared" si="82"/>
        <v>a)Como un conjunto de acciones con una secuencia lógica que implica relaciones/vínculosen la trama que emerge de la relación sujeto/estructura.</v>
      </c>
    </row>
    <row r="2614" spans="1:5" x14ac:dyDescent="0.25">
      <c r="A2614">
        <f t="shared" si="83"/>
        <v>2613</v>
      </c>
      <c r="B2614" t="s">
        <v>2106</v>
      </c>
      <c r="C2614">
        <v>0</v>
      </c>
      <c r="D2614" t="str">
        <f t="shared" si="84"/>
        <v>b</v>
      </c>
      <c r="E2614" t="str">
        <f t="shared" si="82"/>
        <v>b)Como un proceso de construcción dialéctica donde lo particular/ singular debe seridentificado y analizado en la cotidianeidad del sujeto.</v>
      </c>
    </row>
    <row r="2615" spans="1:5" x14ac:dyDescent="0.25">
      <c r="A2615">
        <f t="shared" si="83"/>
        <v>2614</v>
      </c>
      <c r="B2615" t="s">
        <v>2107</v>
      </c>
      <c r="C2615">
        <v>0</v>
      </c>
      <c r="D2615" t="str">
        <f t="shared" si="84"/>
        <v>c</v>
      </c>
      <c r="E2615" t="str">
        <f t="shared" si="82"/>
        <v>c)Como una serie de acciones puntuales donde la implementación de técnicas eintrumentos estará sujeta al andamiaje metodológico del profesional.</v>
      </c>
    </row>
    <row r="2616" spans="1:5" x14ac:dyDescent="0.25">
      <c r="A2616">
        <f t="shared" si="83"/>
        <v>2615</v>
      </c>
      <c r="B2616" t="s">
        <v>2108</v>
      </c>
      <c r="C2616">
        <v>0</v>
      </c>
      <c r="D2616" t="str">
        <f t="shared" si="84"/>
        <v>d</v>
      </c>
      <c r="E2616" t="str">
        <f t="shared" si="82"/>
        <v>d)Como una secuencia de acciones/intervenciones que permiten desarrollar un diagnósticopaulatino sobre el que se desarrollarán otras acciones que irán modificanco la situacióndel sujeto.</v>
      </c>
    </row>
    <row r="2617" spans="1:5" x14ac:dyDescent="0.25">
      <c r="A2617">
        <f t="shared" si="83"/>
        <v>2616</v>
      </c>
      <c r="B2617" t="s">
        <v>2109</v>
      </c>
      <c r="C2617">
        <v>1</v>
      </c>
      <c r="D2617" t="str">
        <f t="shared" si="84"/>
        <v>F</v>
      </c>
      <c r="E2617" t="str">
        <f t="shared" si="82"/>
        <v>Forni F y Gallart M, plantean que los análisis de los procesos sociales cotidianos puede contribuir alconocimiento de los fenómenos sociales ¿En qué teoría se fundamenta este tipo de aproximaciónmetodológica para los análisis cualitativos?</v>
      </c>
    </row>
    <row r="2618" spans="1:5" x14ac:dyDescent="0.25">
      <c r="A2618">
        <f t="shared" si="83"/>
        <v>2617</v>
      </c>
      <c r="B2618" t="s">
        <v>2110</v>
      </c>
      <c r="C2618">
        <v>0</v>
      </c>
      <c r="D2618" t="str">
        <f t="shared" si="84"/>
        <v>a</v>
      </c>
      <c r="E2618" t="str">
        <f t="shared" si="82"/>
        <v>a)Conflicto social.</v>
      </c>
    </row>
    <row r="2619" spans="1:5" x14ac:dyDescent="0.25">
      <c r="A2619">
        <f t="shared" si="83"/>
        <v>2618</v>
      </c>
      <c r="B2619" t="s">
        <v>2111</v>
      </c>
      <c r="C2619">
        <v>0</v>
      </c>
      <c r="D2619" t="str">
        <f t="shared" si="84"/>
        <v>b</v>
      </c>
      <c r="E2619" t="str">
        <f t="shared" si="82"/>
        <v>b)Complejidad.</v>
      </c>
    </row>
    <row r="2620" spans="1:5" x14ac:dyDescent="0.25">
      <c r="A2620">
        <f t="shared" si="83"/>
        <v>2619</v>
      </c>
      <c r="B2620" t="s">
        <v>2417</v>
      </c>
      <c r="C2620">
        <v>0</v>
      </c>
      <c r="D2620" t="str">
        <f t="shared" si="84"/>
        <v>*</v>
      </c>
      <c r="E2620" t="str">
        <f t="shared" si="82"/>
        <v>c)Acción social.</v>
      </c>
    </row>
    <row r="2621" spans="1:5" x14ac:dyDescent="0.25">
      <c r="A2621">
        <f t="shared" si="83"/>
        <v>2620</v>
      </c>
      <c r="B2621" t="s">
        <v>2112</v>
      </c>
      <c r="C2621">
        <v>0</v>
      </c>
      <c r="D2621" t="str">
        <f t="shared" si="84"/>
        <v>d</v>
      </c>
      <c r="E2621" t="str">
        <f t="shared" si="82"/>
        <v>d)Singularidad.</v>
      </c>
    </row>
    <row r="2622" spans="1:5" x14ac:dyDescent="0.25">
      <c r="A2622">
        <f t="shared" si="83"/>
        <v>2621</v>
      </c>
      <c r="B2622" t="s">
        <v>2113</v>
      </c>
      <c r="C2622">
        <v>1</v>
      </c>
      <c r="D2622" t="str">
        <f t="shared" si="84"/>
        <v>S</v>
      </c>
      <c r="E2622" t="str">
        <f t="shared" si="82"/>
        <v>Según Vasilachis de Gialdino, los autores Glaser y Strauss utilizan el análisis comparativo paracrear dos tipos básicos de teoría: una desarrollada para un área empírica y otra para un áreaconceptual de investigación ¿Cuál es el nombre de estas teorías?</v>
      </c>
    </row>
    <row r="2623" spans="1:5" x14ac:dyDescent="0.25">
      <c r="A2623">
        <f t="shared" si="83"/>
        <v>2622</v>
      </c>
      <c r="B2623" t="s">
        <v>2114</v>
      </c>
      <c r="C2623">
        <v>0</v>
      </c>
      <c r="D2623" t="str">
        <f t="shared" si="84"/>
        <v>a</v>
      </c>
      <c r="E2623" t="str">
        <f t="shared" si="82"/>
        <v>a)Cuantitativa y cualitativa.</v>
      </c>
    </row>
    <row r="2624" spans="1:5" x14ac:dyDescent="0.25">
      <c r="A2624">
        <f t="shared" si="83"/>
        <v>2623</v>
      </c>
      <c r="B2624" t="s">
        <v>2115</v>
      </c>
      <c r="C2624">
        <v>0</v>
      </c>
      <c r="D2624" t="str">
        <f t="shared" si="84"/>
        <v>b</v>
      </c>
      <c r="E2624" t="str">
        <f t="shared" si="82"/>
        <v>b)Inductiva y analítica.</v>
      </c>
    </row>
    <row r="2625" spans="1:5" x14ac:dyDescent="0.25">
      <c r="A2625">
        <f t="shared" si="83"/>
        <v>2624</v>
      </c>
      <c r="B2625" t="s">
        <v>2116</v>
      </c>
      <c r="C2625">
        <v>0</v>
      </c>
      <c r="D2625" t="str">
        <f t="shared" si="84"/>
        <v>c</v>
      </c>
      <c r="E2625" t="str">
        <f t="shared" si="82"/>
        <v>c)Interpretativa y conceptual.</v>
      </c>
    </row>
    <row r="2626" spans="1:5" x14ac:dyDescent="0.25">
      <c r="A2626">
        <f t="shared" si="83"/>
        <v>2625</v>
      </c>
      <c r="B2626" t="s">
        <v>2418</v>
      </c>
      <c r="C2626">
        <v>0</v>
      </c>
      <c r="D2626" t="str">
        <f t="shared" si="84"/>
        <v>*</v>
      </c>
      <c r="E2626" t="str">
        <f t="shared" si="82"/>
        <v>d)Substantiva y formal.</v>
      </c>
    </row>
    <row r="2627" spans="1:5" x14ac:dyDescent="0.25">
      <c r="A2627">
        <f t="shared" si="83"/>
        <v>2626</v>
      </c>
      <c r="B2627" t="s">
        <v>2117</v>
      </c>
      <c r="C2627">
        <v>1</v>
      </c>
      <c r="D2627" t="str">
        <f t="shared" si="84"/>
        <v>S</v>
      </c>
      <c r="E2627" t="str">
        <f t="shared" ref="E2627:E2690" si="85">+IF(D2627="*",MID(B2627,3,500),B2627)</f>
        <v>Según Vasilachis de Gialdino, ¿Cómo denomina Kirk la medida en que un procedimiento demedición arroja el mismo resultado como quiera y donde quiera que sea llevado a cabo?</v>
      </c>
    </row>
    <row r="2628" spans="1:5" x14ac:dyDescent="0.25">
      <c r="A2628">
        <f t="shared" si="83"/>
        <v>2627</v>
      </c>
      <c r="B2628" t="s">
        <v>2118</v>
      </c>
      <c r="C2628">
        <v>0</v>
      </c>
      <c r="D2628" t="str">
        <f t="shared" si="84"/>
        <v>a</v>
      </c>
      <c r="E2628" t="str">
        <f t="shared" si="85"/>
        <v>a)Circunstancialidad.</v>
      </c>
    </row>
    <row r="2629" spans="1:5" x14ac:dyDescent="0.25">
      <c r="A2629">
        <f t="shared" si="83"/>
        <v>2628</v>
      </c>
      <c r="B2629" t="s">
        <v>2419</v>
      </c>
      <c r="C2629">
        <v>0</v>
      </c>
      <c r="D2629" t="str">
        <f t="shared" si="84"/>
        <v>*</v>
      </c>
      <c r="E2629" t="str">
        <f t="shared" si="85"/>
        <v>b)Confiabilidad.</v>
      </c>
    </row>
    <row r="2630" spans="1:5" x14ac:dyDescent="0.25">
      <c r="A2630">
        <f t="shared" si="83"/>
        <v>2629</v>
      </c>
      <c r="B2630" t="s">
        <v>2119</v>
      </c>
      <c r="C2630">
        <v>0</v>
      </c>
      <c r="D2630" t="str">
        <f t="shared" si="84"/>
        <v>c</v>
      </c>
      <c r="E2630" t="str">
        <f t="shared" si="85"/>
        <v>c)Neutralidad.</v>
      </c>
    </row>
    <row r="2631" spans="1:5" x14ac:dyDescent="0.25">
      <c r="A2631">
        <f t="shared" ref="A2631:A2694" si="86">+A2630+1</f>
        <v>2630</v>
      </c>
      <c r="B2631" t="s">
        <v>2120</v>
      </c>
      <c r="C2631">
        <v>0</v>
      </c>
      <c r="D2631" t="str">
        <f t="shared" si="84"/>
        <v>d</v>
      </c>
      <c r="E2631" t="str">
        <f t="shared" si="85"/>
        <v>d)Validez.</v>
      </c>
    </row>
    <row r="2632" spans="1:5" x14ac:dyDescent="0.25">
      <c r="A2632">
        <f t="shared" si="86"/>
        <v>2631</v>
      </c>
      <c r="B2632" t="s">
        <v>2121</v>
      </c>
      <c r="C2632">
        <v>1</v>
      </c>
      <c r="D2632" t="str">
        <f t="shared" si="84"/>
        <v>S</v>
      </c>
      <c r="E2632" t="str">
        <f t="shared" si="85"/>
        <v>Según Sabino, las explicaciones de tipo causal resultan inadecuadas por su rigidez para estudiarlos fenómenos sociales. Este modelo de causalidad mecánico es suplantado por otro que rescata laespecificidad de lo social y por lo tanto la noción estrecha de causa es suplantada por un conceptomás abierto, ¿A qué concepto se refiere el autor?</v>
      </c>
    </row>
    <row r="2633" spans="1:5" x14ac:dyDescent="0.25">
      <c r="A2633">
        <f t="shared" si="86"/>
        <v>2632</v>
      </c>
      <c r="B2633" t="s">
        <v>2122</v>
      </c>
      <c r="C2633">
        <v>0</v>
      </c>
      <c r="D2633" t="str">
        <f t="shared" si="84"/>
        <v>a</v>
      </c>
      <c r="E2633" t="str">
        <f t="shared" si="85"/>
        <v>a)Comprensión.</v>
      </c>
    </row>
    <row r="2634" spans="1:5" x14ac:dyDescent="0.25">
      <c r="A2634">
        <f t="shared" si="86"/>
        <v>2633</v>
      </c>
      <c r="B2634" t="s">
        <v>2123</v>
      </c>
      <c r="C2634">
        <v>0</v>
      </c>
      <c r="D2634" t="str">
        <f t="shared" si="84"/>
        <v>b</v>
      </c>
      <c r="E2634" t="str">
        <f t="shared" si="85"/>
        <v>b)Significación.</v>
      </c>
    </row>
    <row r="2635" spans="1:5" x14ac:dyDescent="0.25">
      <c r="A2635">
        <f t="shared" si="86"/>
        <v>2634</v>
      </c>
      <c r="B2635" t="s">
        <v>2124</v>
      </c>
      <c r="C2635">
        <v>0</v>
      </c>
      <c r="D2635" t="str">
        <f t="shared" si="84"/>
        <v>c</v>
      </c>
      <c r="E2635" t="str">
        <f t="shared" si="85"/>
        <v>c)Integración.</v>
      </c>
    </row>
    <row r="2636" spans="1:5" x14ac:dyDescent="0.25">
      <c r="A2636">
        <f t="shared" si="86"/>
        <v>2635</v>
      </c>
      <c r="B2636" t="s">
        <v>2420</v>
      </c>
      <c r="C2636">
        <v>0</v>
      </c>
      <c r="D2636" t="str">
        <f t="shared" si="84"/>
        <v>*</v>
      </c>
      <c r="E2636" t="str">
        <f t="shared" si="85"/>
        <v>d)Determinación.</v>
      </c>
    </row>
    <row r="2637" spans="1:5" x14ac:dyDescent="0.25">
      <c r="A2637">
        <f t="shared" si="86"/>
        <v>2636</v>
      </c>
      <c r="B2637" t="s">
        <v>2125</v>
      </c>
      <c r="C2637">
        <v>1</v>
      </c>
      <c r="D2637" t="str">
        <f t="shared" si="84"/>
        <v>E</v>
      </c>
      <c r="E2637" t="str">
        <f t="shared" si="85"/>
        <v>En una investigación desarrollada desde el Programa de Municipios Saludables dependiente delMinisterio de Salud de Nación se han planteado la siguiente hipótesis: "entre los empleadosmunicipales de la Ciudad de Buenos Aires existen mayores niveles de consumo de tabaco queentre los empleados del municipio de San Pedro por el tipo de desarrollo urbano en el que seencuentran emplazados". ¿Qué tipo de variable es "consumo de tabaco"?</v>
      </c>
    </row>
    <row r="2638" spans="1:5" x14ac:dyDescent="0.25">
      <c r="A2638">
        <f t="shared" si="86"/>
        <v>2637</v>
      </c>
      <c r="B2638" t="s">
        <v>2126</v>
      </c>
      <c r="C2638">
        <v>0</v>
      </c>
      <c r="D2638" t="str">
        <f t="shared" si="84"/>
        <v>a</v>
      </c>
      <c r="E2638" t="str">
        <f t="shared" si="85"/>
        <v>a)Aleatoria.</v>
      </c>
    </row>
    <row r="2639" spans="1:5" x14ac:dyDescent="0.25">
      <c r="A2639">
        <f t="shared" si="86"/>
        <v>2638</v>
      </c>
      <c r="B2639" t="s">
        <v>2421</v>
      </c>
      <c r="C2639">
        <v>0</v>
      </c>
      <c r="D2639" t="str">
        <f t="shared" si="84"/>
        <v>*</v>
      </c>
      <c r="E2639" t="str">
        <f t="shared" si="85"/>
        <v>b)Dependiente.</v>
      </c>
    </row>
    <row r="2640" spans="1:5" x14ac:dyDescent="0.25">
      <c r="A2640">
        <f t="shared" si="86"/>
        <v>2639</v>
      </c>
      <c r="B2640" t="s">
        <v>2127</v>
      </c>
      <c r="C2640">
        <v>0</v>
      </c>
      <c r="D2640" t="str">
        <f t="shared" si="84"/>
        <v>c</v>
      </c>
      <c r="E2640" t="str">
        <f t="shared" si="85"/>
        <v>c)Independiente.</v>
      </c>
    </row>
    <row r="2641" spans="1:5" x14ac:dyDescent="0.25">
      <c r="A2641">
        <f t="shared" si="86"/>
        <v>2640</v>
      </c>
      <c r="B2641" t="s">
        <v>2128</v>
      </c>
      <c r="C2641">
        <v>0</v>
      </c>
      <c r="D2641" t="str">
        <f t="shared" si="84"/>
        <v>d</v>
      </c>
      <c r="E2641" t="str">
        <f t="shared" si="85"/>
        <v>d)Interviniente.</v>
      </c>
    </row>
    <row r="2642" spans="1:5" x14ac:dyDescent="0.25">
      <c r="A2642">
        <f t="shared" si="86"/>
        <v>2641</v>
      </c>
      <c r="B2642" t="s">
        <v>2129</v>
      </c>
      <c r="C2642">
        <v>1</v>
      </c>
      <c r="D2642" t="str">
        <f t="shared" si="84"/>
        <v>E</v>
      </c>
      <c r="E2642" t="str">
        <f t="shared" si="85"/>
        <v>En el Municipio de San Vicente la Secretaría de Salud ha desarrollado estrategias para disminuirlas cesáreas en mujeres parturientas, se han basado en una investigación desarrollada durante elúltimo año cuya hipótesis estaba formulada de la siguiente forma: "El acompañamiento de unreferente afectivo durante el parto de mujeres embarazadas disminuye la frecuencia de prácticasde cesáreas". ¿Qué tipo de variable es "acompañamiento"?</v>
      </c>
    </row>
    <row r="2643" spans="1:5" x14ac:dyDescent="0.25">
      <c r="A2643">
        <f t="shared" si="86"/>
        <v>2642</v>
      </c>
      <c r="B2643" t="s">
        <v>2130</v>
      </c>
      <c r="C2643">
        <v>0</v>
      </c>
      <c r="D2643" t="str">
        <f t="shared" si="84"/>
        <v>a</v>
      </c>
      <c r="E2643" t="str">
        <f t="shared" si="85"/>
        <v>a)Dependiente.</v>
      </c>
    </row>
    <row r="2644" spans="1:5" x14ac:dyDescent="0.25">
      <c r="A2644">
        <f t="shared" si="86"/>
        <v>2643</v>
      </c>
      <c r="B2644" t="s">
        <v>2131</v>
      </c>
      <c r="C2644">
        <v>0</v>
      </c>
      <c r="D2644" t="str">
        <f t="shared" si="84"/>
        <v>b</v>
      </c>
      <c r="E2644" t="str">
        <f t="shared" si="85"/>
        <v>b)Independiente.</v>
      </c>
    </row>
    <row r="2645" spans="1:5" x14ac:dyDescent="0.25">
      <c r="A2645">
        <f t="shared" si="86"/>
        <v>2644</v>
      </c>
      <c r="B2645" t="s">
        <v>2422</v>
      </c>
      <c r="C2645">
        <v>0</v>
      </c>
      <c r="D2645" t="str">
        <f t="shared" si="84"/>
        <v>*</v>
      </c>
      <c r="E2645" t="str">
        <f t="shared" si="85"/>
        <v>c)Interviniente.</v>
      </c>
    </row>
    <row r="2646" spans="1:5" x14ac:dyDescent="0.25">
      <c r="A2646">
        <f t="shared" si="86"/>
        <v>2645</v>
      </c>
      <c r="B2646" t="s">
        <v>2132</v>
      </c>
      <c r="C2646">
        <v>0</v>
      </c>
      <c r="D2646" t="str">
        <f t="shared" si="84"/>
        <v>d</v>
      </c>
      <c r="E2646" t="str">
        <f t="shared" si="85"/>
        <v>d)Concurrente.</v>
      </c>
    </row>
    <row r="2647" spans="1:5" x14ac:dyDescent="0.25">
      <c r="A2647">
        <f t="shared" si="86"/>
        <v>2646</v>
      </c>
      <c r="B2647" t="s">
        <v>2133</v>
      </c>
      <c r="C2647">
        <v>1</v>
      </c>
      <c r="D2647" t="str">
        <f t="shared" si="84"/>
        <v>E</v>
      </c>
      <c r="E2647" t="str">
        <f t="shared" si="85"/>
        <v>En la hipótesis: "los pobladores que viven en zonas endémicas de denghe tienen mayor exposicióna a la picadura del mosquito Aedes Aegiptus" ¿Qué tipo de variables es "lugar de residencia"?</v>
      </c>
    </row>
    <row r="2648" spans="1:5" x14ac:dyDescent="0.25">
      <c r="A2648">
        <f t="shared" si="86"/>
        <v>2647</v>
      </c>
      <c r="B2648" t="s">
        <v>2423</v>
      </c>
      <c r="C2648">
        <v>0</v>
      </c>
      <c r="D2648" t="str">
        <f t="shared" si="84"/>
        <v>*</v>
      </c>
      <c r="E2648" t="str">
        <f t="shared" si="85"/>
        <v>a)Indepediente.</v>
      </c>
    </row>
    <row r="2649" spans="1:5" x14ac:dyDescent="0.25">
      <c r="A2649">
        <f t="shared" si="86"/>
        <v>2648</v>
      </c>
      <c r="B2649" t="s">
        <v>2134</v>
      </c>
      <c r="C2649">
        <v>0</v>
      </c>
      <c r="D2649" t="str">
        <f t="shared" si="84"/>
        <v>b</v>
      </c>
      <c r="E2649" t="str">
        <f t="shared" si="85"/>
        <v>b)Interviniente.</v>
      </c>
    </row>
    <row r="2650" spans="1:5" x14ac:dyDescent="0.25">
      <c r="A2650">
        <f t="shared" si="86"/>
        <v>2649</v>
      </c>
      <c r="B2650" t="s">
        <v>2135</v>
      </c>
      <c r="C2650">
        <v>0</v>
      </c>
      <c r="D2650" t="str">
        <f t="shared" si="84"/>
        <v>c</v>
      </c>
      <c r="E2650" t="str">
        <f t="shared" si="85"/>
        <v>c)Dependiente.</v>
      </c>
    </row>
    <row r="2651" spans="1:5" x14ac:dyDescent="0.25">
      <c r="A2651">
        <f t="shared" si="86"/>
        <v>2650</v>
      </c>
      <c r="B2651" t="s">
        <v>2136</v>
      </c>
      <c r="C2651">
        <v>0</v>
      </c>
      <c r="D2651" t="str">
        <f t="shared" si="84"/>
        <v>d</v>
      </c>
      <c r="E2651" t="str">
        <f t="shared" si="85"/>
        <v>d)Relacional.</v>
      </c>
    </row>
    <row r="2652" spans="1:5" x14ac:dyDescent="0.25">
      <c r="A2652">
        <f t="shared" si="86"/>
        <v>2651</v>
      </c>
      <c r="B2652" t="s">
        <v>2137</v>
      </c>
      <c r="C2652">
        <v>1</v>
      </c>
      <c r="D2652" t="str">
        <f t="shared" si="84"/>
        <v>E</v>
      </c>
      <c r="E2652" t="str">
        <f t="shared" si="85"/>
        <v>En un Centro de Gestión y Participación de la Ciudad de Buenos Aires se ha desarrollado unainvestigación sobre los hombres adultos y su reinserción en el mercado laboral luego de la crisiseconómica del 2000, donde se observa que "el nivel educativo alcanzado mejora las posibilidadesde conseguir empleo" ¿Qué tipo de variable es "educación alcanzada"?</v>
      </c>
    </row>
    <row r="2653" spans="1:5" x14ac:dyDescent="0.25">
      <c r="A2653">
        <f t="shared" si="86"/>
        <v>2652</v>
      </c>
      <c r="B2653" t="s">
        <v>2130</v>
      </c>
      <c r="C2653">
        <v>0</v>
      </c>
      <c r="D2653" t="str">
        <f t="shared" si="84"/>
        <v>a</v>
      </c>
      <c r="E2653" t="str">
        <f t="shared" si="85"/>
        <v>a)Dependiente.</v>
      </c>
    </row>
    <row r="2654" spans="1:5" x14ac:dyDescent="0.25">
      <c r="A2654">
        <f t="shared" si="86"/>
        <v>2653</v>
      </c>
      <c r="B2654" t="s">
        <v>2424</v>
      </c>
      <c r="C2654">
        <v>0</v>
      </c>
      <c r="D2654" t="str">
        <f t="shared" si="84"/>
        <v>*</v>
      </c>
      <c r="E2654" t="str">
        <f t="shared" si="85"/>
        <v>b)Interviniente.</v>
      </c>
    </row>
    <row r="2655" spans="1:5" x14ac:dyDescent="0.25">
      <c r="A2655">
        <f t="shared" si="86"/>
        <v>2654</v>
      </c>
      <c r="B2655" t="s">
        <v>2127</v>
      </c>
      <c r="C2655">
        <v>0</v>
      </c>
      <c r="D2655" t="str">
        <f t="shared" si="84"/>
        <v>c</v>
      </c>
      <c r="E2655" t="str">
        <f t="shared" si="85"/>
        <v>c)Independiente.</v>
      </c>
    </row>
    <row r="2656" spans="1:5" x14ac:dyDescent="0.25">
      <c r="A2656">
        <f t="shared" si="86"/>
        <v>2655</v>
      </c>
      <c r="B2656" t="s">
        <v>2136</v>
      </c>
      <c r="C2656">
        <v>0</v>
      </c>
      <c r="D2656" t="str">
        <f t="shared" si="84"/>
        <v>d</v>
      </c>
      <c r="E2656" t="str">
        <f t="shared" si="85"/>
        <v>d)Relacional.</v>
      </c>
    </row>
    <row r="2657" spans="1:5" x14ac:dyDescent="0.25">
      <c r="A2657">
        <f t="shared" si="86"/>
        <v>2656</v>
      </c>
      <c r="B2657" t="s">
        <v>2138</v>
      </c>
      <c r="C2657">
        <v>1</v>
      </c>
      <c r="D2657" t="str">
        <f t="shared" si="84"/>
        <v>M</v>
      </c>
      <c r="E2657" t="str">
        <f t="shared" si="85"/>
        <v>Marta es Licenciada en Trabajo Social y esta realizando su investigación para la tesis de maestríaen Políticas de Igualdad de Género. Se contacta con el Magister Juan Gomez, experto en Políticasde Género, integrante de un Grupo de Investigación en la temática, autor de diversos libros en eltema, actualmente miembro del comité ejecutivo del Ministerio de la Mujer y asesor en el Senadode la nación en la comisión de familia, niñez y mujer. Marta acabada de contactarlo comorepresentante de la política gubernamental para desarrollar una entrevista que le sirva de insumoen su investigación. Según Cáceres y otros, ¿Qué tipo de entrevista llevará a cabo Marta?</v>
      </c>
    </row>
    <row r="2658" spans="1:5" x14ac:dyDescent="0.25">
      <c r="A2658">
        <f t="shared" si="86"/>
        <v>2657</v>
      </c>
      <c r="B2658" t="s">
        <v>2139</v>
      </c>
      <c r="C2658">
        <v>0</v>
      </c>
      <c r="D2658" t="str">
        <f t="shared" si="84"/>
        <v>a</v>
      </c>
      <c r="E2658" t="str">
        <f t="shared" si="85"/>
        <v>a)Cuestionario cerrado.</v>
      </c>
    </row>
    <row r="2659" spans="1:5" x14ac:dyDescent="0.25">
      <c r="A2659">
        <f t="shared" si="86"/>
        <v>2658</v>
      </c>
      <c r="B2659" t="s">
        <v>2140</v>
      </c>
      <c r="C2659">
        <v>0</v>
      </c>
      <c r="D2659" t="str">
        <f t="shared" si="84"/>
        <v>b</v>
      </c>
      <c r="E2659" t="str">
        <f t="shared" si="85"/>
        <v>b)De orientación.</v>
      </c>
    </row>
    <row r="2660" spans="1:5" x14ac:dyDescent="0.25">
      <c r="A2660">
        <f t="shared" si="86"/>
        <v>2659</v>
      </c>
      <c r="B2660" t="s">
        <v>2141</v>
      </c>
      <c r="C2660">
        <v>0</v>
      </c>
      <c r="D2660" t="str">
        <f t="shared" ref="D2660:D2723" si="87">+MID(B2660,1,1)</f>
        <v>c</v>
      </c>
      <c r="E2660" t="str">
        <f t="shared" si="85"/>
        <v>c)Focal de grupo.</v>
      </c>
    </row>
    <row r="2661" spans="1:5" x14ac:dyDescent="0.25">
      <c r="A2661">
        <f t="shared" si="86"/>
        <v>2660</v>
      </c>
      <c r="B2661" t="s">
        <v>2425</v>
      </c>
      <c r="C2661">
        <v>0</v>
      </c>
      <c r="D2661" t="str">
        <f t="shared" si="87"/>
        <v>*</v>
      </c>
      <c r="E2661" t="str">
        <f t="shared" si="85"/>
        <v>d)Individual a fondo.</v>
      </c>
    </row>
    <row r="2662" spans="1:5" x14ac:dyDescent="0.25">
      <c r="A2662">
        <f t="shared" si="86"/>
        <v>2661</v>
      </c>
      <c r="B2662" t="s">
        <v>2142</v>
      </c>
      <c r="C2662">
        <v>1</v>
      </c>
      <c r="D2662" t="str">
        <f t="shared" si="87"/>
        <v>S</v>
      </c>
      <c r="E2662" t="str">
        <f t="shared" si="85"/>
        <v>Según Cáceres y otros,¿Cuál es el principio fundamental en el momento de la entrevistadenominado desarrollo o contenido?</v>
      </c>
    </row>
    <row r="2663" spans="1:5" x14ac:dyDescent="0.25">
      <c r="A2663">
        <f t="shared" si="86"/>
        <v>2662</v>
      </c>
      <c r="B2663" t="s">
        <v>2426</v>
      </c>
      <c r="C2663">
        <v>0</v>
      </c>
      <c r="D2663" t="str">
        <f t="shared" si="87"/>
        <v>*</v>
      </c>
      <c r="E2663" t="str">
        <f t="shared" si="85"/>
        <v>a)No preguntar nada si no podemos justificar el porqué de esa información quedemandamos, haciéndole sentir al entrevistado nuestra aceptación como persona.</v>
      </c>
    </row>
    <row r="2664" spans="1:5" x14ac:dyDescent="0.25">
      <c r="A2664">
        <f t="shared" si="86"/>
        <v>2663</v>
      </c>
      <c r="B2664" t="s">
        <v>2143</v>
      </c>
      <c r="C2664">
        <v>0</v>
      </c>
      <c r="D2664" t="str">
        <f t="shared" si="87"/>
        <v>b</v>
      </c>
      <c r="E2664" t="str">
        <f t="shared" si="85"/>
        <v>b)Desarrollar preguntas dirigidas a explorar el sistema referencial operativo del entrevistadopara poder orientarlo según sus propias concepciones.</v>
      </c>
    </row>
    <row r="2665" spans="1:5" x14ac:dyDescent="0.25">
      <c r="A2665">
        <f t="shared" si="86"/>
        <v>2664</v>
      </c>
      <c r="B2665" t="s">
        <v>2144</v>
      </c>
      <c r="C2665">
        <v>0</v>
      </c>
      <c r="D2665" t="str">
        <f t="shared" si="87"/>
        <v>c</v>
      </c>
      <c r="E2665" t="str">
        <f t="shared" si="85"/>
        <v>c)Implementar un cuestionario o preguntas guía preparadas con anterioridad al encuentropara optimizar el tiempo de la entrevista y del entrevistado.</v>
      </c>
    </row>
    <row r="2666" spans="1:5" x14ac:dyDescent="0.25">
      <c r="A2666">
        <f t="shared" si="86"/>
        <v>2665</v>
      </c>
      <c r="B2666" t="s">
        <v>2145</v>
      </c>
      <c r="C2666">
        <v>0</v>
      </c>
      <c r="D2666" t="str">
        <f t="shared" si="87"/>
        <v>d</v>
      </c>
      <c r="E2666" t="str">
        <f t="shared" si="85"/>
        <v>d)Realizar preguntas sobre los aspectos relevantes de la problemática que plantea lapersona para orientarlo aunque no sea la institución que pueda resolver su demanda enforma directa.</v>
      </c>
    </row>
    <row r="2667" spans="1:5" x14ac:dyDescent="0.25">
      <c r="A2667">
        <f t="shared" si="86"/>
        <v>2666</v>
      </c>
      <c r="B2667" t="s">
        <v>2146</v>
      </c>
      <c r="C2667">
        <v>1</v>
      </c>
      <c r="D2667" t="str">
        <f t="shared" si="87"/>
        <v>P</v>
      </c>
      <c r="E2667" t="str">
        <f t="shared" si="85"/>
        <v>Para Alfredo Carballeda en "Escuchar las prácticas", una necesidad es un derecho no cumplido ypor ende una injusticia que genera padecimiento y resistencia producto de las desigualdades.Según el autor ¿Qué es lo que visibiliza esta concepción de necesidad?</v>
      </c>
    </row>
    <row r="2668" spans="1:5" x14ac:dyDescent="0.25">
      <c r="A2668">
        <f t="shared" si="86"/>
        <v>2667</v>
      </c>
      <c r="B2668" t="s">
        <v>2147</v>
      </c>
      <c r="C2668">
        <v>0</v>
      </c>
      <c r="D2668" t="str">
        <f t="shared" si="87"/>
        <v>a</v>
      </c>
      <c r="E2668" t="str">
        <f t="shared" si="85"/>
        <v>a)Las amenazas al sistema liberal.</v>
      </c>
    </row>
    <row r="2669" spans="1:5" x14ac:dyDescent="0.25">
      <c r="A2669">
        <f t="shared" si="86"/>
        <v>2668</v>
      </c>
      <c r="B2669" t="s">
        <v>2427</v>
      </c>
      <c r="C2669">
        <v>0</v>
      </c>
      <c r="D2669" t="str">
        <f t="shared" si="87"/>
        <v>*</v>
      </c>
      <c r="E2669" t="str">
        <f t="shared" si="85"/>
        <v>b)Las violaciones al contrato social.</v>
      </c>
    </row>
    <row r="2670" spans="1:5" x14ac:dyDescent="0.25">
      <c r="A2670">
        <f t="shared" si="86"/>
        <v>2669</v>
      </c>
      <c r="B2670" t="s">
        <v>2148</v>
      </c>
      <c r="C2670">
        <v>0</v>
      </c>
      <c r="D2670" t="str">
        <f t="shared" si="87"/>
        <v>c</v>
      </c>
      <c r="E2670" t="str">
        <f t="shared" si="85"/>
        <v>c)Las desviaciones del mercado como distribuidor de bienes.</v>
      </c>
    </row>
    <row r="2671" spans="1:5" x14ac:dyDescent="0.25">
      <c r="A2671">
        <f t="shared" si="86"/>
        <v>2670</v>
      </c>
      <c r="B2671" t="s">
        <v>2149</v>
      </c>
      <c r="C2671">
        <v>0</v>
      </c>
      <c r="D2671" t="str">
        <f t="shared" si="87"/>
        <v>d</v>
      </c>
      <c r="E2671" t="str">
        <f t="shared" si="85"/>
        <v>d)Una manifestación de la desintegración social.</v>
      </c>
    </row>
    <row r="2672" spans="1:5" x14ac:dyDescent="0.25">
      <c r="A2672">
        <f t="shared" si="86"/>
        <v>2671</v>
      </c>
      <c r="B2672" t="s">
        <v>2150</v>
      </c>
      <c r="C2672">
        <v>1</v>
      </c>
      <c r="D2672" t="str">
        <f t="shared" si="87"/>
        <v>¿</v>
      </c>
      <c r="E2672" t="str">
        <f t="shared" si="85"/>
        <v>¿Qué son para Alfredo Carballeda, los "tipos ideales" en supervisión?</v>
      </c>
    </row>
    <row r="2673" spans="1:5" x14ac:dyDescent="0.25">
      <c r="A2673">
        <f t="shared" si="86"/>
        <v>2672</v>
      </c>
      <c r="B2673" t="s">
        <v>2151</v>
      </c>
      <c r="C2673">
        <v>0</v>
      </c>
      <c r="D2673" t="str">
        <f t="shared" si="87"/>
        <v>a</v>
      </c>
      <c r="E2673" t="str">
        <f t="shared" si="85"/>
        <v>a)Son perspectivas conceptuales que permiten desarrollar análisis mas amplios sobre laintervención.</v>
      </c>
    </row>
    <row r="2674" spans="1:5" x14ac:dyDescent="0.25">
      <c r="A2674">
        <f t="shared" si="86"/>
        <v>2673</v>
      </c>
      <c r="B2674" t="s">
        <v>2152</v>
      </c>
      <c r="C2674">
        <v>0</v>
      </c>
      <c r="D2674" t="str">
        <f t="shared" si="87"/>
        <v>b</v>
      </c>
      <c r="E2674" t="str">
        <f t="shared" si="85"/>
        <v>b)Son formas de organizar la información utilizadas para producción de conocimiento.</v>
      </c>
    </row>
    <row r="2675" spans="1:5" x14ac:dyDescent="0.25">
      <c r="A2675">
        <f t="shared" si="86"/>
        <v>2674</v>
      </c>
      <c r="B2675" t="s">
        <v>2428</v>
      </c>
      <c r="C2675">
        <v>0</v>
      </c>
      <c r="D2675" t="str">
        <f t="shared" si="87"/>
        <v>*</v>
      </c>
      <c r="E2675" t="str">
        <f t="shared" si="85"/>
        <v>c)Son esquemas de interpretación, en tanto instrumentos de conocimiento y análisis.</v>
      </c>
    </row>
    <row r="2676" spans="1:5" x14ac:dyDescent="0.25">
      <c r="A2676">
        <f t="shared" si="86"/>
        <v>2675</v>
      </c>
      <c r="B2676" t="s">
        <v>2153</v>
      </c>
      <c r="C2676">
        <v>0</v>
      </c>
      <c r="D2676" t="str">
        <f t="shared" si="87"/>
        <v>d</v>
      </c>
      <c r="E2676" t="str">
        <f t="shared" si="85"/>
        <v>d)Son construcciones sociales en tanto participan distintos actores en su concepción ydesarrollo.</v>
      </c>
    </row>
    <row r="2677" spans="1:5" x14ac:dyDescent="0.25">
      <c r="A2677">
        <f t="shared" si="86"/>
        <v>2676</v>
      </c>
      <c r="B2677" t="s">
        <v>2154</v>
      </c>
      <c r="C2677">
        <v>1</v>
      </c>
      <c r="D2677" t="str">
        <f t="shared" si="87"/>
        <v>E</v>
      </c>
      <c r="E2677" t="str">
        <f t="shared" si="85"/>
        <v>En el artículo de Silvia Cavallieri, ¿Cuál es el desarrollo que se retoma de Marilda Iamamoto sobreel concepto de personajes sociales?</v>
      </c>
    </row>
    <row r="2678" spans="1:5" x14ac:dyDescent="0.25">
      <c r="A2678">
        <f t="shared" si="86"/>
        <v>2677</v>
      </c>
      <c r="B2678" t="s">
        <v>2155</v>
      </c>
      <c r="C2678">
        <v>0</v>
      </c>
      <c r="D2678" t="str">
        <f t="shared" si="87"/>
        <v>a</v>
      </c>
      <c r="E2678" t="str">
        <f t="shared" si="85"/>
        <v>a)Actores sociales en cuyo actuar se refleja su ubicación en la escala social y su forma deconcebir el mundo.</v>
      </c>
    </row>
    <row r="2679" spans="1:5" x14ac:dyDescent="0.25">
      <c r="A2679">
        <f t="shared" si="86"/>
        <v>2678</v>
      </c>
      <c r="B2679" t="s">
        <v>2429</v>
      </c>
      <c r="C2679">
        <v>0</v>
      </c>
      <c r="D2679" t="str">
        <f t="shared" si="87"/>
        <v>*</v>
      </c>
      <c r="E2679" t="str">
        <f t="shared" si="85"/>
        <v>b)Seres sociales y particulares en cuyo modo de ser, de actuar y ver el mundo estáncontenidos las determinaciones sociales derivadas de la posición que ocupan en elproceso y en el juego de poder.</v>
      </c>
    </row>
    <row r="2680" spans="1:5" x14ac:dyDescent="0.25">
      <c r="A2680">
        <f t="shared" si="86"/>
        <v>2679</v>
      </c>
      <c r="B2680" t="s">
        <v>2156</v>
      </c>
      <c r="C2680">
        <v>0</v>
      </c>
      <c r="D2680" t="str">
        <f t="shared" si="87"/>
        <v>c</v>
      </c>
      <c r="E2680" t="str">
        <f t="shared" si="85"/>
        <v>c)Sujetos de la intervención social en cuya singularidad se observan los entrecruzamientohistórico sociales y contextuales a partir de la cual el profesional recupera la subjetividad.</v>
      </c>
    </row>
    <row r="2681" spans="1:5" x14ac:dyDescent="0.25">
      <c r="A2681">
        <f t="shared" si="86"/>
        <v>2680</v>
      </c>
      <c r="B2681" t="s">
        <v>2157</v>
      </c>
      <c r="C2681">
        <v>0</v>
      </c>
      <c r="D2681" t="str">
        <f t="shared" si="87"/>
        <v>d</v>
      </c>
      <c r="E2681" t="str">
        <f t="shared" si="85"/>
        <v>d)Sujetos sociales cuyas particularidades es necesario capturar en la propia cotidianeidaddel quehacer profesional.</v>
      </c>
    </row>
    <row r="2682" spans="1:5" x14ac:dyDescent="0.25">
      <c r="A2682">
        <f t="shared" si="86"/>
        <v>2681</v>
      </c>
      <c r="B2682" t="s">
        <v>2158</v>
      </c>
      <c r="C2682">
        <v>1</v>
      </c>
      <c r="D2682" t="str">
        <f t="shared" si="87"/>
        <v>S</v>
      </c>
      <c r="E2682" t="str">
        <f t="shared" si="85"/>
        <v>Según Silvia Cavallieri en su artículo "Repensando el concepto de problemas sociales", ¿De qué dacuenta el concepto de "Universalidad"?</v>
      </c>
    </row>
    <row r="2683" spans="1:5" x14ac:dyDescent="0.25">
      <c r="A2683">
        <f t="shared" si="86"/>
        <v>2682</v>
      </c>
      <c r="B2683" t="s">
        <v>2430</v>
      </c>
      <c r="C2683">
        <v>0</v>
      </c>
      <c r="D2683" t="str">
        <f t="shared" si="87"/>
        <v>*</v>
      </c>
      <c r="E2683" t="str">
        <f t="shared" si="85"/>
        <v>a)De las grandes determinaciones y leyes tendenciales de un complejo social dado.</v>
      </c>
    </row>
    <row r="2684" spans="1:5" x14ac:dyDescent="0.25">
      <c r="A2684">
        <f t="shared" si="86"/>
        <v>2683</v>
      </c>
      <c r="B2684" t="s">
        <v>2159</v>
      </c>
      <c r="C2684">
        <v>0</v>
      </c>
      <c r="D2684" t="str">
        <f t="shared" si="87"/>
        <v>b</v>
      </c>
      <c r="E2684" t="str">
        <f t="shared" si="85"/>
        <v>b)De las dimensiones estructurales de las relaciones de producción y reproduccióncapitalista.</v>
      </c>
    </row>
    <row r="2685" spans="1:5" x14ac:dyDescent="0.25">
      <c r="A2685">
        <f t="shared" si="86"/>
        <v>2684</v>
      </c>
      <c r="B2685" t="s">
        <v>2160</v>
      </c>
      <c r="C2685">
        <v>0</v>
      </c>
      <c r="D2685" t="str">
        <f t="shared" si="87"/>
        <v>c</v>
      </c>
      <c r="E2685" t="str">
        <f t="shared" si="85"/>
        <v>c)De un nivel de análisis abarcativo y macro vinculado al plano cotidiano en forma directa.</v>
      </c>
    </row>
    <row r="2686" spans="1:5" x14ac:dyDescent="0.25">
      <c r="A2686">
        <f t="shared" si="86"/>
        <v>2685</v>
      </c>
      <c r="B2686" t="s">
        <v>2161</v>
      </c>
      <c r="C2686">
        <v>0</v>
      </c>
      <c r="D2686" t="str">
        <f t="shared" si="87"/>
        <v>d</v>
      </c>
      <c r="E2686" t="str">
        <f t="shared" si="85"/>
        <v>d)De una noción espistemológica y sociológica utilizada como categoría de análisis.</v>
      </c>
    </row>
    <row r="2687" spans="1:5" x14ac:dyDescent="0.25">
      <c r="A2687">
        <f t="shared" si="86"/>
        <v>2686</v>
      </c>
      <c r="B2687" t="s">
        <v>2162</v>
      </c>
      <c r="C2687">
        <v>1</v>
      </c>
      <c r="D2687" t="str">
        <f t="shared" si="87"/>
        <v>S</v>
      </c>
      <c r="E2687" t="str">
        <f t="shared" si="85"/>
        <v>Según Carlos Zarzar Charur en "La dináminca de los grupos de aprendizaje", ¿A qué hacereferencia cuando se habla de la dinámica de los grupos?</v>
      </c>
    </row>
    <row r="2688" spans="1:5" x14ac:dyDescent="0.25">
      <c r="A2688">
        <f t="shared" si="86"/>
        <v>2687</v>
      </c>
      <c r="B2688" t="s">
        <v>2163</v>
      </c>
      <c r="C2688">
        <v>0</v>
      </c>
      <c r="D2688" t="str">
        <f t="shared" si="87"/>
        <v>a</v>
      </c>
      <c r="E2688" t="str">
        <f t="shared" si="85"/>
        <v>a)A la participación activa de los miembros que componen el grupo incluyendo alcoordinador.</v>
      </c>
    </row>
    <row r="2689" spans="1:5" x14ac:dyDescent="0.25">
      <c r="A2689">
        <f t="shared" si="86"/>
        <v>2688</v>
      </c>
      <c r="B2689" t="s">
        <v>2431</v>
      </c>
      <c r="C2689">
        <v>0</v>
      </c>
      <c r="D2689" t="str">
        <f t="shared" si="87"/>
        <v>*</v>
      </c>
      <c r="E2689" t="str">
        <f t="shared" si="85"/>
        <v>b)Al resultado de la interacción de todos los factores que constituyen la situación grupal.</v>
      </c>
    </row>
    <row r="2690" spans="1:5" x14ac:dyDescent="0.25">
      <c r="A2690">
        <f t="shared" si="86"/>
        <v>2689</v>
      </c>
      <c r="B2690" t="s">
        <v>2164</v>
      </c>
      <c r="C2690">
        <v>0</v>
      </c>
      <c r="D2690" t="str">
        <f t="shared" si="87"/>
        <v>c</v>
      </c>
      <c r="E2690" t="str">
        <f t="shared" si="85"/>
        <v>c)A la aplicación de distintas técnicas de intervención grupal que facilitan la relación entreobjetivo y tarea.</v>
      </c>
    </row>
    <row r="2691" spans="1:5" x14ac:dyDescent="0.25">
      <c r="A2691">
        <f t="shared" si="86"/>
        <v>2690</v>
      </c>
      <c r="B2691" t="s">
        <v>2165</v>
      </c>
      <c r="C2691">
        <v>0</v>
      </c>
      <c r="D2691" t="str">
        <f t="shared" si="87"/>
        <v>d</v>
      </c>
      <c r="E2691" t="str">
        <f t="shared" ref="E2691:E2754" si="88">+IF(D2691="*",MID(B2691,3,500),B2691)</f>
        <v>d)A la interacción entre la temática, la tarea explicíta y el encuadre.</v>
      </c>
    </row>
    <row r="2692" spans="1:5" x14ac:dyDescent="0.25">
      <c r="A2692">
        <f t="shared" si="86"/>
        <v>2691</v>
      </c>
      <c r="B2692" t="s">
        <v>2166</v>
      </c>
      <c r="C2692">
        <v>1</v>
      </c>
      <c r="D2692" t="str">
        <f t="shared" si="87"/>
        <v>P</v>
      </c>
      <c r="E2692" t="str">
        <f t="shared" si="88"/>
        <v>Para M. de los Ángeles Comisso, ¿Qué implica conocer el "hecho social"como hecho que seconstruye?</v>
      </c>
    </row>
    <row r="2693" spans="1:5" x14ac:dyDescent="0.25">
      <c r="A2693">
        <f t="shared" si="86"/>
        <v>2692</v>
      </c>
      <c r="B2693" t="s">
        <v>2432</v>
      </c>
      <c r="C2693">
        <v>0</v>
      </c>
      <c r="D2693" t="str">
        <f t="shared" si="87"/>
        <v>*</v>
      </c>
      <c r="E2693" t="str">
        <f t="shared" si="88"/>
        <v>a)Conocer los significados que los actores le atribuyen al hecho social, incluyendo a lapoblación estudiada y al investigador.</v>
      </c>
    </row>
    <row r="2694" spans="1:5" x14ac:dyDescent="0.25">
      <c r="A2694">
        <f t="shared" si="86"/>
        <v>2693</v>
      </c>
      <c r="B2694" t="s">
        <v>2167</v>
      </c>
      <c r="C2694">
        <v>0</v>
      </c>
      <c r="D2694" t="str">
        <f t="shared" si="87"/>
        <v>b</v>
      </c>
      <c r="E2694" t="str">
        <f t="shared" si="88"/>
        <v>b)Deconstruir la cadena de sentidos y símbolos que la población le atribuye a los hechossociales significativos.</v>
      </c>
    </row>
    <row r="2695" spans="1:5" x14ac:dyDescent="0.25">
      <c r="A2695">
        <f t="shared" ref="A2695:A2758" si="89">+A2694+1</f>
        <v>2694</v>
      </c>
      <c r="B2695" t="s">
        <v>2168</v>
      </c>
      <c r="C2695">
        <v>0</v>
      </c>
      <c r="D2695" t="str">
        <f t="shared" si="87"/>
        <v>c</v>
      </c>
      <c r="E2695" t="str">
        <f t="shared" si="88"/>
        <v>c)Explicitar los marcos referenciales y esquemas operativos del investigador.</v>
      </c>
    </row>
    <row r="2696" spans="1:5" x14ac:dyDescent="0.25">
      <c r="A2696">
        <f t="shared" si="89"/>
        <v>2695</v>
      </c>
      <c r="B2696" t="s">
        <v>2169</v>
      </c>
      <c r="C2696">
        <v>0</v>
      </c>
      <c r="D2696" t="str">
        <f t="shared" si="87"/>
        <v>d</v>
      </c>
      <c r="E2696" t="str">
        <f t="shared" si="88"/>
        <v>d)Explorar el universo de sentidos de los actores sociales involucrados en el hecho social aestudiar.</v>
      </c>
    </row>
    <row r="2697" spans="1:5" x14ac:dyDescent="0.25">
      <c r="A2697">
        <f t="shared" si="89"/>
        <v>2696</v>
      </c>
      <c r="B2697" t="s">
        <v>2170</v>
      </c>
      <c r="C2697">
        <v>1</v>
      </c>
      <c r="D2697" t="str">
        <f t="shared" si="87"/>
        <v>S</v>
      </c>
      <c r="E2697" t="str">
        <f t="shared" si="88"/>
        <v>Según María de los Ángeles Comisso, ¿Qué se propone la prevención no normatizante?</v>
      </c>
    </row>
    <row r="2698" spans="1:5" x14ac:dyDescent="0.25">
      <c r="A2698">
        <f t="shared" si="89"/>
        <v>2697</v>
      </c>
      <c r="B2698" t="s">
        <v>2171</v>
      </c>
      <c r="C2698">
        <v>0</v>
      </c>
      <c r="D2698" t="str">
        <f t="shared" si="87"/>
        <v>a</v>
      </c>
      <c r="E2698" t="str">
        <f t="shared" si="88"/>
        <v>a)Estimular el desarrollo de un patrón de vida saludable a alcanzar intentando recuperar elequilibrio u orden perdido.</v>
      </c>
    </row>
    <row r="2699" spans="1:5" x14ac:dyDescent="0.25">
      <c r="A2699">
        <f t="shared" si="89"/>
        <v>2698</v>
      </c>
      <c r="B2699" t="s">
        <v>2172</v>
      </c>
      <c r="C2699">
        <v>0</v>
      </c>
      <c r="D2699" t="str">
        <f t="shared" si="87"/>
        <v>b</v>
      </c>
      <c r="E2699" t="str">
        <f t="shared" si="88"/>
        <v>b)Desarrollar conductas no transgresoras en los individuos, estimulando lo que deben hacerbien por la salud.</v>
      </c>
    </row>
    <row r="2700" spans="1:5" x14ac:dyDescent="0.25">
      <c r="A2700">
        <f t="shared" si="89"/>
        <v>2699</v>
      </c>
      <c r="B2700" t="s">
        <v>2173</v>
      </c>
      <c r="C2700">
        <v>0</v>
      </c>
      <c r="D2700" t="str">
        <f t="shared" si="87"/>
        <v>c</v>
      </c>
      <c r="E2700" t="str">
        <f t="shared" si="88"/>
        <v>c)Deconstruir situaciones problemáticas y favorecer la generación de condicionesmateriales de vida saludables para el desarrollo del o los sujetos.</v>
      </c>
    </row>
    <row r="2701" spans="1:5" x14ac:dyDescent="0.25">
      <c r="A2701">
        <f t="shared" si="89"/>
        <v>2700</v>
      </c>
      <c r="B2701" t="s">
        <v>2433</v>
      </c>
      <c r="C2701">
        <v>0</v>
      </c>
      <c r="D2701" t="str">
        <f t="shared" si="87"/>
        <v>*</v>
      </c>
      <c r="E2701" t="str">
        <f t="shared" si="88"/>
        <v>d)Desanudar situaciones problema respetando las subjetividades, comprendiendo "como es"cada persona sin imponer como debe ser.</v>
      </c>
    </row>
    <row r="2702" spans="1:5" x14ac:dyDescent="0.25">
      <c r="A2702">
        <f t="shared" si="89"/>
        <v>2701</v>
      </c>
      <c r="B2702" t="s">
        <v>2174</v>
      </c>
      <c r="C2702">
        <v>1</v>
      </c>
      <c r="D2702" t="str">
        <f t="shared" si="87"/>
        <v>C</v>
      </c>
      <c r="E2702" t="str">
        <f t="shared" si="88"/>
        <v>Comisso analiza la relación entre enfermedad y sujeto, retomando el concepto de Clínica delSujeto desarrollado por Campos. Según la autora, ¿Qué incluye el objeto de la Clínica del Sujeto?</v>
      </c>
    </row>
    <row r="2703" spans="1:5" x14ac:dyDescent="0.25">
      <c r="A2703">
        <f t="shared" si="89"/>
        <v>2702</v>
      </c>
      <c r="B2703" t="s">
        <v>2175</v>
      </c>
      <c r="C2703">
        <v>0</v>
      </c>
      <c r="D2703" t="str">
        <f t="shared" si="87"/>
        <v>a</v>
      </c>
      <c r="E2703" t="str">
        <f t="shared" si="88"/>
        <v>a)La disminución del sufrimiento y las acciones sobre las enfermedades.</v>
      </c>
    </row>
    <row r="2704" spans="1:5" x14ac:dyDescent="0.25">
      <c r="A2704">
        <f t="shared" si="89"/>
        <v>2703</v>
      </c>
      <c r="B2704" t="s">
        <v>2434</v>
      </c>
      <c r="C2704">
        <v>0</v>
      </c>
      <c r="D2704" t="str">
        <f t="shared" si="87"/>
        <v>*</v>
      </c>
      <c r="E2704" t="str">
        <f t="shared" si="88"/>
        <v>b)La dolencia, el contexto y al propio sujeto.</v>
      </c>
    </row>
    <row r="2705" spans="1:5" x14ac:dyDescent="0.25">
      <c r="A2705">
        <f t="shared" si="89"/>
        <v>2704</v>
      </c>
      <c r="B2705" t="s">
        <v>2176</v>
      </c>
      <c r="C2705">
        <v>0</v>
      </c>
      <c r="D2705" t="str">
        <f t="shared" si="87"/>
        <v>c</v>
      </c>
      <c r="E2705" t="str">
        <f t="shared" si="88"/>
        <v>c)La percepción del sujeto sobre su enfermedad.</v>
      </c>
    </row>
    <row r="2706" spans="1:5" x14ac:dyDescent="0.25">
      <c r="A2706">
        <f t="shared" si="89"/>
        <v>2705</v>
      </c>
      <c r="B2706" t="s">
        <v>2177</v>
      </c>
      <c r="C2706">
        <v>0</v>
      </c>
      <c r="D2706" t="str">
        <f t="shared" si="87"/>
        <v>d</v>
      </c>
      <c r="E2706" t="str">
        <f t="shared" si="88"/>
        <v>d)La salud, la situación contextual y al individuo.</v>
      </c>
    </row>
    <row r="2707" spans="1:5" x14ac:dyDescent="0.25">
      <c r="A2707">
        <f t="shared" si="89"/>
        <v>2706</v>
      </c>
      <c r="B2707" t="s">
        <v>2178</v>
      </c>
      <c r="C2707">
        <v>1</v>
      </c>
      <c r="D2707" t="str">
        <f t="shared" si="87"/>
        <v>¿</v>
      </c>
      <c r="E2707" t="str">
        <f t="shared" si="88"/>
        <v>¿Cómo definen Del Cueto y Fernandez el rol de chivo emisario?</v>
      </c>
    </row>
    <row r="2708" spans="1:5" x14ac:dyDescent="0.25">
      <c r="A2708">
        <f t="shared" si="89"/>
        <v>2707</v>
      </c>
      <c r="B2708" t="s">
        <v>2179</v>
      </c>
      <c r="C2708">
        <v>0</v>
      </c>
      <c r="D2708" t="str">
        <f t="shared" si="87"/>
        <v>a</v>
      </c>
      <c r="E2708" t="str">
        <f t="shared" si="88"/>
        <v>a)El miembro que un momento denuncia el acontecer grupal, las fantasías que lo mueven,las ansiedades y necesidades de la totalidad del grupo.</v>
      </c>
    </row>
    <row r="2709" spans="1:5" x14ac:dyDescent="0.25">
      <c r="A2709">
        <f t="shared" si="89"/>
        <v>2708</v>
      </c>
      <c r="B2709" t="s">
        <v>2435</v>
      </c>
      <c r="C2709">
        <v>0</v>
      </c>
      <c r="D2709" t="str">
        <f t="shared" si="87"/>
        <v>*</v>
      </c>
      <c r="E2709" t="str">
        <f t="shared" si="88"/>
        <v>b)La depositación en un miembro del grupo de aspectos negativos o atemorizantes delmismo o de la tarea.</v>
      </c>
    </row>
    <row r="2710" spans="1:5" x14ac:dyDescent="0.25">
      <c r="A2710">
        <f t="shared" si="89"/>
        <v>2709</v>
      </c>
      <c r="B2710" t="s">
        <v>2180</v>
      </c>
      <c r="C2710">
        <v>0</v>
      </c>
      <c r="D2710" t="str">
        <f t="shared" si="87"/>
        <v>c</v>
      </c>
      <c r="E2710" t="str">
        <f t="shared" si="88"/>
        <v>c)Será el integrante que un momento determinado asume el liderazgo de la resistencia alcambio.</v>
      </c>
    </row>
    <row r="2711" spans="1:5" x14ac:dyDescent="0.25">
      <c r="A2711">
        <f t="shared" si="89"/>
        <v>2710</v>
      </c>
      <c r="B2711" t="s">
        <v>2181</v>
      </c>
      <c r="C2711">
        <v>0</v>
      </c>
      <c r="D2711" t="str">
        <f t="shared" si="87"/>
        <v>d</v>
      </c>
      <c r="E2711" t="str">
        <f t="shared" si="88"/>
        <v>d)La depositación en un integrante del grupo de los aspectos positivos del grupo.</v>
      </c>
    </row>
    <row r="2712" spans="1:5" x14ac:dyDescent="0.25">
      <c r="A2712">
        <f t="shared" si="89"/>
        <v>2711</v>
      </c>
      <c r="B2712" t="s">
        <v>2182</v>
      </c>
      <c r="C2712">
        <v>1</v>
      </c>
      <c r="D2712" t="str">
        <f t="shared" si="87"/>
        <v>S</v>
      </c>
      <c r="E2712" t="str">
        <f t="shared" si="88"/>
        <v>Según Pichardo Muñiz, hacia el segundo quinquenio de 1940 en América Latina, comienza a actuarla Comisión Económica para América Latina (CEPAL), bajo la dirección del economista Raúl Prebich¿Cuál era, según la autora, la preocupación central de este organismo?</v>
      </c>
    </row>
    <row r="2713" spans="1:5" x14ac:dyDescent="0.25">
      <c r="A2713">
        <f t="shared" si="89"/>
        <v>2712</v>
      </c>
      <c r="B2713" t="s">
        <v>2183</v>
      </c>
      <c r="C2713">
        <v>0</v>
      </c>
      <c r="D2713" t="str">
        <f t="shared" si="87"/>
        <v>a</v>
      </c>
      <c r="E2713" t="str">
        <f t="shared" si="88"/>
        <v>a)Desarrollar auditorías que pusieran en evidencia el proceso de concentración de capitalpor parte de empresas monópolicas.</v>
      </c>
    </row>
    <row r="2714" spans="1:5" x14ac:dyDescent="0.25">
      <c r="A2714">
        <f t="shared" si="89"/>
        <v>2713</v>
      </c>
      <c r="B2714" t="s">
        <v>2436</v>
      </c>
      <c r="C2714">
        <v>0</v>
      </c>
      <c r="D2714" t="str">
        <f t="shared" si="87"/>
        <v>*</v>
      </c>
      <c r="E2714" t="str">
        <f t="shared" si="88"/>
        <v>b)El estudio de las condiciones del subdesarrollo latinoamericano.</v>
      </c>
    </row>
    <row r="2715" spans="1:5" x14ac:dyDescent="0.25">
      <c r="A2715">
        <f t="shared" si="89"/>
        <v>2714</v>
      </c>
      <c r="B2715" t="s">
        <v>2184</v>
      </c>
      <c r="C2715">
        <v>0</v>
      </c>
      <c r="D2715" t="str">
        <f t="shared" si="87"/>
        <v>c</v>
      </c>
      <c r="E2715" t="str">
        <f t="shared" si="88"/>
        <v>c)Generar condiciones para la firma de créditos para el desarrollo políticas y programassociales con el BID.</v>
      </c>
    </row>
    <row r="2716" spans="1:5" x14ac:dyDescent="0.25">
      <c r="A2716">
        <f t="shared" si="89"/>
        <v>2715</v>
      </c>
      <c r="B2716" t="s">
        <v>2185</v>
      </c>
      <c r="C2716">
        <v>0</v>
      </c>
      <c r="D2716" t="str">
        <f t="shared" si="87"/>
        <v>d</v>
      </c>
      <c r="E2716" t="str">
        <f t="shared" si="88"/>
        <v>d)La investigación de variables socio económicas que producían el atraso en el tercermundo.</v>
      </c>
    </row>
    <row r="2717" spans="1:5" x14ac:dyDescent="0.25">
      <c r="A2717">
        <f t="shared" si="89"/>
        <v>2716</v>
      </c>
      <c r="B2717" t="s">
        <v>2186</v>
      </c>
      <c r="C2717">
        <v>1</v>
      </c>
      <c r="D2717" t="str">
        <f t="shared" si="87"/>
        <v>¿</v>
      </c>
      <c r="E2717" t="str">
        <f t="shared" si="88"/>
        <v>¿Cómo define Pichardo Muñiz en "Planificación y Programación social", a las "Estrategias" dentrode la formulación como etapa de la planificación?</v>
      </c>
    </row>
    <row r="2718" spans="1:5" x14ac:dyDescent="0.25">
      <c r="A2718">
        <f t="shared" si="89"/>
        <v>2717</v>
      </c>
      <c r="B2718" t="s">
        <v>2187</v>
      </c>
      <c r="C2718">
        <v>0</v>
      </c>
      <c r="D2718" t="str">
        <f t="shared" si="87"/>
        <v>a</v>
      </c>
      <c r="E2718" t="str">
        <f t="shared" si="88"/>
        <v>a)Acciones planificadas para llevar adelante el proceso de concreción de la imagen-objetivo.</v>
      </c>
    </row>
    <row r="2719" spans="1:5" x14ac:dyDescent="0.25">
      <c r="A2719">
        <f t="shared" si="89"/>
        <v>2718</v>
      </c>
      <c r="B2719" t="s">
        <v>2188</v>
      </c>
      <c r="C2719">
        <v>0</v>
      </c>
      <c r="D2719" t="str">
        <f t="shared" si="87"/>
        <v>b</v>
      </c>
      <c r="E2719" t="str">
        <f t="shared" si="88"/>
        <v>b)El proceso de identificación, selección y diseño de acciones requeridas para llevar a lapráctica los objetivos.</v>
      </c>
    </row>
    <row r="2720" spans="1:5" x14ac:dyDescent="0.25">
      <c r="A2720">
        <f t="shared" si="89"/>
        <v>2719</v>
      </c>
      <c r="B2720" t="s">
        <v>2189</v>
      </c>
      <c r="C2720">
        <v>0</v>
      </c>
      <c r="D2720" t="str">
        <f t="shared" si="87"/>
        <v>c</v>
      </c>
      <c r="E2720" t="str">
        <f t="shared" si="88"/>
        <v>c)Líneas generales que orientarán las acciones, debe incluir los instrumentos que seutilizarán para la ejecución de las mismas.</v>
      </c>
    </row>
    <row r="2721" spans="1:5" x14ac:dyDescent="0.25">
      <c r="A2721">
        <f t="shared" si="89"/>
        <v>2720</v>
      </c>
      <c r="B2721" t="s">
        <v>2437</v>
      </c>
      <c r="C2721">
        <v>0</v>
      </c>
      <c r="D2721" t="str">
        <f t="shared" si="87"/>
        <v>*</v>
      </c>
      <c r="E2721" t="str">
        <f t="shared" si="88"/>
        <v>d)Orientaciones generales que pueden guiar el proceso de intervención, debe contemplar elestablecimiento de objetivos y metas.</v>
      </c>
    </row>
    <row r="2722" spans="1:5" x14ac:dyDescent="0.25">
      <c r="A2722">
        <f t="shared" si="89"/>
        <v>2721</v>
      </c>
      <c r="B2722" t="s">
        <v>2190</v>
      </c>
      <c r="C2722">
        <v>1</v>
      </c>
      <c r="D2722" t="str">
        <f t="shared" si="87"/>
        <v>S</v>
      </c>
      <c r="E2722" t="str">
        <f t="shared" si="88"/>
        <v>Según Hellen Harris Perlman en el libro "La dimensión técnico- instrumental en Trabajo Social",¿Qué implica el Case Work en tanto transacción progresiva entre el profesional y el cliente?</v>
      </c>
    </row>
    <row r="2723" spans="1:5" x14ac:dyDescent="0.25">
      <c r="A2723">
        <f t="shared" si="89"/>
        <v>2722</v>
      </c>
      <c r="B2723" t="s">
        <v>2191</v>
      </c>
      <c r="C2723">
        <v>0</v>
      </c>
      <c r="D2723" t="str">
        <f t="shared" si="87"/>
        <v>a</v>
      </c>
      <c r="E2723" t="str">
        <f t="shared" si="88"/>
        <v>a)Un proceso de conocimiento y contrato mutuo.</v>
      </c>
    </row>
    <row r="2724" spans="1:5" x14ac:dyDescent="0.25">
      <c r="A2724">
        <f t="shared" si="89"/>
        <v>2723</v>
      </c>
      <c r="B2724" t="s">
        <v>2192</v>
      </c>
      <c r="C2724">
        <v>0</v>
      </c>
      <c r="D2724" t="str">
        <f t="shared" ref="D2724:D2787" si="90">+MID(B2724,1,1)</f>
        <v>b</v>
      </c>
      <c r="E2724" t="str">
        <f t="shared" si="88"/>
        <v>b)Un reconocimiento constante de cambios adaptativos durante el proceso de intervención.</v>
      </c>
    </row>
    <row r="2725" spans="1:5" x14ac:dyDescent="0.25">
      <c r="A2725">
        <f t="shared" si="89"/>
        <v>2724</v>
      </c>
      <c r="B2725" t="s">
        <v>2193</v>
      </c>
      <c r="C2725">
        <v>0</v>
      </c>
      <c r="D2725" t="str">
        <f t="shared" si="90"/>
        <v>c</v>
      </c>
      <c r="E2725" t="str">
        <f t="shared" si="88"/>
        <v>c)Una serie de entrevistas de diagnóstico, intervenciones y resoluciones.</v>
      </c>
    </row>
    <row r="2726" spans="1:5" x14ac:dyDescent="0.25">
      <c r="A2726">
        <f t="shared" si="89"/>
        <v>2725</v>
      </c>
      <c r="B2726" t="s">
        <v>2438</v>
      </c>
      <c r="C2726">
        <v>0</v>
      </c>
      <c r="D2726" t="str">
        <f t="shared" si="90"/>
        <v>*</v>
      </c>
      <c r="E2726" t="str">
        <f t="shared" si="88"/>
        <v>d)Una serie de operaciones de resolución de problemas integrados en una relaciónsignificativa.</v>
      </c>
    </row>
    <row r="2727" spans="1:5" x14ac:dyDescent="0.25">
      <c r="A2727">
        <f t="shared" si="89"/>
        <v>2726</v>
      </c>
      <c r="B2727" t="s">
        <v>2194</v>
      </c>
      <c r="C2727">
        <v>1</v>
      </c>
      <c r="D2727" t="str">
        <f t="shared" si="90"/>
        <v>S</v>
      </c>
      <c r="E2727" t="str">
        <f t="shared" si="88"/>
        <v>Según Águeda Loretto y otros en el libro de Bibiana Travi, las prácticas discursivas constituyen unámbito privilegiado en el que se pueden visualizar al menos tres dimensiones específicas ¿Cuálesson?</v>
      </c>
    </row>
    <row r="2728" spans="1:5" x14ac:dyDescent="0.25">
      <c r="A2728">
        <f t="shared" si="89"/>
        <v>2727</v>
      </c>
      <c r="B2728" t="s">
        <v>2195</v>
      </c>
      <c r="C2728">
        <v>0</v>
      </c>
      <c r="D2728" t="str">
        <f t="shared" si="90"/>
        <v>a</v>
      </c>
      <c r="E2728" t="str">
        <f t="shared" si="88"/>
        <v>a)Construcción discursiva, construcción de sentidos y del meta relato.</v>
      </c>
    </row>
    <row r="2729" spans="1:5" x14ac:dyDescent="0.25">
      <c r="A2729">
        <f t="shared" si="89"/>
        <v>2728</v>
      </c>
      <c r="B2729" t="s">
        <v>2196</v>
      </c>
      <c r="C2729">
        <v>0</v>
      </c>
      <c r="D2729" t="str">
        <f t="shared" si="90"/>
        <v>b</v>
      </c>
      <c r="E2729" t="str">
        <f t="shared" si="88"/>
        <v>b)Emisor, receptor, mensaje.</v>
      </c>
    </row>
    <row r="2730" spans="1:5" x14ac:dyDescent="0.25">
      <c r="A2730">
        <f t="shared" si="89"/>
        <v>2729</v>
      </c>
      <c r="B2730" t="s">
        <v>2439</v>
      </c>
      <c r="C2730">
        <v>0</v>
      </c>
      <c r="D2730" t="str">
        <f t="shared" si="90"/>
        <v>*</v>
      </c>
      <c r="E2730" t="str">
        <f t="shared" si="88"/>
        <v>c)Producción y circulación de sentido, producción textualizada y producción de recepción.</v>
      </c>
    </row>
    <row r="2731" spans="1:5" x14ac:dyDescent="0.25">
      <c r="A2731">
        <f t="shared" si="89"/>
        <v>2730</v>
      </c>
      <c r="B2731" t="s">
        <v>2197</v>
      </c>
      <c r="C2731">
        <v>0</v>
      </c>
      <c r="D2731" t="str">
        <f t="shared" si="90"/>
        <v>d</v>
      </c>
      <c r="E2731" t="str">
        <f t="shared" si="88"/>
        <v>d)Producción del relato, ámbitos de circulación del discurso, decodificación del receptor.</v>
      </c>
    </row>
    <row r="2732" spans="1:5" x14ac:dyDescent="0.25">
      <c r="A2732">
        <f t="shared" si="89"/>
        <v>2731</v>
      </c>
      <c r="B2732" t="s">
        <v>2198</v>
      </c>
      <c r="C2732">
        <v>1</v>
      </c>
      <c r="D2732" t="str">
        <f t="shared" si="90"/>
        <v>S</v>
      </c>
      <c r="E2732" t="str">
        <f t="shared" si="88"/>
        <v>Según Rosenfeld, ¿Cómo define Sartre la praxis del grupo?</v>
      </c>
    </row>
    <row r="2733" spans="1:5" x14ac:dyDescent="0.25">
      <c r="A2733">
        <f t="shared" si="89"/>
        <v>2732</v>
      </c>
      <c r="B2733" t="s">
        <v>2199</v>
      </c>
      <c r="C2733">
        <v>0</v>
      </c>
      <c r="D2733" t="str">
        <f t="shared" si="90"/>
        <v>a</v>
      </c>
      <c r="E2733" t="str">
        <f t="shared" si="88"/>
        <v>a)Como una acción colectiva en pos del cambio.</v>
      </c>
    </row>
    <row r="2734" spans="1:5" x14ac:dyDescent="0.25">
      <c r="A2734">
        <f t="shared" si="89"/>
        <v>2733</v>
      </c>
      <c r="B2734" t="s">
        <v>2440</v>
      </c>
      <c r="C2734">
        <v>0</v>
      </c>
      <c r="D2734" t="str">
        <f t="shared" si="90"/>
        <v>*</v>
      </c>
      <c r="E2734" t="str">
        <f t="shared" si="88"/>
        <v>b)Como un actuar con conciencia de la alienación.</v>
      </c>
    </row>
    <row r="2735" spans="1:5" x14ac:dyDescent="0.25">
      <c r="A2735">
        <f t="shared" si="89"/>
        <v>2734</v>
      </c>
      <c r="B2735" t="s">
        <v>2200</v>
      </c>
      <c r="C2735">
        <v>0</v>
      </c>
      <c r="D2735" t="str">
        <f t="shared" si="90"/>
        <v>c</v>
      </c>
      <c r="E2735" t="str">
        <f t="shared" si="88"/>
        <v>c)Como una participación activa en la toma de decisiones.</v>
      </c>
    </row>
    <row r="2736" spans="1:5" x14ac:dyDescent="0.25">
      <c r="A2736">
        <f t="shared" si="89"/>
        <v>2735</v>
      </c>
      <c r="B2736" t="s">
        <v>2201</v>
      </c>
      <c r="C2736">
        <v>0</v>
      </c>
      <c r="D2736" t="str">
        <f t="shared" si="90"/>
        <v>d</v>
      </c>
      <c r="E2736" t="str">
        <f t="shared" si="88"/>
        <v>d)Como un proceso de conocimiento de las determinaciones sociales.</v>
      </c>
    </row>
    <row r="2737" spans="1:5" x14ac:dyDescent="0.25">
      <c r="A2737">
        <f t="shared" si="89"/>
        <v>2736</v>
      </c>
      <c r="B2737" t="s">
        <v>2202</v>
      </c>
      <c r="C2737">
        <v>1</v>
      </c>
      <c r="D2737" t="str">
        <f t="shared" si="90"/>
        <v>P</v>
      </c>
      <c r="E2737" t="str">
        <f t="shared" si="88"/>
        <v>Para David Rosenfeld, con respecto al grupo de juramento ¿Qué se jura según el autor?</v>
      </c>
    </row>
    <row r="2738" spans="1:5" x14ac:dyDescent="0.25">
      <c r="A2738">
        <f t="shared" si="89"/>
        <v>2737</v>
      </c>
      <c r="B2738" t="s">
        <v>2203</v>
      </c>
      <c r="C2738">
        <v>0</v>
      </c>
      <c r="D2738" t="str">
        <f t="shared" si="90"/>
        <v>a</v>
      </c>
      <c r="E2738" t="str">
        <f t="shared" si="88"/>
        <v>a)Un contrato.</v>
      </c>
    </row>
    <row r="2739" spans="1:5" x14ac:dyDescent="0.25">
      <c r="A2739">
        <f t="shared" si="89"/>
        <v>2738</v>
      </c>
      <c r="B2739" t="s">
        <v>2204</v>
      </c>
      <c r="C2739">
        <v>0</v>
      </c>
      <c r="D2739" t="str">
        <f t="shared" si="90"/>
        <v>b</v>
      </c>
      <c r="E2739" t="str">
        <f t="shared" si="88"/>
        <v>b)Un interés común.</v>
      </c>
    </row>
    <row r="2740" spans="1:5" x14ac:dyDescent="0.25">
      <c r="A2740">
        <f t="shared" si="89"/>
        <v>2739</v>
      </c>
      <c r="B2740" t="s">
        <v>2205</v>
      </c>
      <c r="C2740">
        <v>0</v>
      </c>
      <c r="D2740" t="str">
        <f t="shared" si="90"/>
        <v>c</v>
      </c>
      <c r="E2740" t="str">
        <f t="shared" si="88"/>
        <v>c)Una tarea.</v>
      </c>
    </row>
    <row r="2741" spans="1:5" x14ac:dyDescent="0.25">
      <c r="A2741">
        <f t="shared" si="89"/>
        <v>2740</v>
      </c>
      <c r="B2741" t="s">
        <v>2441</v>
      </c>
      <c r="C2741">
        <v>0</v>
      </c>
      <c r="D2741" t="str">
        <f t="shared" si="90"/>
        <v>*</v>
      </c>
      <c r="E2741" t="str">
        <f t="shared" si="88"/>
        <v>d)Un vínculo.</v>
      </c>
    </row>
    <row r="2742" spans="1:5" x14ac:dyDescent="0.25">
      <c r="A2742">
        <f t="shared" si="89"/>
        <v>2741</v>
      </c>
      <c r="B2742" t="s">
        <v>2206</v>
      </c>
      <c r="C2742">
        <v>1</v>
      </c>
      <c r="D2742" t="str">
        <f t="shared" si="90"/>
        <v>E</v>
      </c>
      <c r="E2742" t="str">
        <f t="shared" si="88"/>
        <v>En el libro de Graciela Tonón, Velez Restrepo para contribuir a la resignificación que, según él,tiene que operarse en el Trabajo Social contemporáneo, invita a designar el conjunto de actos,prácticas y procesos inmersos en el ejercicio profesional, con otro concepto. ¿Qué noción utiliza laautora?</v>
      </c>
    </row>
    <row r="2743" spans="1:5" x14ac:dyDescent="0.25">
      <c r="A2743">
        <f t="shared" si="89"/>
        <v>2742</v>
      </c>
      <c r="B2743" t="s">
        <v>2207</v>
      </c>
      <c r="C2743">
        <v>0</v>
      </c>
      <c r="D2743" t="str">
        <f t="shared" si="90"/>
        <v>a</v>
      </c>
      <c r="E2743" t="str">
        <f t="shared" si="88"/>
        <v>a)Intervención.</v>
      </c>
    </row>
    <row r="2744" spans="1:5" x14ac:dyDescent="0.25">
      <c r="A2744">
        <f t="shared" si="89"/>
        <v>2743</v>
      </c>
      <c r="B2744" t="s">
        <v>2442</v>
      </c>
      <c r="C2744">
        <v>0</v>
      </c>
      <c r="D2744" t="str">
        <f t="shared" si="90"/>
        <v>*</v>
      </c>
      <c r="E2744" t="str">
        <f t="shared" si="88"/>
        <v>b)Actuación.</v>
      </c>
    </row>
    <row r="2745" spans="1:5" x14ac:dyDescent="0.25">
      <c r="A2745">
        <f t="shared" si="89"/>
        <v>2744</v>
      </c>
      <c r="B2745" t="s">
        <v>2208</v>
      </c>
      <c r="C2745">
        <v>0</v>
      </c>
      <c r="D2745" t="str">
        <f t="shared" si="90"/>
        <v>c</v>
      </c>
      <c r="E2745" t="str">
        <f t="shared" si="88"/>
        <v>c)Práctica.</v>
      </c>
    </row>
    <row r="2746" spans="1:5" x14ac:dyDescent="0.25">
      <c r="A2746">
        <f t="shared" si="89"/>
        <v>2745</v>
      </c>
      <c r="B2746" t="s">
        <v>2209</v>
      </c>
      <c r="C2746">
        <v>0</v>
      </c>
      <c r="D2746" t="str">
        <f t="shared" si="90"/>
        <v>d</v>
      </c>
      <c r="E2746" t="str">
        <f t="shared" si="88"/>
        <v>d)Praxis.</v>
      </c>
    </row>
    <row r="2747" spans="1:5" x14ac:dyDescent="0.25">
      <c r="A2747">
        <f t="shared" si="89"/>
        <v>2746</v>
      </c>
      <c r="B2747" t="s">
        <v>2210</v>
      </c>
      <c r="C2747">
        <v>1</v>
      </c>
      <c r="D2747" t="str">
        <f t="shared" si="90"/>
        <v>P</v>
      </c>
      <c r="E2747" t="str">
        <f t="shared" si="88"/>
        <v>Para Rosana Guber, la entrevista implica sociológica y epistemológicamente una relación. ¿A quétipo de relación hace mención la autora?</v>
      </c>
    </row>
    <row r="2748" spans="1:5" x14ac:dyDescent="0.25">
      <c r="A2748">
        <f t="shared" si="89"/>
        <v>2747</v>
      </c>
      <c r="B2748" t="s">
        <v>2443</v>
      </c>
      <c r="C2748">
        <v>0</v>
      </c>
      <c r="D2748" t="str">
        <f t="shared" si="90"/>
        <v>*</v>
      </c>
      <c r="E2748" t="str">
        <f t="shared" si="88"/>
        <v>a)Asimétrica.</v>
      </c>
    </row>
    <row r="2749" spans="1:5" x14ac:dyDescent="0.25">
      <c r="A2749">
        <f t="shared" si="89"/>
        <v>2748</v>
      </c>
      <c r="B2749" t="s">
        <v>2211</v>
      </c>
      <c r="C2749">
        <v>0</v>
      </c>
      <c r="D2749" t="str">
        <f t="shared" si="90"/>
        <v>b</v>
      </c>
      <c r="E2749" t="str">
        <f t="shared" si="88"/>
        <v>b)Complementaria.</v>
      </c>
    </row>
    <row r="2750" spans="1:5" x14ac:dyDescent="0.25">
      <c r="A2750">
        <f t="shared" si="89"/>
        <v>2749</v>
      </c>
      <c r="B2750" t="s">
        <v>2212</v>
      </c>
      <c r="C2750">
        <v>0</v>
      </c>
      <c r="D2750" t="str">
        <f t="shared" si="90"/>
        <v>c</v>
      </c>
      <c r="E2750" t="str">
        <f t="shared" si="88"/>
        <v>c)Interpersonal</v>
      </c>
    </row>
    <row r="2751" spans="1:5" x14ac:dyDescent="0.25">
      <c r="A2751">
        <f t="shared" si="89"/>
        <v>2750</v>
      </c>
      <c r="B2751" t="s">
        <v>2213</v>
      </c>
      <c r="C2751">
        <v>0</v>
      </c>
      <c r="D2751" t="str">
        <f t="shared" si="90"/>
        <v>d</v>
      </c>
      <c r="E2751" t="str">
        <f t="shared" si="88"/>
        <v>d)Simétrica.</v>
      </c>
    </row>
    <row r="2752" spans="1:5" x14ac:dyDescent="0.25">
      <c r="A2752">
        <f t="shared" si="89"/>
        <v>2751</v>
      </c>
      <c r="B2752" t="s">
        <v>2214</v>
      </c>
      <c r="C2752">
        <v>1</v>
      </c>
      <c r="D2752" t="str">
        <f t="shared" si="90"/>
        <v>S</v>
      </c>
      <c r="E2752" t="str">
        <f t="shared" si="88"/>
        <v>Según Mario Róvere, ¿Qué tipo de organización implica el concepto de "sistemas"?</v>
      </c>
    </row>
    <row r="2753" spans="1:5" x14ac:dyDescent="0.25">
      <c r="A2753">
        <f t="shared" si="89"/>
        <v>2752</v>
      </c>
      <c r="B2753" t="s">
        <v>2215</v>
      </c>
      <c r="C2753">
        <v>0</v>
      </c>
      <c r="D2753" t="str">
        <f t="shared" si="90"/>
        <v>a</v>
      </c>
      <c r="E2753" t="str">
        <f t="shared" si="88"/>
        <v>a)Jerárquica.</v>
      </c>
    </row>
    <row r="2754" spans="1:5" x14ac:dyDescent="0.25">
      <c r="A2754">
        <f t="shared" si="89"/>
        <v>2753</v>
      </c>
      <c r="B2754" t="s">
        <v>2216</v>
      </c>
      <c r="C2754">
        <v>0</v>
      </c>
      <c r="D2754" t="str">
        <f t="shared" si="90"/>
        <v>b</v>
      </c>
      <c r="E2754" t="str">
        <f t="shared" si="88"/>
        <v>b)Múltiples nodos.</v>
      </c>
    </row>
    <row r="2755" spans="1:5" x14ac:dyDescent="0.25">
      <c r="A2755">
        <f t="shared" si="89"/>
        <v>2754</v>
      </c>
      <c r="B2755" t="s">
        <v>2444</v>
      </c>
      <c r="C2755">
        <v>0</v>
      </c>
      <c r="D2755" t="str">
        <f t="shared" si="90"/>
        <v>*</v>
      </c>
      <c r="E2755" t="str">
        <f t="shared" ref="E2755:E2818" si="91">+IF(D2755="*",MID(B2755,3,500),B2755)</f>
        <v>c)Piramidal.</v>
      </c>
    </row>
    <row r="2756" spans="1:5" x14ac:dyDescent="0.25">
      <c r="A2756">
        <f t="shared" si="89"/>
        <v>2755</v>
      </c>
      <c r="B2756" t="s">
        <v>2217</v>
      </c>
      <c r="C2756">
        <v>0</v>
      </c>
      <c r="D2756" t="str">
        <f t="shared" si="90"/>
        <v>d</v>
      </c>
      <c r="E2756" t="str">
        <f t="shared" si="91"/>
        <v>d)Rizomática.</v>
      </c>
    </row>
    <row r="2757" spans="1:5" x14ac:dyDescent="0.25">
      <c r="A2757">
        <f t="shared" si="89"/>
        <v>2756</v>
      </c>
      <c r="B2757" t="s">
        <v>2218</v>
      </c>
      <c r="C2757">
        <v>1</v>
      </c>
      <c r="D2757" t="str">
        <f t="shared" si="90"/>
        <v>S</v>
      </c>
      <c r="E2757" t="str">
        <f t="shared" si="91"/>
        <v>Según Margarita Rozas en "Una perspectiva teórica metodológica de la intervención en trabajosocial"; ¿Cúal es el aspecto central que debe preocupar al trabajo social para estructurar al campoproblemático de su intervención?</v>
      </c>
    </row>
    <row r="2758" spans="1:5" x14ac:dyDescent="0.25">
      <c r="A2758">
        <f t="shared" si="89"/>
        <v>2757</v>
      </c>
      <c r="B2758" t="s">
        <v>2219</v>
      </c>
      <c r="C2758">
        <v>0</v>
      </c>
      <c r="D2758" t="str">
        <f t="shared" si="90"/>
        <v>a</v>
      </c>
      <c r="E2758" t="str">
        <f t="shared" si="91"/>
        <v>a)La historia personal y colectiva de las personas y su relación con el ámbito institucional.</v>
      </c>
    </row>
    <row r="2759" spans="1:5" x14ac:dyDescent="0.25">
      <c r="A2759">
        <f t="shared" ref="A2759:A2822" si="92">+A2758+1</f>
        <v>2758</v>
      </c>
      <c r="B2759" t="s">
        <v>2220</v>
      </c>
      <c r="C2759">
        <v>0</v>
      </c>
      <c r="D2759" t="str">
        <f t="shared" si="90"/>
        <v>b</v>
      </c>
      <c r="E2759" t="str">
        <f t="shared" si="91"/>
        <v>b)Los aportes previos realizados desde la profesión y otras disciplinas a la construcción desu objeto de intervención.</v>
      </c>
    </row>
    <row r="2760" spans="1:5" x14ac:dyDescent="0.25">
      <c r="A2760">
        <f t="shared" si="92"/>
        <v>2759</v>
      </c>
      <c r="B2760" t="s">
        <v>2221</v>
      </c>
      <c r="C2760">
        <v>0</v>
      </c>
      <c r="D2760" t="str">
        <f t="shared" si="90"/>
        <v>c</v>
      </c>
      <c r="E2760" t="str">
        <f t="shared" si="91"/>
        <v>c)Los aspectos histórico contextuales y las relaciones de producción y reproducción de lavida cotidiana de las personas.</v>
      </c>
    </row>
    <row r="2761" spans="1:5" x14ac:dyDescent="0.25">
      <c r="A2761">
        <f t="shared" si="92"/>
        <v>2760</v>
      </c>
      <c r="B2761" t="s">
        <v>2445</v>
      </c>
      <c r="C2761">
        <v>0</v>
      </c>
      <c r="D2761" t="str">
        <f t="shared" si="90"/>
        <v>*</v>
      </c>
      <c r="E2761" t="str">
        <f t="shared" si="91"/>
        <v>d)La vivencia prolongada de exclusión que va debilitando la identidad y autoestima personaly colectiva.</v>
      </c>
    </row>
    <row r="2762" spans="1:5" x14ac:dyDescent="0.25">
      <c r="A2762">
        <f t="shared" si="92"/>
        <v>2761</v>
      </c>
      <c r="B2762" t="s">
        <v>2222</v>
      </c>
      <c r="C2762">
        <v>1</v>
      </c>
      <c r="D2762" t="str">
        <f t="shared" si="90"/>
        <v>S</v>
      </c>
      <c r="E2762" t="str">
        <f t="shared" si="91"/>
        <v>Según Berger y Luckman en Mastrángelo de Pamphilis, ¿hacia dónde va dirigida la actitudcientífica conciente e intencional?</v>
      </c>
    </row>
    <row r="2763" spans="1:5" x14ac:dyDescent="0.25">
      <c r="A2763">
        <f t="shared" si="92"/>
        <v>2762</v>
      </c>
      <c r="B2763" t="s">
        <v>2223</v>
      </c>
      <c r="C2763">
        <v>0</v>
      </c>
      <c r="D2763" t="str">
        <f t="shared" si="90"/>
        <v>a</v>
      </c>
      <c r="E2763" t="str">
        <f t="shared" si="91"/>
        <v>a)A desarrollar hipótesis que verifiquen o refuten hechos de la realidad social.</v>
      </c>
    </row>
    <row r="2764" spans="1:5" x14ac:dyDescent="0.25">
      <c r="A2764">
        <f t="shared" si="92"/>
        <v>2763</v>
      </c>
      <c r="B2764" t="s">
        <v>2224</v>
      </c>
      <c r="C2764">
        <v>0</v>
      </c>
      <c r="D2764" t="str">
        <f t="shared" si="90"/>
        <v>b</v>
      </c>
      <c r="E2764" t="str">
        <f t="shared" si="91"/>
        <v>b)A descubrir las reglas y leyes que rigen el mundo social.</v>
      </c>
    </row>
    <row r="2765" spans="1:5" x14ac:dyDescent="0.25">
      <c r="A2765">
        <f t="shared" si="92"/>
        <v>2764</v>
      </c>
      <c r="B2765" t="s">
        <v>2446</v>
      </c>
      <c r="C2765">
        <v>0</v>
      </c>
      <c r="D2765" t="str">
        <f t="shared" si="90"/>
        <v>*</v>
      </c>
      <c r="E2765" t="str">
        <f t="shared" si="91"/>
        <v>c)A desentrañar, entender o explicar el mundo de la vida.</v>
      </c>
    </row>
    <row r="2766" spans="1:5" x14ac:dyDescent="0.25">
      <c r="A2766">
        <f t="shared" si="92"/>
        <v>2765</v>
      </c>
      <c r="B2766" t="s">
        <v>2225</v>
      </c>
      <c r="C2766">
        <v>0</v>
      </c>
      <c r="D2766" t="str">
        <f t="shared" si="90"/>
        <v>d</v>
      </c>
      <c r="E2766" t="str">
        <f t="shared" si="91"/>
        <v>d)A discernir lo causal de lo aleatorio en las problemáticas sociales que se presentan.</v>
      </c>
    </row>
    <row r="2767" spans="1:5" x14ac:dyDescent="0.25">
      <c r="A2767">
        <f t="shared" si="92"/>
        <v>2766</v>
      </c>
      <c r="B2767" t="s">
        <v>2226</v>
      </c>
      <c r="C2767">
        <v>1</v>
      </c>
      <c r="D2767" t="str">
        <f t="shared" si="90"/>
        <v>P</v>
      </c>
      <c r="E2767" t="str">
        <f t="shared" si="91"/>
        <v>Para Mastrángelo de Pamphilis, la atención individual constituye la práctica más tradicional yempleada por los trabajadores sociales, ¿En qué aspectos básicos focaliza el estudio?</v>
      </c>
    </row>
    <row r="2768" spans="1:5" x14ac:dyDescent="0.25">
      <c r="A2768">
        <f t="shared" si="92"/>
        <v>2767</v>
      </c>
      <c r="B2768" t="s">
        <v>2447</v>
      </c>
      <c r="C2768">
        <v>0</v>
      </c>
      <c r="D2768" t="str">
        <f t="shared" si="90"/>
        <v>*</v>
      </c>
      <c r="E2768" t="str">
        <f t="shared" si="91"/>
        <v>a)El tipo de problema y la persona que lo sufre o plantea.</v>
      </c>
    </row>
    <row r="2769" spans="1:5" x14ac:dyDescent="0.25">
      <c r="A2769">
        <f t="shared" si="92"/>
        <v>2768</v>
      </c>
      <c r="B2769" t="s">
        <v>2227</v>
      </c>
      <c r="C2769">
        <v>0</v>
      </c>
      <c r="D2769" t="str">
        <f t="shared" si="90"/>
        <v>b</v>
      </c>
      <c r="E2769" t="str">
        <f t="shared" si="91"/>
        <v>b)El problema objeto de intervención y el sujeto demandante.</v>
      </c>
    </row>
    <row r="2770" spans="1:5" x14ac:dyDescent="0.25">
      <c r="A2770">
        <f t="shared" si="92"/>
        <v>2769</v>
      </c>
      <c r="B2770" t="s">
        <v>2228</v>
      </c>
      <c r="C2770">
        <v>0</v>
      </c>
      <c r="D2770" t="str">
        <f t="shared" si="90"/>
        <v>c</v>
      </c>
      <c r="E2770" t="str">
        <f t="shared" si="91"/>
        <v>c)En el usuario que llega a la institución y la demanda que plantea.</v>
      </c>
    </row>
    <row r="2771" spans="1:5" x14ac:dyDescent="0.25">
      <c r="A2771">
        <f t="shared" si="92"/>
        <v>2770</v>
      </c>
      <c r="B2771" t="s">
        <v>2229</v>
      </c>
      <c r="C2771">
        <v>0</v>
      </c>
      <c r="D2771" t="str">
        <f t="shared" si="90"/>
        <v>d</v>
      </c>
      <c r="E2771" t="str">
        <f t="shared" si="91"/>
        <v>d)La situación problemática implícita y el sujeto de la intervención.</v>
      </c>
    </row>
    <row r="2772" spans="1:5" x14ac:dyDescent="0.25">
      <c r="A2772">
        <f t="shared" si="92"/>
        <v>2771</v>
      </c>
      <c r="B2772" t="s">
        <v>2230</v>
      </c>
      <c r="C2772">
        <v>1</v>
      </c>
      <c r="D2772" t="str">
        <f t="shared" si="90"/>
        <v>P</v>
      </c>
      <c r="E2772" t="str">
        <f t="shared" si="91"/>
        <v>Para Kisnerman la supervisión procura que los servicios que prestan los supervisados seanéticamente eficaces. ¿Qué significa esto para el autor?</v>
      </c>
    </row>
    <row r="2773" spans="1:5" x14ac:dyDescent="0.25">
      <c r="A2773">
        <f t="shared" si="92"/>
        <v>2772</v>
      </c>
      <c r="B2773" t="s">
        <v>2231</v>
      </c>
      <c r="C2773">
        <v>0</v>
      </c>
      <c r="D2773" t="str">
        <f t="shared" si="90"/>
        <v>a</v>
      </c>
      <c r="E2773" t="str">
        <f t="shared" si="91"/>
        <v>a)Que la intervención profesional se desarrolle articulando la demanda con los recursosdisponibles.</v>
      </c>
    </row>
    <row r="2774" spans="1:5" x14ac:dyDescent="0.25">
      <c r="A2774">
        <f t="shared" si="92"/>
        <v>2773</v>
      </c>
      <c r="B2774" t="s">
        <v>2448</v>
      </c>
      <c r="C2774">
        <v>0</v>
      </c>
      <c r="D2774" t="str">
        <f t="shared" si="90"/>
        <v>*</v>
      </c>
      <c r="E2774" t="str">
        <f t="shared" si="91"/>
        <v>b)Que la tarea se asuma con la responsabilidad de saber responder a las necesidades de laspersonas.</v>
      </c>
    </row>
    <row r="2775" spans="1:5" x14ac:dyDescent="0.25">
      <c r="A2775">
        <f t="shared" si="92"/>
        <v>2774</v>
      </c>
      <c r="B2775" t="s">
        <v>2232</v>
      </c>
      <c r="C2775">
        <v>0</v>
      </c>
      <c r="D2775" t="str">
        <f t="shared" si="90"/>
        <v>c</v>
      </c>
      <c r="E2775" t="str">
        <f t="shared" si="91"/>
        <v>c)Que las respuestas dadas a la población sean acordes a las necesidades explicitadas porella.</v>
      </c>
    </row>
    <row r="2776" spans="1:5" x14ac:dyDescent="0.25">
      <c r="A2776">
        <f t="shared" si="92"/>
        <v>2775</v>
      </c>
      <c r="B2776" t="s">
        <v>2233</v>
      </c>
      <c r="C2776">
        <v>0</v>
      </c>
      <c r="D2776" t="str">
        <f t="shared" si="90"/>
        <v>d</v>
      </c>
      <c r="E2776" t="str">
        <f t="shared" si="91"/>
        <v>d)Que los profesionales puedan dar una respuesta rápida a la problemática planteada.</v>
      </c>
    </row>
    <row r="2777" spans="1:5" x14ac:dyDescent="0.25">
      <c r="A2777">
        <f t="shared" si="92"/>
        <v>2776</v>
      </c>
      <c r="B2777" t="s">
        <v>2234</v>
      </c>
      <c r="C2777">
        <v>1</v>
      </c>
      <c r="D2777" t="str">
        <f t="shared" si="90"/>
        <v>A</v>
      </c>
      <c r="E2777" t="str">
        <f t="shared" si="91"/>
        <v>A Del Cueto y Fernandez, les resulta mas preciso abordar la estructuración del grupo desde laproducción de sus formas propias. ¿Cómo denominan las autoras esta producción?</v>
      </c>
    </row>
    <row r="2778" spans="1:5" x14ac:dyDescent="0.25">
      <c r="A2778">
        <f t="shared" si="92"/>
        <v>2777</v>
      </c>
      <c r="B2778" t="s">
        <v>2235</v>
      </c>
      <c r="C2778">
        <v>0</v>
      </c>
      <c r="D2778" t="str">
        <f t="shared" si="90"/>
        <v>a</v>
      </c>
      <c r="E2778" t="str">
        <f t="shared" si="91"/>
        <v>a)Ilusión grupal.</v>
      </c>
    </row>
    <row r="2779" spans="1:5" x14ac:dyDescent="0.25">
      <c r="A2779">
        <f t="shared" si="92"/>
        <v>2778</v>
      </c>
      <c r="B2779" t="s">
        <v>2236</v>
      </c>
      <c r="C2779">
        <v>0</v>
      </c>
      <c r="D2779" t="str">
        <f t="shared" si="90"/>
        <v>b</v>
      </c>
      <c r="E2779" t="str">
        <f t="shared" si="91"/>
        <v>b)Interjuego de roles.</v>
      </c>
    </row>
    <row r="2780" spans="1:5" x14ac:dyDescent="0.25">
      <c r="A2780">
        <f t="shared" si="92"/>
        <v>2779</v>
      </c>
      <c r="B2780" t="s">
        <v>2449</v>
      </c>
      <c r="C2780">
        <v>0</v>
      </c>
      <c r="D2780" t="str">
        <f t="shared" si="90"/>
        <v>*</v>
      </c>
      <c r="E2780" t="str">
        <f t="shared" si="91"/>
        <v>c)Formaciones imaginarias grupales.</v>
      </c>
    </row>
    <row r="2781" spans="1:5" x14ac:dyDescent="0.25">
      <c r="A2781">
        <f t="shared" si="92"/>
        <v>2780</v>
      </c>
      <c r="B2781" t="s">
        <v>2237</v>
      </c>
      <c r="C2781">
        <v>0</v>
      </c>
      <c r="D2781" t="str">
        <f t="shared" si="90"/>
        <v>d</v>
      </c>
      <c r="E2781" t="str">
        <f t="shared" si="91"/>
        <v>d)Matriz básica de identificaciones.</v>
      </c>
    </row>
    <row r="2782" spans="1:5" x14ac:dyDescent="0.25">
      <c r="A2782">
        <f t="shared" si="92"/>
        <v>2781</v>
      </c>
      <c r="B2782" t="s">
        <v>2238</v>
      </c>
      <c r="C2782">
        <v>1</v>
      </c>
      <c r="D2782" t="str">
        <f t="shared" si="90"/>
        <v>M</v>
      </c>
      <c r="E2782" t="str">
        <f t="shared" si="91"/>
        <v>Maitena Fidalgo analizando el sistema de salud, argumenta que la singularidad del denominadosegundo período es que el crecimiento de subsector público fue acompañado por el desarrollo delsubsector de las obras sociales. ¿Cuáles son las tensiones que reflejan las políticas de salud de esemomento?</v>
      </c>
    </row>
    <row r="2783" spans="1:5" x14ac:dyDescent="0.25">
      <c r="A2783">
        <f t="shared" si="92"/>
        <v>2782</v>
      </c>
      <c r="B2783" t="s">
        <v>2239</v>
      </c>
      <c r="C2783">
        <v>0</v>
      </c>
      <c r="D2783" t="str">
        <f t="shared" si="90"/>
        <v>a</v>
      </c>
      <c r="E2783" t="str">
        <f t="shared" si="91"/>
        <v>a)Estatismo y liberalismo.</v>
      </c>
    </row>
    <row r="2784" spans="1:5" x14ac:dyDescent="0.25">
      <c r="A2784">
        <f t="shared" si="92"/>
        <v>2783</v>
      </c>
      <c r="B2784" t="s">
        <v>2240</v>
      </c>
      <c r="C2784">
        <v>0</v>
      </c>
      <c r="D2784" t="str">
        <f t="shared" si="90"/>
        <v>b</v>
      </c>
      <c r="E2784" t="str">
        <f t="shared" si="91"/>
        <v>b)Medicina popular y seguro social.</v>
      </c>
    </row>
    <row r="2785" spans="1:5" x14ac:dyDescent="0.25">
      <c r="A2785">
        <f t="shared" si="92"/>
        <v>2784</v>
      </c>
      <c r="B2785" t="s">
        <v>2241</v>
      </c>
      <c r="C2785">
        <v>0</v>
      </c>
      <c r="D2785" t="str">
        <f t="shared" si="90"/>
        <v>c</v>
      </c>
      <c r="E2785" t="str">
        <f t="shared" si="91"/>
        <v>c)Seguridad social y acción social.</v>
      </c>
    </row>
    <row r="2786" spans="1:5" x14ac:dyDescent="0.25">
      <c r="A2786">
        <f t="shared" si="92"/>
        <v>2785</v>
      </c>
      <c r="B2786" t="s">
        <v>2450</v>
      </c>
      <c r="C2786">
        <v>0</v>
      </c>
      <c r="D2786" t="str">
        <f t="shared" si="90"/>
        <v>*</v>
      </c>
      <c r="E2786" t="str">
        <f t="shared" si="91"/>
        <v>d)Universalismo y particularismo.</v>
      </c>
    </row>
    <row r="2787" spans="1:5" x14ac:dyDescent="0.25">
      <c r="A2787">
        <f t="shared" si="92"/>
        <v>2786</v>
      </c>
      <c r="B2787" t="s">
        <v>2242</v>
      </c>
      <c r="C2787">
        <v>1</v>
      </c>
      <c r="D2787" t="str">
        <f t="shared" si="90"/>
        <v>S</v>
      </c>
      <c r="E2787" t="str">
        <f t="shared" si="91"/>
        <v>Según Maitena Fidalgo ¿A partir de qué momento el derecho a la salud se contempla en formaexplícita sin vinculación con la condición de trabajador?</v>
      </c>
    </row>
    <row r="2788" spans="1:5" x14ac:dyDescent="0.25">
      <c r="A2788">
        <f t="shared" si="92"/>
        <v>2787</v>
      </c>
      <c r="B2788" t="s">
        <v>2243</v>
      </c>
      <c r="C2788">
        <v>0</v>
      </c>
      <c r="D2788" t="str">
        <f t="shared" ref="D2788:D2851" si="93">+MID(B2788,1,1)</f>
        <v>a</v>
      </c>
      <c r="E2788" t="str">
        <f t="shared" si="91"/>
        <v>a)Con la creación de la Dirección Nacional de Salud Pública y Asistencia Social en 1943.</v>
      </c>
    </row>
    <row r="2789" spans="1:5" x14ac:dyDescent="0.25">
      <c r="A2789">
        <f t="shared" si="92"/>
        <v>2788</v>
      </c>
      <c r="B2789" t="s">
        <v>2451</v>
      </c>
      <c r="C2789">
        <v>0</v>
      </c>
      <c r="D2789" t="str">
        <f t="shared" si="93"/>
        <v>*</v>
      </c>
      <c r="E2789" t="str">
        <f t="shared" si="91"/>
        <v>b)Con la reforma constitucional de 1994.</v>
      </c>
    </row>
    <row r="2790" spans="1:5" x14ac:dyDescent="0.25">
      <c r="A2790">
        <f t="shared" si="92"/>
        <v>2789</v>
      </c>
      <c r="B2790" t="s">
        <v>2244</v>
      </c>
      <c r="C2790">
        <v>0</v>
      </c>
      <c r="D2790" t="str">
        <f t="shared" si="93"/>
        <v>c</v>
      </c>
      <c r="E2790" t="str">
        <f t="shared" si="91"/>
        <v>c)Con la implementación de la Ley 18610.</v>
      </c>
    </row>
    <row r="2791" spans="1:5" x14ac:dyDescent="0.25">
      <c r="A2791">
        <f t="shared" si="92"/>
        <v>2790</v>
      </c>
      <c r="B2791" t="s">
        <v>2245</v>
      </c>
      <c r="C2791">
        <v>0</v>
      </c>
      <c r="D2791" t="str">
        <f t="shared" si="93"/>
        <v>d</v>
      </c>
      <c r="E2791" t="str">
        <f t="shared" si="91"/>
        <v>d)En 1946 con la asunción de Ramón Carrillo en la Secretaría de Salud.</v>
      </c>
    </row>
    <row r="2792" spans="1:5" x14ac:dyDescent="0.25">
      <c r="A2792">
        <f t="shared" si="92"/>
        <v>2791</v>
      </c>
      <c r="B2792" t="s">
        <v>2246</v>
      </c>
      <c r="C2792">
        <v>1</v>
      </c>
      <c r="D2792" t="str">
        <f t="shared" si="93"/>
        <v>S</v>
      </c>
      <c r="E2792" t="str">
        <f t="shared" si="91"/>
        <v>Según Ramón Carrillo en "Teoría del Hospital", ¿Cuáles son los factores que gravitan en el mundoactual para reducir el valor de la salud?</v>
      </c>
    </row>
    <row r="2793" spans="1:5" x14ac:dyDescent="0.25">
      <c r="A2793">
        <f t="shared" si="92"/>
        <v>2792</v>
      </c>
      <c r="B2793" t="s">
        <v>2452</v>
      </c>
      <c r="C2793">
        <v>0</v>
      </c>
      <c r="D2793" t="str">
        <f t="shared" si="93"/>
        <v>*</v>
      </c>
      <c r="E2793" t="str">
        <f t="shared" si="91"/>
        <v>a)La vida artificial, el sedentarismo y el neomalthusianismo.</v>
      </c>
    </row>
    <row r="2794" spans="1:5" x14ac:dyDescent="0.25">
      <c r="A2794">
        <f t="shared" si="92"/>
        <v>2793</v>
      </c>
      <c r="B2794" t="s">
        <v>2247</v>
      </c>
      <c r="C2794">
        <v>0</v>
      </c>
      <c r="D2794" t="str">
        <f t="shared" si="93"/>
        <v>b</v>
      </c>
      <c r="E2794" t="str">
        <f t="shared" si="91"/>
        <v>b)El desarrollo urbano desmedido, el estres y la mala alimentación.</v>
      </c>
    </row>
    <row r="2795" spans="1:5" x14ac:dyDescent="0.25">
      <c r="A2795">
        <f t="shared" si="92"/>
        <v>2794</v>
      </c>
      <c r="B2795" t="s">
        <v>2248</v>
      </c>
      <c r="C2795">
        <v>0</v>
      </c>
      <c r="D2795" t="str">
        <f t="shared" si="93"/>
        <v>c</v>
      </c>
      <c r="E2795" t="str">
        <f t="shared" si="91"/>
        <v>c)La modernidad, el desarrollo tecnológico y la pobreza.</v>
      </c>
    </row>
    <row r="2796" spans="1:5" x14ac:dyDescent="0.25">
      <c r="A2796">
        <f t="shared" si="92"/>
        <v>2795</v>
      </c>
      <c r="B2796" t="s">
        <v>2249</v>
      </c>
      <c r="C2796">
        <v>0</v>
      </c>
      <c r="D2796" t="str">
        <f t="shared" si="93"/>
        <v>d</v>
      </c>
      <c r="E2796" t="str">
        <f t="shared" si="91"/>
        <v>d)El darwinismo social, las enfermedades infecto contagiosas y la mortalidad infantil.</v>
      </c>
    </row>
    <row r="2797" spans="1:5" x14ac:dyDescent="0.25">
      <c r="A2797">
        <f t="shared" si="92"/>
        <v>2796</v>
      </c>
      <c r="B2797" t="s">
        <v>2250</v>
      </c>
      <c r="C2797">
        <v>1</v>
      </c>
      <c r="D2797" t="str">
        <f t="shared" si="93"/>
        <v>S</v>
      </c>
      <c r="E2797" t="str">
        <f t="shared" si="91"/>
        <v>Según Galante, Rossi y otros, ciertos procesos se expresan en un conjunto de problemas que seinterrelacionan de modo complejo y dinámico con el uso de drogas. ¿A qué proceso se refieren losautores?</v>
      </c>
    </row>
    <row r="2798" spans="1:5" x14ac:dyDescent="0.25">
      <c r="A2798">
        <f t="shared" si="92"/>
        <v>2797</v>
      </c>
      <c r="B2798" t="s">
        <v>2251</v>
      </c>
      <c r="C2798">
        <v>0</v>
      </c>
      <c r="D2798" t="str">
        <f t="shared" si="93"/>
        <v>a</v>
      </c>
      <c r="E2798" t="str">
        <f t="shared" si="91"/>
        <v>a)Exclusión social.</v>
      </c>
    </row>
    <row r="2799" spans="1:5" x14ac:dyDescent="0.25">
      <c r="A2799">
        <f t="shared" si="92"/>
        <v>2798</v>
      </c>
      <c r="B2799" t="s">
        <v>2252</v>
      </c>
      <c r="C2799">
        <v>0</v>
      </c>
      <c r="D2799" t="str">
        <f t="shared" si="93"/>
        <v>b</v>
      </c>
      <c r="E2799" t="str">
        <f t="shared" si="91"/>
        <v>b)Marginación.</v>
      </c>
    </row>
    <row r="2800" spans="1:5" x14ac:dyDescent="0.25">
      <c r="A2800">
        <f t="shared" si="92"/>
        <v>2799</v>
      </c>
      <c r="B2800" t="s">
        <v>2253</v>
      </c>
      <c r="C2800">
        <v>0</v>
      </c>
      <c r="D2800" t="str">
        <f t="shared" si="93"/>
        <v>c</v>
      </c>
      <c r="E2800" t="str">
        <f t="shared" si="91"/>
        <v>c)Lumpenización.</v>
      </c>
    </row>
    <row r="2801" spans="1:5" x14ac:dyDescent="0.25">
      <c r="A2801">
        <f t="shared" si="92"/>
        <v>2800</v>
      </c>
      <c r="B2801" t="s">
        <v>2453</v>
      </c>
      <c r="C2801">
        <v>0</v>
      </c>
      <c r="D2801" t="str">
        <f t="shared" si="93"/>
        <v>*</v>
      </c>
      <c r="E2801" t="str">
        <f t="shared" si="91"/>
        <v>d)Vulnerabilidad social.</v>
      </c>
    </row>
    <row r="2802" spans="1:5" x14ac:dyDescent="0.25">
      <c r="A2802">
        <f t="shared" si="92"/>
        <v>2801</v>
      </c>
      <c r="B2802" t="s">
        <v>2254</v>
      </c>
      <c r="C2802">
        <v>1</v>
      </c>
      <c r="D2802" t="str">
        <f t="shared" si="93"/>
        <v>S</v>
      </c>
      <c r="E2802" t="str">
        <f t="shared" si="91"/>
        <v>Según Galante, Rossi y otros, ¿Cuáles son los desafíos en el desarrollo de las políticas de reducciónde daños?</v>
      </c>
    </row>
    <row r="2803" spans="1:5" x14ac:dyDescent="0.25">
      <c r="A2803">
        <f t="shared" si="92"/>
        <v>2802</v>
      </c>
      <c r="B2803" t="s">
        <v>2255</v>
      </c>
      <c r="C2803">
        <v>0</v>
      </c>
      <c r="D2803" t="str">
        <f t="shared" si="93"/>
        <v>a</v>
      </c>
      <c r="E2803" t="str">
        <f t="shared" si="91"/>
        <v>a)Analizar las variables vinculadas a los procesos de vulnerabilidad social y su relación conlos usuarios de drogas.</v>
      </c>
    </row>
    <row r="2804" spans="1:5" x14ac:dyDescent="0.25">
      <c r="A2804">
        <f t="shared" si="92"/>
        <v>2803</v>
      </c>
      <c r="B2804" t="s">
        <v>2454</v>
      </c>
      <c r="C2804">
        <v>0</v>
      </c>
      <c r="D2804" t="str">
        <f t="shared" si="93"/>
        <v>*</v>
      </c>
      <c r="E2804" t="str">
        <f t="shared" si="91"/>
        <v>b)Desarrollar acciones no sólo con los usuarios de drogas sino también con las institucionesque deben prestarle asistencia.</v>
      </c>
    </row>
    <row r="2805" spans="1:5" x14ac:dyDescent="0.25">
      <c r="A2805">
        <f t="shared" si="92"/>
        <v>2804</v>
      </c>
      <c r="B2805" t="s">
        <v>2256</v>
      </c>
      <c r="C2805">
        <v>0</v>
      </c>
      <c r="D2805" t="str">
        <f t="shared" si="93"/>
        <v>c</v>
      </c>
      <c r="E2805" t="str">
        <f t="shared" si="91"/>
        <v>c)Implicar a las familias y a la comunidad en el tratamiento de las personas consumidorasde sustancias.</v>
      </c>
    </row>
    <row r="2806" spans="1:5" x14ac:dyDescent="0.25">
      <c r="A2806">
        <f t="shared" si="92"/>
        <v>2805</v>
      </c>
      <c r="B2806" t="s">
        <v>2257</v>
      </c>
      <c r="C2806">
        <v>0</v>
      </c>
      <c r="D2806" t="str">
        <f t="shared" si="93"/>
        <v>d</v>
      </c>
      <c r="E2806" t="str">
        <f t="shared" si="91"/>
        <v>d)Vincular las distintas instancias gubernamentales e intersectoriales que intervienen en laasistencia y tratamiento de los adictos.</v>
      </c>
    </row>
    <row r="2807" spans="1:5" x14ac:dyDescent="0.25">
      <c r="A2807">
        <f t="shared" si="92"/>
        <v>2806</v>
      </c>
      <c r="B2807" t="s">
        <v>2258</v>
      </c>
      <c r="C2807">
        <v>1</v>
      </c>
      <c r="D2807" t="str">
        <f t="shared" si="93"/>
        <v>S</v>
      </c>
      <c r="E2807" t="str">
        <f t="shared" si="91"/>
        <v>Según Galante y otros, ¿En base a qué supuesto se construyó el modelo de la tríada ecológica?</v>
      </c>
    </row>
    <row r="2808" spans="1:5" x14ac:dyDescent="0.25">
      <c r="A2808">
        <f t="shared" si="92"/>
        <v>2807</v>
      </c>
      <c r="B2808" t="s">
        <v>2259</v>
      </c>
      <c r="C2808">
        <v>0</v>
      </c>
      <c r="D2808" t="str">
        <f t="shared" si="93"/>
        <v>a</v>
      </c>
      <c r="E2808" t="str">
        <f t="shared" si="91"/>
        <v>a)El que se basa en la búsqueda de causas o asociaciones causales entre distintosfenómenos.</v>
      </c>
    </row>
    <row r="2809" spans="1:5" x14ac:dyDescent="0.25">
      <c r="A2809">
        <f t="shared" si="92"/>
        <v>2808</v>
      </c>
      <c r="B2809" t="s">
        <v>2455</v>
      </c>
      <c r="C2809">
        <v>0</v>
      </c>
      <c r="D2809" t="str">
        <f t="shared" si="93"/>
        <v>*</v>
      </c>
      <c r="E2809" t="str">
        <f t="shared" si="91"/>
        <v>b)El de la multicausalidad externa, que considera la ocurrencia de distintos factores en laproducción de un hecho.</v>
      </c>
    </row>
    <row r="2810" spans="1:5" x14ac:dyDescent="0.25">
      <c r="A2810">
        <f t="shared" si="92"/>
        <v>2809</v>
      </c>
      <c r="B2810" t="s">
        <v>2260</v>
      </c>
      <c r="C2810">
        <v>0</v>
      </c>
      <c r="D2810" t="str">
        <f t="shared" si="93"/>
        <v>c</v>
      </c>
      <c r="E2810" t="str">
        <f t="shared" si="91"/>
        <v>c)El que explica que el capital produce la diferencia y la desigualdad es la capacidad o laoportunidad de moverse, mantener redes multiconectadas.</v>
      </c>
    </row>
    <row r="2811" spans="1:5" x14ac:dyDescent="0.25">
      <c r="A2811">
        <f t="shared" si="92"/>
        <v>2810</v>
      </c>
      <c r="B2811" t="s">
        <v>2261</v>
      </c>
      <c r="C2811">
        <v>0</v>
      </c>
      <c r="D2811" t="str">
        <f t="shared" si="93"/>
        <v>d</v>
      </c>
      <c r="E2811" t="str">
        <f t="shared" si="91"/>
        <v>d)El que sostiene que los procesos sociales transforman los procesos biológicos de un modocomplejo y dinámico.</v>
      </c>
    </row>
    <row r="2812" spans="1:5" x14ac:dyDescent="0.25">
      <c r="A2812">
        <f t="shared" si="92"/>
        <v>2811</v>
      </c>
      <c r="B2812" t="s">
        <v>2262</v>
      </c>
      <c r="C2812">
        <v>1</v>
      </c>
      <c r="D2812" t="str">
        <f t="shared" si="93"/>
        <v>P</v>
      </c>
      <c r="E2812" t="str">
        <f t="shared" si="91"/>
        <v>Para Acuña y Bolis las personas afectadas por problemas de salud mental son objeto de exclusióndebido a la naturaleza específica de sus problemas de salud. Según las autoras ¿A qué conduceesta situación?</v>
      </c>
    </row>
    <row r="2813" spans="1:5" x14ac:dyDescent="0.25">
      <c r="A2813">
        <f t="shared" si="92"/>
        <v>2812</v>
      </c>
      <c r="B2813" t="s">
        <v>2263</v>
      </c>
      <c r="C2813">
        <v>0</v>
      </c>
      <c r="D2813" t="str">
        <f t="shared" si="93"/>
        <v>a</v>
      </c>
      <c r="E2813" t="str">
        <f t="shared" si="91"/>
        <v>a)A un empobrecimiento de su economía que no les permite desarrollar tratamientoscurativos.</v>
      </c>
    </row>
    <row r="2814" spans="1:5" x14ac:dyDescent="0.25">
      <c r="A2814">
        <f t="shared" si="92"/>
        <v>2813</v>
      </c>
      <c r="B2814" t="s">
        <v>2264</v>
      </c>
      <c r="C2814">
        <v>0</v>
      </c>
      <c r="D2814" t="str">
        <f t="shared" si="93"/>
        <v>b</v>
      </c>
      <c r="E2814" t="str">
        <f t="shared" si="91"/>
        <v>b)A un progresivo autoaislamiento que obliga a las familias a redoblar esfuerzos en lacontención socio- afectiva.</v>
      </c>
    </row>
    <row r="2815" spans="1:5" x14ac:dyDescent="0.25">
      <c r="A2815">
        <f t="shared" si="92"/>
        <v>2814</v>
      </c>
      <c r="B2815" t="s">
        <v>2456</v>
      </c>
      <c r="C2815">
        <v>0</v>
      </c>
      <c r="D2815" t="str">
        <f t="shared" si="93"/>
        <v>*</v>
      </c>
      <c r="E2815" t="str">
        <f t="shared" si="91"/>
        <v>c)A una desvalorización de su posición social y generan autoexclusión por temor a serdiscriminados.</v>
      </c>
    </row>
    <row r="2816" spans="1:5" x14ac:dyDescent="0.25">
      <c r="A2816">
        <f t="shared" si="92"/>
        <v>2815</v>
      </c>
      <c r="B2816" t="s">
        <v>2265</v>
      </c>
      <c r="C2816">
        <v>0</v>
      </c>
      <c r="D2816" t="str">
        <f t="shared" si="93"/>
        <v>d</v>
      </c>
      <c r="E2816" t="str">
        <f t="shared" si="91"/>
        <v>d)A vivenciar procesos de autoexclusión y dan como respuesta conductas violentas yagresivas de tipo defensivo.</v>
      </c>
    </row>
    <row r="2817" spans="1:5" x14ac:dyDescent="0.25">
      <c r="A2817">
        <f t="shared" si="92"/>
        <v>2816</v>
      </c>
      <c r="B2817" t="s">
        <v>2266</v>
      </c>
      <c r="C2817">
        <v>1</v>
      </c>
      <c r="D2817" t="str">
        <f t="shared" si="93"/>
        <v>P</v>
      </c>
      <c r="E2817" t="str">
        <f t="shared" si="91"/>
        <v>Para Acuña y Bolis, dentro del Sistema de salud ¿En qué se traduce la desvalorización de laatención de los trastornos de conducta?</v>
      </c>
    </row>
    <row r="2818" spans="1:5" x14ac:dyDescent="0.25">
      <c r="A2818">
        <f t="shared" si="92"/>
        <v>2817</v>
      </c>
      <c r="B2818" t="s">
        <v>2267</v>
      </c>
      <c r="C2818">
        <v>0</v>
      </c>
      <c r="D2818" t="str">
        <f t="shared" si="93"/>
        <v>a</v>
      </c>
      <c r="E2818" t="str">
        <f t="shared" si="91"/>
        <v>a)En la ausencia de políticas sociales capaces de articularse intersectorialmente con elsector salud para prevenir mayores situaciones de vulnerabilidad y exclusión social.</v>
      </c>
    </row>
    <row r="2819" spans="1:5" x14ac:dyDescent="0.25">
      <c r="A2819">
        <f t="shared" si="92"/>
        <v>2818</v>
      </c>
      <c r="B2819" t="s">
        <v>2457</v>
      </c>
      <c r="C2819">
        <v>0</v>
      </c>
      <c r="D2819" t="str">
        <f t="shared" si="93"/>
        <v>*</v>
      </c>
      <c r="E2819" t="str">
        <f t="shared" ref="E2819:E2882" si="94">+IF(D2819="*",MID(B2819,3,500),B2819)</f>
        <v>b)En la falta de identificación de alternativas capaces de lograr la inserción de las personascon enfermedad mental en la corriente educativa y laboral perpetuándose el círculo dedaños.</v>
      </c>
    </row>
    <row r="2820" spans="1:5" x14ac:dyDescent="0.25">
      <c r="A2820">
        <f t="shared" si="92"/>
        <v>2819</v>
      </c>
      <c r="B2820" t="s">
        <v>2268</v>
      </c>
      <c r="C2820">
        <v>0</v>
      </c>
      <c r="D2820" t="str">
        <f t="shared" si="93"/>
        <v>c</v>
      </c>
      <c r="E2820" t="str">
        <f t="shared" si="94"/>
        <v>c)En la mayor demanda de atención psicológica y psiquiátrica hacia los efectores demedicina prepaga y de obra social.</v>
      </c>
    </row>
    <row r="2821" spans="1:5" x14ac:dyDescent="0.25">
      <c r="A2821">
        <f t="shared" si="92"/>
        <v>2820</v>
      </c>
      <c r="B2821" t="s">
        <v>2269</v>
      </c>
      <c r="C2821">
        <v>0</v>
      </c>
      <c r="D2821" t="str">
        <f t="shared" si="93"/>
        <v>d</v>
      </c>
      <c r="E2821" t="str">
        <f t="shared" si="94"/>
        <v>d)En las pocas posibilidades que tienen las personas con transtornos mentales de incluirseplenamente en el sistema productivo y lograr autonomía de sus familiares.</v>
      </c>
    </row>
    <row r="2822" spans="1:5" x14ac:dyDescent="0.25">
      <c r="A2822">
        <f t="shared" si="92"/>
        <v>2821</v>
      </c>
      <c r="B2822" t="s">
        <v>2270</v>
      </c>
      <c r="C2822">
        <v>1</v>
      </c>
      <c r="D2822" t="str">
        <f t="shared" si="93"/>
        <v>S</v>
      </c>
      <c r="E2822" t="str">
        <f t="shared" si="94"/>
        <v>Según Pablo Bonazzola en su artículo "Ciudad de Buenos Aires: sistema de salud yterritorio:¿Cuáles son las dos formas básicas que adopta la descentralización?</v>
      </c>
    </row>
    <row r="2823" spans="1:5" x14ac:dyDescent="0.25">
      <c r="A2823">
        <f t="shared" ref="A2823:A2886" si="95">+A2822+1</f>
        <v>2822</v>
      </c>
      <c r="B2823" t="s">
        <v>2271</v>
      </c>
      <c r="C2823">
        <v>0</v>
      </c>
      <c r="D2823" t="str">
        <f t="shared" si="93"/>
        <v>a</v>
      </c>
      <c r="E2823" t="str">
        <f t="shared" si="94"/>
        <v>a)La de recursos económicos o financieros; la de recursos humanos o de personal.</v>
      </c>
    </row>
    <row r="2824" spans="1:5" x14ac:dyDescent="0.25">
      <c r="A2824">
        <f t="shared" si="95"/>
        <v>2823</v>
      </c>
      <c r="B2824" t="s">
        <v>2272</v>
      </c>
      <c r="C2824">
        <v>0</v>
      </c>
      <c r="D2824" t="str">
        <f t="shared" si="93"/>
        <v>b</v>
      </c>
      <c r="E2824" t="str">
        <f t="shared" si="94"/>
        <v>b)La territorial; la de recursos.</v>
      </c>
    </row>
    <row r="2825" spans="1:5" x14ac:dyDescent="0.25">
      <c r="A2825">
        <f t="shared" si="95"/>
        <v>2824</v>
      </c>
      <c r="B2825" t="s">
        <v>2273</v>
      </c>
      <c r="C2825">
        <v>0</v>
      </c>
      <c r="D2825" t="str">
        <f t="shared" si="93"/>
        <v>c</v>
      </c>
      <c r="E2825" t="str">
        <f t="shared" si="94"/>
        <v>c)La de proyectos de salud; la económica.</v>
      </c>
    </row>
    <row r="2826" spans="1:5" x14ac:dyDescent="0.25">
      <c r="A2826">
        <f t="shared" si="95"/>
        <v>2825</v>
      </c>
      <c r="B2826" t="s">
        <v>2458</v>
      </c>
      <c r="C2826">
        <v>0</v>
      </c>
      <c r="D2826" t="str">
        <f t="shared" si="93"/>
        <v>*</v>
      </c>
      <c r="E2826" t="str">
        <f t="shared" si="94"/>
        <v>d)La política o territorial; la administrativa o funcional.</v>
      </c>
    </row>
    <row r="2827" spans="1:5" x14ac:dyDescent="0.25">
      <c r="A2827">
        <f t="shared" si="95"/>
        <v>2826</v>
      </c>
      <c r="B2827" t="s">
        <v>2274</v>
      </c>
      <c r="C2827">
        <v>1</v>
      </c>
      <c r="D2827" t="str">
        <f t="shared" si="93"/>
        <v>S</v>
      </c>
      <c r="E2827" t="str">
        <f t="shared" si="94"/>
        <v>Según Pablo Bonazzola, ¿Con qué elementos se debe contar para desarrollar políticas públicas quepermitan lograr respuestas mas efectivas?</v>
      </c>
    </row>
    <row r="2828" spans="1:5" x14ac:dyDescent="0.25">
      <c r="A2828">
        <f t="shared" si="95"/>
        <v>2827</v>
      </c>
      <c r="B2828" t="s">
        <v>2459</v>
      </c>
      <c r="C2828">
        <v>0</v>
      </c>
      <c r="D2828" t="str">
        <f t="shared" si="93"/>
        <v>*</v>
      </c>
      <c r="E2828" t="str">
        <f t="shared" si="94"/>
        <v>a)Con información desagregada y con instrumentos de adecuación local de las políticassociales.</v>
      </c>
    </row>
    <row r="2829" spans="1:5" x14ac:dyDescent="0.25">
      <c r="A2829">
        <f t="shared" si="95"/>
        <v>2828</v>
      </c>
      <c r="B2829" t="s">
        <v>2275</v>
      </c>
      <c r="C2829">
        <v>0</v>
      </c>
      <c r="D2829" t="str">
        <f t="shared" si="93"/>
        <v>b</v>
      </c>
      <c r="E2829" t="str">
        <f t="shared" si="94"/>
        <v>b)Con encuestas permanentes de satisfacción y de calidad de atención en los distintosefectores de políticas.</v>
      </c>
    </row>
    <row r="2830" spans="1:5" x14ac:dyDescent="0.25">
      <c r="A2830">
        <f t="shared" si="95"/>
        <v>2829</v>
      </c>
      <c r="B2830" t="s">
        <v>2276</v>
      </c>
      <c r="C2830">
        <v>0</v>
      </c>
      <c r="D2830" t="str">
        <f t="shared" si="93"/>
        <v>c</v>
      </c>
      <c r="E2830" t="str">
        <f t="shared" si="94"/>
        <v>c)Con diagnósticos poblacionales de tipo participativos, incluyendo las instituciones públicasde los barrios.</v>
      </c>
    </row>
    <row r="2831" spans="1:5" x14ac:dyDescent="0.25">
      <c r="A2831">
        <f t="shared" si="95"/>
        <v>2830</v>
      </c>
      <c r="B2831" t="s">
        <v>2277</v>
      </c>
      <c r="C2831">
        <v>0</v>
      </c>
      <c r="D2831" t="str">
        <f t="shared" si="93"/>
        <v>d</v>
      </c>
      <c r="E2831" t="str">
        <f t="shared" si="94"/>
        <v>d)Con políticos sensibles y con información clara y precisa sobre las problemáticas de saludde la población.</v>
      </c>
    </row>
    <row r="2832" spans="1:5" x14ac:dyDescent="0.25">
      <c r="A2832">
        <f t="shared" si="95"/>
        <v>2831</v>
      </c>
      <c r="B2832" t="s">
        <v>2278</v>
      </c>
      <c r="C2832">
        <v>1</v>
      </c>
      <c r="D2832" t="str">
        <f t="shared" si="93"/>
        <v>S</v>
      </c>
      <c r="E2832" t="str">
        <f t="shared" si="94"/>
        <v>Según Foucault, ¿Cúales son las razones por las cuales aparecieron a fines del SXVIII laindividualización del cadáver, del ataúd y de la tumba?</v>
      </c>
    </row>
    <row r="2833" spans="1:5" x14ac:dyDescent="0.25">
      <c r="A2833">
        <f t="shared" si="95"/>
        <v>2832</v>
      </c>
      <c r="B2833" t="s">
        <v>2279</v>
      </c>
      <c r="C2833">
        <v>0</v>
      </c>
      <c r="D2833" t="str">
        <f t="shared" si="93"/>
        <v>a</v>
      </c>
      <c r="E2833" t="str">
        <f t="shared" si="94"/>
        <v>a)Por cuestiones arquitectónico- políticas.</v>
      </c>
    </row>
    <row r="2834" spans="1:5" x14ac:dyDescent="0.25">
      <c r="A2834">
        <f t="shared" si="95"/>
        <v>2833</v>
      </c>
      <c r="B2834" t="s">
        <v>2460</v>
      </c>
      <c r="C2834">
        <v>0</v>
      </c>
      <c r="D2834" t="str">
        <f t="shared" si="93"/>
        <v>*</v>
      </c>
      <c r="E2834" t="str">
        <f t="shared" si="94"/>
        <v>b)Por motivos político- sanitarios.</v>
      </c>
    </row>
    <row r="2835" spans="1:5" x14ac:dyDescent="0.25">
      <c r="A2835">
        <f t="shared" si="95"/>
        <v>2834</v>
      </c>
      <c r="B2835" t="s">
        <v>2280</v>
      </c>
      <c r="C2835">
        <v>0</v>
      </c>
      <c r="D2835" t="str">
        <f t="shared" si="93"/>
        <v>c</v>
      </c>
      <c r="E2835" t="str">
        <f t="shared" si="94"/>
        <v>c)Por reorganización administrativa urbana.</v>
      </c>
    </row>
    <row r="2836" spans="1:5" x14ac:dyDescent="0.25">
      <c r="A2836">
        <f t="shared" si="95"/>
        <v>2835</v>
      </c>
      <c r="B2836" t="s">
        <v>2281</v>
      </c>
      <c r="C2836">
        <v>0</v>
      </c>
      <c r="D2836" t="str">
        <f t="shared" si="93"/>
        <v>d</v>
      </c>
      <c r="E2836" t="str">
        <f t="shared" si="94"/>
        <v>d)Por razones teológico- religiosas.</v>
      </c>
    </row>
    <row r="2837" spans="1:5" x14ac:dyDescent="0.25">
      <c r="A2837">
        <f t="shared" si="95"/>
        <v>2836</v>
      </c>
      <c r="B2837" t="s">
        <v>2282</v>
      </c>
      <c r="C2837">
        <v>1</v>
      </c>
      <c r="D2837" t="str">
        <f t="shared" si="93"/>
        <v>D</v>
      </c>
      <c r="E2837" t="str">
        <f t="shared" si="94"/>
        <v>De acuerdo al texto "Prevención y travestismo" de Victoria Barreda, ¿Qué problema es recurrentesegún el discurso de las travestis?</v>
      </c>
    </row>
    <row r="2838" spans="1:5" x14ac:dyDescent="0.25">
      <c r="A2838">
        <f t="shared" si="95"/>
        <v>2837</v>
      </c>
      <c r="B2838" t="s">
        <v>2283</v>
      </c>
      <c r="C2838">
        <v>0</v>
      </c>
      <c r="D2838" t="str">
        <f t="shared" si="93"/>
        <v>a</v>
      </c>
      <c r="E2838" t="str">
        <f t="shared" si="94"/>
        <v>a)La desocupación y los obstáculos en la atención de la salud.</v>
      </c>
    </row>
    <row r="2839" spans="1:5" x14ac:dyDescent="0.25">
      <c r="A2839">
        <f t="shared" si="95"/>
        <v>2838</v>
      </c>
      <c r="B2839" t="s">
        <v>2284</v>
      </c>
      <c r="C2839">
        <v>0</v>
      </c>
      <c r="D2839" t="str">
        <f t="shared" si="93"/>
        <v>b</v>
      </c>
      <c r="E2839" t="str">
        <f t="shared" si="94"/>
        <v>b)La estigmatización y la exclusión social.</v>
      </c>
    </row>
    <row r="2840" spans="1:5" x14ac:dyDescent="0.25">
      <c r="A2840">
        <f t="shared" si="95"/>
        <v>2839</v>
      </c>
      <c r="B2840" t="s">
        <v>2285</v>
      </c>
      <c r="C2840">
        <v>0</v>
      </c>
      <c r="D2840" t="str">
        <f t="shared" si="93"/>
        <v>c</v>
      </c>
      <c r="E2840" t="str">
        <f t="shared" si="94"/>
        <v>c)La explotación sexual y las infecciones de transmisión sexual.</v>
      </c>
    </row>
    <row r="2841" spans="1:5" x14ac:dyDescent="0.25">
      <c r="A2841">
        <f t="shared" si="95"/>
        <v>2840</v>
      </c>
      <c r="B2841" t="s">
        <v>2461</v>
      </c>
      <c r="C2841">
        <v>0</v>
      </c>
      <c r="D2841" t="str">
        <f t="shared" si="93"/>
        <v>*</v>
      </c>
      <c r="E2841" t="str">
        <f t="shared" si="94"/>
        <v>d)La nominación y el sentimiento de discriminación.</v>
      </c>
    </row>
    <row r="2842" spans="1:5" x14ac:dyDescent="0.25">
      <c r="A2842">
        <f t="shared" si="95"/>
        <v>2841</v>
      </c>
      <c r="B2842" t="s">
        <v>2286</v>
      </c>
      <c r="C2842">
        <v>1</v>
      </c>
      <c r="D2842" t="str">
        <f t="shared" si="93"/>
        <v>S</v>
      </c>
      <c r="E2842" t="str">
        <f t="shared" si="94"/>
        <v>Según Victoria Barreda, ¿qué factores impiden contar con datos cuali-cuantitativos o estudioscomportamentales sobre la población travesti respecto de la problemática del VIH-SIDA?</v>
      </c>
    </row>
    <row r="2843" spans="1:5" x14ac:dyDescent="0.25">
      <c r="A2843">
        <f t="shared" si="95"/>
        <v>2842</v>
      </c>
      <c r="B2843" t="s">
        <v>2462</v>
      </c>
      <c r="C2843">
        <v>0</v>
      </c>
      <c r="D2843" t="str">
        <f t="shared" si="93"/>
        <v>*</v>
      </c>
      <c r="E2843" t="str">
        <f t="shared" si="94"/>
        <v>a)Las dificultades para organizarse como colectivo, su vulnerabilidad social y políticaspúblicas de salud que minimizaron su peso relativo en la epidemia.</v>
      </c>
    </row>
    <row r="2844" spans="1:5" x14ac:dyDescent="0.25">
      <c r="A2844">
        <f t="shared" si="95"/>
        <v>2843</v>
      </c>
      <c r="B2844" t="s">
        <v>2287</v>
      </c>
      <c r="C2844">
        <v>0</v>
      </c>
      <c r="D2844" t="str">
        <f t="shared" si="93"/>
        <v>b</v>
      </c>
      <c r="E2844" t="str">
        <f t="shared" si="94"/>
        <v>b)La autoexclusión y las conductas de automarginación que desarrolla esta población conrespecto a los servicios de salud.</v>
      </c>
    </row>
    <row r="2845" spans="1:5" x14ac:dyDescent="0.25">
      <c r="A2845">
        <f t="shared" si="95"/>
        <v>2844</v>
      </c>
      <c r="B2845" t="s">
        <v>2288</v>
      </c>
      <c r="C2845">
        <v>0</v>
      </c>
      <c r="D2845" t="str">
        <f t="shared" si="93"/>
        <v>c</v>
      </c>
      <c r="E2845" t="str">
        <f t="shared" si="94"/>
        <v>c)La ausencia politica de organizaciones travestis que pusieran a esta población en laagenda pública como sujeto de derecho.</v>
      </c>
    </row>
    <row r="2846" spans="1:5" x14ac:dyDescent="0.25">
      <c r="A2846">
        <f t="shared" si="95"/>
        <v>2845</v>
      </c>
      <c r="B2846" t="s">
        <v>2289</v>
      </c>
      <c r="C2846">
        <v>0</v>
      </c>
      <c r="D2846" t="str">
        <f t="shared" si="93"/>
        <v>d</v>
      </c>
      <c r="E2846" t="str">
        <f t="shared" si="94"/>
        <v>d)Las dificultades socio culturales de un modelo médico que considerara las característicasparticulares de esta población.</v>
      </c>
    </row>
    <row r="2847" spans="1:5" x14ac:dyDescent="0.25">
      <c r="A2847">
        <f t="shared" si="95"/>
        <v>2846</v>
      </c>
      <c r="B2847" t="s">
        <v>2290</v>
      </c>
      <c r="C2847">
        <v>1</v>
      </c>
      <c r="D2847" t="str">
        <f t="shared" si="93"/>
        <v>P</v>
      </c>
      <c r="E2847" t="str">
        <f t="shared" si="94"/>
        <v>Para Elsa Gómez Gómez en "Equidad, género y salud" ¿Qué exigiría la equidad en elfinanciamiento de la atención de la salud?</v>
      </c>
    </row>
    <row r="2848" spans="1:5" x14ac:dyDescent="0.25">
      <c r="A2848">
        <f t="shared" si="95"/>
        <v>2847</v>
      </c>
      <c r="B2848" t="s">
        <v>2291</v>
      </c>
      <c r="C2848">
        <v>0</v>
      </c>
      <c r="D2848" t="str">
        <f t="shared" si="93"/>
        <v>a</v>
      </c>
      <c r="E2848" t="str">
        <f t="shared" si="94"/>
        <v>a)Que tanto hombres como mujeres contribuyan de igual manera por igual servicio.</v>
      </c>
    </row>
    <row r="2849" spans="1:5" x14ac:dyDescent="0.25">
      <c r="A2849">
        <f t="shared" si="95"/>
        <v>2848</v>
      </c>
      <c r="B2849" t="s">
        <v>2463</v>
      </c>
      <c r="C2849">
        <v>0</v>
      </c>
      <c r="D2849" t="str">
        <f t="shared" si="93"/>
        <v>*</v>
      </c>
      <c r="E2849" t="str">
        <f t="shared" si="94"/>
        <v>b)Que tanto mujeres como hombres contribuyeran de acuerdo con su capacidad económicay no de acuerdo a sus necesidades.</v>
      </c>
    </row>
    <row r="2850" spans="1:5" x14ac:dyDescent="0.25">
      <c r="A2850">
        <f t="shared" si="95"/>
        <v>2849</v>
      </c>
      <c r="B2850" t="s">
        <v>2292</v>
      </c>
      <c r="C2850">
        <v>0</v>
      </c>
      <c r="D2850" t="str">
        <f t="shared" si="93"/>
        <v>c</v>
      </c>
      <c r="E2850" t="str">
        <f t="shared" si="94"/>
        <v>c)Que sólo las mujeres se atendieran en forma gratuita dado su rol de proveedora de saluddentro de la familia.</v>
      </c>
    </row>
    <row r="2851" spans="1:5" x14ac:dyDescent="0.25">
      <c r="A2851">
        <f t="shared" si="95"/>
        <v>2850</v>
      </c>
      <c r="B2851" t="s">
        <v>2293</v>
      </c>
      <c r="C2851">
        <v>0</v>
      </c>
      <c r="D2851" t="str">
        <f t="shared" si="93"/>
        <v>d</v>
      </c>
      <c r="E2851" t="str">
        <f t="shared" si="94"/>
        <v>d)Que tanto hombres como mujeres contribuyan según sus necesidades.</v>
      </c>
    </row>
    <row r="2852" spans="1:5" x14ac:dyDescent="0.25">
      <c r="A2852">
        <f t="shared" si="95"/>
        <v>2851</v>
      </c>
      <c r="B2852" t="s">
        <v>2294</v>
      </c>
      <c r="C2852">
        <v>1</v>
      </c>
      <c r="D2852" t="str">
        <f t="shared" ref="D2852:D2915" si="96">+MID(B2852,1,1)</f>
        <v>S</v>
      </c>
      <c r="E2852" t="str">
        <f t="shared" si="94"/>
        <v>Según Elsa Gomez Gomez ¿Cómo se traduciría, en términos operacionales, la equidad en salud?</v>
      </c>
    </row>
    <row r="2853" spans="1:5" x14ac:dyDescent="0.25">
      <c r="A2853">
        <f t="shared" si="95"/>
        <v>2852</v>
      </c>
      <c r="B2853" t="s">
        <v>2295</v>
      </c>
      <c r="C2853">
        <v>0</v>
      </c>
      <c r="D2853" t="str">
        <f t="shared" si="96"/>
        <v>a</v>
      </c>
      <c r="E2853" t="str">
        <f t="shared" si="94"/>
        <v>a)En la asignación de recursos económicos y financieros suficientes en salud, con capacidadde atención a la población de la zona de influciencia geográfica.</v>
      </c>
    </row>
    <row r="2854" spans="1:5" x14ac:dyDescent="0.25">
      <c r="A2854">
        <f t="shared" si="95"/>
        <v>2853</v>
      </c>
      <c r="B2854" t="s">
        <v>2296</v>
      </c>
      <c r="C2854">
        <v>0</v>
      </c>
      <c r="D2854" t="str">
        <f t="shared" si="96"/>
        <v>b</v>
      </c>
      <c r="E2854" t="str">
        <f t="shared" si="94"/>
        <v>b)En la maximización de la calidad en la atención de la salud a aquellos grupos de personasvulnerables.</v>
      </c>
    </row>
    <row r="2855" spans="1:5" x14ac:dyDescent="0.25">
      <c r="A2855">
        <f t="shared" si="95"/>
        <v>2854</v>
      </c>
      <c r="B2855" t="s">
        <v>2464</v>
      </c>
      <c r="C2855">
        <v>0</v>
      </c>
      <c r="D2855" t="str">
        <f t="shared" si="96"/>
        <v>*</v>
      </c>
      <c r="E2855" t="str">
        <f t="shared" si="94"/>
        <v>c)En la minimización de disparidades evitables en salud y sus determinantes entre gruposhumanos con diferentes niveles de privilegio social.</v>
      </c>
    </row>
    <row r="2856" spans="1:5" x14ac:dyDescent="0.25">
      <c r="A2856">
        <f t="shared" si="95"/>
        <v>2855</v>
      </c>
      <c r="B2856" t="s">
        <v>2297</v>
      </c>
      <c r="C2856">
        <v>0</v>
      </c>
      <c r="D2856" t="str">
        <f t="shared" si="96"/>
        <v>d</v>
      </c>
      <c r="E2856" t="str">
        <f t="shared" si="94"/>
        <v>d)En la redistribución de la riqueza de tal modo que sea generen condiciones desustentabilidad económica y social para la salud.</v>
      </c>
    </row>
    <row r="2857" spans="1:5" x14ac:dyDescent="0.25">
      <c r="A2857">
        <f t="shared" si="95"/>
        <v>2856</v>
      </c>
      <c r="B2857" t="s">
        <v>2298</v>
      </c>
      <c r="C2857">
        <v>1</v>
      </c>
      <c r="D2857" t="str">
        <f t="shared" si="96"/>
        <v>¿</v>
      </c>
      <c r="E2857" t="str">
        <f t="shared" si="94"/>
        <v>¿Qué significa para los autores Elina Dabas y Néstor Perrone "red nocional"?</v>
      </c>
    </row>
    <row r="2858" spans="1:5" x14ac:dyDescent="0.25">
      <c r="A2858">
        <f t="shared" si="95"/>
        <v>2857</v>
      </c>
      <c r="B2858" t="s">
        <v>2299</v>
      </c>
      <c r="C2858">
        <v>0</v>
      </c>
      <c r="D2858" t="str">
        <f t="shared" si="96"/>
        <v>a</v>
      </c>
      <c r="E2858" t="str">
        <f t="shared" si="94"/>
        <v>a)Es la posiblidad de encontrarse a partir de nociones comunes en un contexto que favoreceel intercambio social, cultural y teórico.</v>
      </c>
    </row>
    <row r="2859" spans="1:5" x14ac:dyDescent="0.25">
      <c r="A2859">
        <f t="shared" si="95"/>
        <v>2858</v>
      </c>
      <c r="B2859" t="s">
        <v>2465</v>
      </c>
      <c r="C2859">
        <v>0</v>
      </c>
      <c r="D2859" t="str">
        <f t="shared" si="96"/>
        <v>*</v>
      </c>
      <c r="E2859" t="str">
        <f t="shared" si="94"/>
        <v>b)Es una coconstrucción peculiar, modificable y factible de enriquecerse, basada en diversosmarcos teóricos.</v>
      </c>
    </row>
    <row r="2860" spans="1:5" x14ac:dyDescent="0.25">
      <c r="A2860">
        <f t="shared" si="95"/>
        <v>2859</v>
      </c>
      <c r="B2860" t="s">
        <v>2300</v>
      </c>
      <c r="C2860">
        <v>0</v>
      </c>
      <c r="D2860" t="str">
        <f t="shared" si="96"/>
        <v>c</v>
      </c>
      <c r="E2860" t="str">
        <f t="shared" si="94"/>
        <v>c)Es una construcción teórica basada en el intercambio de ideas entre profesionales dediversas disciplinas.</v>
      </c>
    </row>
    <row r="2861" spans="1:5" x14ac:dyDescent="0.25">
      <c r="A2861">
        <f t="shared" si="95"/>
        <v>2860</v>
      </c>
      <c r="B2861" t="s">
        <v>2301</v>
      </c>
      <c r="C2861">
        <v>0</v>
      </c>
      <c r="D2861" t="str">
        <f t="shared" si="96"/>
        <v>d</v>
      </c>
      <c r="E2861" t="str">
        <f t="shared" si="94"/>
        <v>d)Es un concepto pragmático utilizado para dar cuenta de la plasticidad, flexibilidad yadaptación de las personas en el encuentro con otros.</v>
      </c>
    </row>
    <row r="2862" spans="1:5" x14ac:dyDescent="0.25">
      <c r="A2862">
        <f t="shared" si="95"/>
        <v>2861</v>
      </c>
      <c r="B2862" t="s">
        <v>2302</v>
      </c>
      <c r="C2862">
        <v>1</v>
      </c>
      <c r="D2862" t="str">
        <f t="shared" si="96"/>
        <v>S</v>
      </c>
      <c r="E2862" t="str">
        <f t="shared" si="94"/>
        <v>Según Silvia Faraone, desde el imaginario social, el diagnóstico psquiátrico constituye un símboloetiquetando al que lo recibe como distinto. ¿Qué produce este rótulo?</v>
      </c>
    </row>
    <row r="2863" spans="1:5" x14ac:dyDescent="0.25">
      <c r="A2863">
        <f t="shared" si="95"/>
        <v>2862</v>
      </c>
      <c r="B2863" t="s">
        <v>2466</v>
      </c>
      <c r="C2863">
        <v>0</v>
      </c>
      <c r="D2863" t="str">
        <f t="shared" si="96"/>
        <v>*</v>
      </c>
      <c r="E2863" t="str">
        <f t="shared" si="94"/>
        <v>a)Un circuito de segregación social.</v>
      </c>
    </row>
    <row r="2864" spans="1:5" x14ac:dyDescent="0.25">
      <c r="A2864">
        <f t="shared" si="95"/>
        <v>2863</v>
      </c>
      <c r="B2864" t="s">
        <v>2303</v>
      </c>
      <c r="C2864">
        <v>0</v>
      </c>
      <c r="D2864" t="str">
        <f t="shared" si="96"/>
        <v>b</v>
      </c>
      <c r="E2864" t="str">
        <f t="shared" si="94"/>
        <v>b)Un proceso de discriminación y autoexclusión.</v>
      </c>
    </row>
    <row r="2865" spans="1:5" x14ac:dyDescent="0.25">
      <c r="A2865">
        <f t="shared" si="95"/>
        <v>2864</v>
      </c>
      <c r="B2865" t="s">
        <v>2304</v>
      </c>
      <c r="C2865">
        <v>0</v>
      </c>
      <c r="D2865" t="str">
        <f t="shared" si="96"/>
        <v>c</v>
      </c>
      <c r="E2865" t="str">
        <f t="shared" si="94"/>
        <v>c)Una autopercepción negativa.</v>
      </c>
    </row>
    <row r="2866" spans="1:5" x14ac:dyDescent="0.25">
      <c r="A2866">
        <f t="shared" si="95"/>
        <v>2865</v>
      </c>
      <c r="B2866" t="s">
        <v>2305</v>
      </c>
      <c r="C2866">
        <v>0</v>
      </c>
      <c r="D2866" t="str">
        <f t="shared" si="96"/>
        <v>d</v>
      </c>
      <c r="E2866" t="str">
        <f t="shared" si="94"/>
        <v>d)Vulneración social.</v>
      </c>
    </row>
    <row r="2867" spans="1:5" x14ac:dyDescent="0.25">
      <c r="A2867">
        <f t="shared" si="95"/>
        <v>2866</v>
      </c>
      <c r="B2867" t="s">
        <v>2306</v>
      </c>
      <c r="C2867">
        <v>1</v>
      </c>
      <c r="D2867" t="str">
        <f t="shared" si="96"/>
        <v>¿</v>
      </c>
      <c r="E2867" t="str">
        <f t="shared" si="94"/>
        <v>¿Qué significa para Silvia Faraone el concepto de desinstitucionalización en tanto política dedeshospitalización?</v>
      </c>
    </row>
    <row r="2868" spans="1:5" x14ac:dyDescent="0.25">
      <c r="A2868">
        <f t="shared" si="95"/>
        <v>2867</v>
      </c>
      <c r="B2868" t="s">
        <v>2307</v>
      </c>
      <c r="C2868">
        <v>0</v>
      </c>
      <c r="D2868" t="str">
        <f t="shared" si="96"/>
        <v>a</v>
      </c>
      <c r="E2868" t="str">
        <f t="shared" si="94"/>
        <v>a)El cierre de los grandes hospitales asilares- custodiales y la apertura de dispositivos deatención reducidos y personalizados.</v>
      </c>
    </row>
    <row r="2869" spans="1:5" x14ac:dyDescent="0.25">
      <c r="A2869">
        <f t="shared" si="95"/>
        <v>2868</v>
      </c>
      <c r="B2869" t="s">
        <v>2308</v>
      </c>
      <c r="C2869">
        <v>0</v>
      </c>
      <c r="D2869" t="str">
        <f t="shared" si="96"/>
        <v>b</v>
      </c>
      <c r="E2869" t="str">
        <f t="shared" si="94"/>
        <v>b)El cambio en los procesos de atención de la salud mental y la reestructuración de lasinstituciones de atención sin reducción presupuestaria.</v>
      </c>
    </row>
    <row r="2870" spans="1:5" x14ac:dyDescent="0.25">
      <c r="A2870">
        <f t="shared" si="95"/>
        <v>2869</v>
      </c>
      <c r="B2870" t="s">
        <v>2309</v>
      </c>
      <c r="C2870">
        <v>0</v>
      </c>
      <c r="D2870" t="str">
        <f t="shared" si="96"/>
        <v>c</v>
      </c>
      <c r="E2870" t="str">
        <f t="shared" si="94"/>
        <v>c)La gestión de recursos económicos y humanos para la implementación descentralizada ycomunitaria de programas de salud mental.</v>
      </c>
    </row>
    <row r="2871" spans="1:5" x14ac:dyDescent="0.25">
      <c r="A2871">
        <f t="shared" si="95"/>
        <v>2870</v>
      </c>
      <c r="B2871" t="s">
        <v>2467</v>
      </c>
      <c r="C2871">
        <v>0</v>
      </c>
      <c r="D2871" t="str">
        <f t="shared" si="96"/>
        <v>*</v>
      </c>
      <c r="E2871" t="str">
        <f t="shared" si="94"/>
        <v>d)La implementación de programas de reducción económica y una de las primerasoperaciones consecuentes de una política de ajuste.</v>
      </c>
    </row>
    <row r="2872" spans="1:5" x14ac:dyDescent="0.25">
      <c r="A2872">
        <f t="shared" si="95"/>
        <v>2871</v>
      </c>
      <c r="B2872" t="s">
        <v>2310</v>
      </c>
      <c r="C2872">
        <v>1</v>
      </c>
      <c r="D2872" t="str">
        <f t="shared" si="96"/>
        <v>¿</v>
      </c>
      <c r="E2872" t="str">
        <f t="shared" si="94"/>
        <v>¿Cómo define Floreal Ferrara "la percepción del valor de uso del recurso" que va unido al conceptode percepción de necesidades de atención de la salud?</v>
      </c>
    </row>
    <row r="2873" spans="1:5" x14ac:dyDescent="0.25">
      <c r="A2873">
        <f t="shared" si="95"/>
        <v>2872</v>
      </c>
      <c r="B2873" t="s">
        <v>2311</v>
      </c>
      <c r="C2873">
        <v>0</v>
      </c>
      <c r="D2873" t="str">
        <f t="shared" si="96"/>
        <v>a</v>
      </c>
      <c r="E2873" t="str">
        <f t="shared" si="94"/>
        <v>a)Como las formas diferenciales de acceder y utilizar los servicios de atención pública porlos distintos grupos sociales.</v>
      </c>
    </row>
    <row r="2874" spans="1:5" x14ac:dyDescent="0.25">
      <c r="A2874">
        <f t="shared" si="95"/>
        <v>2873</v>
      </c>
      <c r="B2874" t="s">
        <v>2312</v>
      </c>
      <c r="C2874">
        <v>0</v>
      </c>
      <c r="D2874" t="str">
        <f t="shared" si="96"/>
        <v>b</v>
      </c>
      <c r="E2874" t="str">
        <f t="shared" si="94"/>
        <v>b)Como las formas que desarrollan los distintos estratos sociales de satisfacer lasnecesidades de atención médica.</v>
      </c>
    </row>
    <row r="2875" spans="1:5" x14ac:dyDescent="0.25">
      <c r="A2875">
        <f t="shared" si="95"/>
        <v>2874</v>
      </c>
      <c r="B2875" t="s">
        <v>2468</v>
      </c>
      <c r="C2875">
        <v>0</v>
      </c>
      <c r="D2875" t="str">
        <f t="shared" si="96"/>
        <v>*</v>
      </c>
      <c r="E2875" t="str">
        <f t="shared" si="94"/>
        <v>c)Como la reacción social que resulta de la experiencia de los grupos sociales con losservicios de salud.</v>
      </c>
    </row>
    <row r="2876" spans="1:5" x14ac:dyDescent="0.25">
      <c r="A2876">
        <f t="shared" si="95"/>
        <v>2875</v>
      </c>
      <c r="B2876" t="s">
        <v>2313</v>
      </c>
      <c r="C2876">
        <v>0</v>
      </c>
      <c r="D2876" t="str">
        <f t="shared" si="96"/>
        <v>d</v>
      </c>
      <c r="E2876" t="str">
        <f t="shared" si="94"/>
        <v>d)Como el resultado de la tasa de utilización de los recursos sanitarios de acuerdo a lasdistintas clases sociales.</v>
      </c>
    </row>
    <row r="2877" spans="1:5" x14ac:dyDescent="0.25">
      <c r="A2877">
        <f t="shared" si="95"/>
        <v>2876</v>
      </c>
      <c r="B2877" t="s">
        <v>2314</v>
      </c>
      <c r="C2877">
        <v>1</v>
      </c>
      <c r="D2877" t="str">
        <f t="shared" si="96"/>
        <v>¿</v>
      </c>
      <c r="E2877" t="str">
        <f t="shared" si="94"/>
        <v>¿Cúales son para Foucault los fenómenos que caracterizan lo que podría denominarse "medicinade Estado"?</v>
      </c>
    </row>
    <row r="2878" spans="1:5" x14ac:dyDescent="0.25">
      <c r="A2878">
        <f t="shared" si="95"/>
        <v>2877</v>
      </c>
      <c r="B2878" t="s">
        <v>2315</v>
      </c>
      <c r="C2878">
        <v>0</v>
      </c>
      <c r="D2878" t="str">
        <f t="shared" si="96"/>
        <v>a</v>
      </c>
      <c r="E2878" t="str">
        <f t="shared" si="94"/>
        <v>a)La creación de un sistema estatal centralizado de planificación de la atención médica, laeducación universitaria orientada a la sanidad pública.</v>
      </c>
    </row>
    <row r="2879" spans="1:5" x14ac:dyDescent="0.25">
      <c r="A2879">
        <f t="shared" si="95"/>
        <v>2878</v>
      </c>
      <c r="B2879" t="s">
        <v>2469</v>
      </c>
      <c r="C2879">
        <v>0</v>
      </c>
      <c r="D2879" t="str">
        <f t="shared" si="96"/>
        <v>*</v>
      </c>
      <c r="E2879" t="str">
        <f t="shared" si="94"/>
        <v>b)La organización de un saber médico estatal, la normalización de la profesión médica, lasubordinación de los médicos a una organización médico estatal.</v>
      </c>
    </row>
    <row r="2880" spans="1:5" x14ac:dyDescent="0.25">
      <c r="A2880">
        <f t="shared" si="95"/>
        <v>2879</v>
      </c>
      <c r="B2880" t="s">
        <v>2316</v>
      </c>
      <c r="C2880">
        <v>0</v>
      </c>
      <c r="D2880" t="str">
        <f t="shared" si="96"/>
        <v>c</v>
      </c>
      <c r="E2880" t="str">
        <f t="shared" si="94"/>
        <v>c)La reorganización urbana acorde a criterios sanitarios de las comunas y la necesidad deorganizar la atención médica de las epidemias desde los hospitales estales.</v>
      </c>
    </row>
    <row r="2881" spans="1:5" x14ac:dyDescent="0.25">
      <c r="A2881">
        <f t="shared" si="95"/>
        <v>2880</v>
      </c>
      <c r="B2881" t="s">
        <v>2317</v>
      </c>
      <c r="C2881">
        <v>0</v>
      </c>
      <c r="D2881" t="str">
        <f t="shared" si="96"/>
        <v>d</v>
      </c>
      <c r="E2881" t="str">
        <f t="shared" si="94"/>
        <v>d)El desarrollo de un conocimiento sobre el Estado, su población y sus recursos naturales, yla preocupación sanitaria por la natalidad y mortalidad y el crecimiento poblacional.</v>
      </c>
    </row>
    <row r="2882" spans="1:5" x14ac:dyDescent="0.25">
      <c r="A2882">
        <f t="shared" si="95"/>
        <v>2881</v>
      </c>
      <c r="B2882" t="s">
        <v>2318</v>
      </c>
      <c r="C2882">
        <v>1</v>
      </c>
      <c r="D2882" t="str">
        <f t="shared" si="96"/>
        <v>¿</v>
      </c>
      <c r="E2882" t="str">
        <f t="shared" si="94"/>
        <v>¿Por qué para Miguel Meza en "Técnicas de actuación profesional.." el informe social se presentacomo una de las técnicas del registro y documentación más relevantes en la actuación profesional?</v>
      </c>
    </row>
    <row r="2883" spans="1:5" x14ac:dyDescent="0.25">
      <c r="A2883">
        <f t="shared" si="95"/>
        <v>2882</v>
      </c>
      <c r="B2883" t="s">
        <v>2319</v>
      </c>
      <c r="C2883">
        <v>0</v>
      </c>
      <c r="D2883" t="str">
        <f t="shared" si="96"/>
        <v>a</v>
      </c>
      <c r="E2883" t="str">
        <f t="shared" ref="E2883:E2946" si="97">+IF(D2883="*",MID(B2883,3,500),B2883)</f>
        <v>a)Por las posibilidades de generar y acumular datos de la realidad social que permitenproducir diagnósticos según las necesidades de la población.</v>
      </c>
    </row>
    <row r="2884" spans="1:5" x14ac:dyDescent="0.25">
      <c r="A2884">
        <f t="shared" si="95"/>
        <v>2883</v>
      </c>
      <c r="B2884" t="s">
        <v>2470</v>
      </c>
      <c r="C2884">
        <v>0</v>
      </c>
      <c r="D2884" t="str">
        <f t="shared" si="96"/>
        <v>*</v>
      </c>
      <c r="E2884" t="str">
        <f t="shared" si="97"/>
        <v>b)Por su carácter integrador de un proceso en cuyo centro se encuentran las problemáticassociales y las interpretaciones y apreciaciones que de éstas se realizan.</v>
      </c>
    </row>
    <row r="2885" spans="1:5" x14ac:dyDescent="0.25">
      <c r="A2885">
        <f t="shared" si="95"/>
        <v>2884</v>
      </c>
      <c r="B2885" t="s">
        <v>2320</v>
      </c>
      <c r="C2885">
        <v>0</v>
      </c>
      <c r="D2885" t="str">
        <f t="shared" si="96"/>
        <v>c</v>
      </c>
      <c r="E2885" t="str">
        <f t="shared" si="97"/>
        <v>c)Porque el registro se transforma en documentación relevante en el momento de tomardecisiones a partir de la lectura e interpretación del texto.</v>
      </c>
    </row>
    <row r="2886" spans="1:5" x14ac:dyDescent="0.25">
      <c r="A2886">
        <f t="shared" si="95"/>
        <v>2885</v>
      </c>
      <c r="B2886" t="s">
        <v>2321</v>
      </c>
      <c r="C2886">
        <v>0</v>
      </c>
      <c r="D2886" t="str">
        <f t="shared" si="96"/>
        <v>d</v>
      </c>
      <c r="E2886" t="str">
        <f t="shared" si="97"/>
        <v>d)Porque los datos vertidos en el registro permiten planificar y organizar los procesos deintervención profesional siguientes.</v>
      </c>
    </row>
    <row r="2887" spans="1:5" x14ac:dyDescent="0.25">
      <c r="A2887">
        <f t="shared" ref="A2887:A2950" si="98">+A2886+1</f>
        <v>2886</v>
      </c>
      <c r="B2887" t="s">
        <v>2322</v>
      </c>
      <c r="C2887">
        <v>1</v>
      </c>
      <c r="D2887" t="str">
        <f t="shared" si="96"/>
        <v>S</v>
      </c>
      <c r="E2887" t="str">
        <f t="shared" si="97"/>
        <v>Según Paul Watzlawick, ¿Cúales son las tres áreas en las que puede subdividirse el estudio de lacomunicación humana?</v>
      </c>
    </row>
    <row r="2888" spans="1:5" x14ac:dyDescent="0.25">
      <c r="A2888">
        <f t="shared" si="98"/>
        <v>2887</v>
      </c>
      <c r="B2888" t="s">
        <v>2323</v>
      </c>
      <c r="C2888">
        <v>0</v>
      </c>
      <c r="D2888" t="str">
        <f t="shared" si="96"/>
        <v>a</v>
      </c>
      <c r="E2888" t="str">
        <f t="shared" si="97"/>
        <v>a)La relación significante- significado, la relación emisor- receptor y la semántica.</v>
      </c>
    </row>
    <row r="2889" spans="1:5" x14ac:dyDescent="0.25">
      <c r="A2889">
        <f t="shared" si="98"/>
        <v>2888</v>
      </c>
      <c r="B2889" t="s">
        <v>2324</v>
      </c>
      <c r="C2889">
        <v>0</v>
      </c>
      <c r="D2889" t="str">
        <f t="shared" si="96"/>
        <v>b</v>
      </c>
      <c r="E2889" t="str">
        <f t="shared" si="97"/>
        <v>b)La semiología, la semiótica y el pragmatismo.</v>
      </c>
    </row>
    <row r="2890" spans="1:5" x14ac:dyDescent="0.25">
      <c r="A2890">
        <f t="shared" si="98"/>
        <v>2889</v>
      </c>
      <c r="B2890" t="s">
        <v>2471</v>
      </c>
      <c r="C2890">
        <v>0</v>
      </c>
      <c r="D2890" t="str">
        <f t="shared" si="96"/>
        <v>*</v>
      </c>
      <c r="E2890" t="str">
        <f t="shared" si="97"/>
        <v>c)La sintáctica, la semántica y la pragmática.</v>
      </c>
    </row>
    <row r="2891" spans="1:5" x14ac:dyDescent="0.25">
      <c r="A2891">
        <f t="shared" si="98"/>
        <v>2890</v>
      </c>
      <c r="B2891" t="s">
        <v>2325</v>
      </c>
      <c r="C2891">
        <v>0</v>
      </c>
      <c r="D2891" t="str">
        <f t="shared" si="96"/>
        <v>d</v>
      </c>
      <c r="E2891" t="str">
        <f t="shared" si="97"/>
        <v>d)El relato, el metarelato y los medios de comunicación.</v>
      </c>
    </row>
    <row r="2892" spans="1:5" x14ac:dyDescent="0.25">
      <c r="A2892">
        <f t="shared" si="98"/>
        <v>2891</v>
      </c>
      <c r="B2892" t="s">
        <v>2326</v>
      </c>
      <c r="C2892">
        <v>1</v>
      </c>
      <c r="D2892" t="str">
        <f t="shared" si="96"/>
        <v>J</v>
      </c>
      <c r="E2892" t="str">
        <f t="shared" si="97"/>
        <v>Javier está realizando tratamiento ambulatorio desde hace un mes a causa de una infecciónpulmonar que le impide trabajar en el Sanatorio San Julián de la obra social de gastronómicos.Dado el tiempo transcurrido y la gravedad del caso desea realizar una interconsulta con otrosprofesionales especializados en un hospital público, para ello necesita una copia de su HistoriaClínica pero no sabe si en el sanatorio se la darán. Consulta a la trabajadora social de la Obrasocial. ¿Cómo orientará al paciente según el artículo 14 de la Ley 26529 "Derechos del paciente"?</v>
      </c>
    </row>
    <row r="2893" spans="1:5" x14ac:dyDescent="0.25">
      <c r="A2893">
        <f t="shared" si="98"/>
        <v>2892</v>
      </c>
      <c r="B2893" t="s">
        <v>2472</v>
      </c>
      <c r="C2893">
        <v>0</v>
      </c>
      <c r="D2893" t="str">
        <f t="shared" si="96"/>
        <v>*</v>
      </c>
      <c r="E2893" t="str">
        <f t="shared" si="97"/>
        <v>a)A su simple requerimiento debe suministrásele copia de la misma, autenticada porautoridad competente de la institución asistencial, dentro de las 48 hs de solicitada.</v>
      </c>
    </row>
    <row r="2894" spans="1:5" x14ac:dyDescent="0.25">
      <c r="A2894">
        <f t="shared" si="98"/>
        <v>2893</v>
      </c>
      <c r="B2894" t="s">
        <v>2327</v>
      </c>
      <c r="C2894">
        <v>0</v>
      </c>
      <c r="D2894" t="str">
        <f t="shared" si="96"/>
        <v>b</v>
      </c>
      <c r="E2894" t="str">
        <f t="shared" si="97"/>
        <v>b)A su requerimiento deberá adjuntar una carta justificando el pedido, la historia clínica sedeberá entregar en mano a su titular, dentro de las 72 hs de haberla soliticitado.</v>
      </c>
    </row>
    <row r="2895" spans="1:5" x14ac:dyDescent="0.25">
      <c r="A2895">
        <f t="shared" si="98"/>
        <v>2894</v>
      </c>
      <c r="B2895" t="s">
        <v>2328</v>
      </c>
      <c r="C2895">
        <v>0</v>
      </c>
      <c r="D2895" t="str">
        <f t="shared" si="96"/>
        <v>c</v>
      </c>
      <c r="E2895" t="str">
        <f t="shared" si="97"/>
        <v>c)Debe ingresar un requerimiento por escrito por las vías administrativo legales, el directorpodrá tomarse hasta 72 hs para evaluar la solicitud y entregar una copia.</v>
      </c>
    </row>
    <row r="2896" spans="1:5" x14ac:dyDescent="0.25">
      <c r="A2896">
        <f t="shared" si="98"/>
        <v>2895</v>
      </c>
      <c r="B2896" t="s">
        <v>2329</v>
      </c>
      <c r="C2896">
        <v>0</v>
      </c>
      <c r="D2896" t="str">
        <f t="shared" si="96"/>
        <v>d</v>
      </c>
      <c r="E2896" t="str">
        <f t="shared" si="97"/>
        <v>d)Sólo podrá retirar una copia de su historia clínica en caso que hubiera estado internado ocon autorización consentida del equipo tratante.</v>
      </c>
    </row>
    <row r="2897" spans="1:5" x14ac:dyDescent="0.25">
      <c r="A2897">
        <f t="shared" si="98"/>
        <v>2896</v>
      </c>
      <c r="B2897" t="s">
        <v>2330</v>
      </c>
      <c r="C2897">
        <v>1</v>
      </c>
      <c r="D2897" t="str">
        <f t="shared" si="96"/>
        <v>L</v>
      </c>
      <c r="E2897" t="str">
        <f t="shared" si="97"/>
        <v>Leila y varias compañeras sufrieron un grave accidente cuando estaban en un micro rumbo a unviaje turístico. Al llegar la ambulancia Leila estaba inconciente, sin documentación que acreditarasu identidad ni posibilidad de contactar familiares. Su estado en la guardia se agrava y losmédicos dudan y se demoran en intervenirla quirúrgicamente porque no esta en condiciones defirmar el consentimiento informado. ¿Qué especifica el artículo 9 de la Ley del derecho delpaciente en relación al consentimiento informado?</v>
      </c>
    </row>
    <row r="2898" spans="1:5" x14ac:dyDescent="0.25">
      <c r="A2898">
        <f t="shared" si="98"/>
        <v>2897</v>
      </c>
      <c r="B2898" t="s">
        <v>2331</v>
      </c>
      <c r="C2898">
        <v>0</v>
      </c>
      <c r="D2898" t="str">
        <f t="shared" si="96"/>
        <v>a</v>
      </c>
      <c r="E2898" t="str">
        <f t="shared" si="97"/>
        <v>a)Los profesionales no podrán intervenir quirúrgicamente a ningún paciente sin que medieun consentimiento informado dado por él mismo o por terceros en tanto representanteslegales.</v>
      </c>
    </row>
    <row r="2899" spans="1:5" x14ac:dyDescent="0.25">
      <c r="A2899">
        <f t="shared" si="98"/>
        <v>2898</v>
      </c>
      <c r="B2899" t="s">
        <v>2332</v>
      </c>
      <c r="C2899">
        <v>0</v>
      </c>
      <c r="D2899" t="str">
        <f t="shared" si="96"/>
        <v>b</v>
      </c>
      <c r="E2899" t="str">
        <f t="shared" si="97"/>
        <v>b)El equipo de guardia deberá agotar en forma fehaciente todas las instancias de búsquedade familiares o representantes legales para la firma del consentimiento antes de realizaruna intervención que implique un riesgo para el paciente.</v>
      </c>
    </row>
    <row r="2900" spans="1:5" x14ac:dyDescent="0.25">
      <c r="A2900">
        <f t="shared" si="98"/>
        <v>2899</v>
      </c>
      <c r="B2900" t="s">
        <v>2333</v>
      </c>
      <c r="C2900">
        <v>0</v>
      </c>
      <c r="D2900" t="str">
        <f t="shared" si="96"/>
        <v>c</v>
      </c>
      <c r="E2900" t="str">
        <f t="shared" si="97"/>
        <v>c)No se pedirá consentimiento informado si el paciente es un débil mental y su familia no seconstituye en el lugar para el ejercicio de su patria potestad.</v>
      </c>
    </row>
    <row r="2901" spans="1:5" x14ac:dyDescent="0.25">
      <c r="A2901">
        <f t="shared" si="98"/>
        <v>2900</v>
      </c>
      <c r="B2901" t="s">
        <v>2473</v>
      </c>
      <c r="C2901">
        <v>0</v>
      </c>
      <c r="D2901" t="str">
        <f t="shared" si="96"/>
        <v>*</v>
      </c>
      <c r="E2901" t="str">
        <f t="shared" si="97"/>
        <v>d)El profesional quedará eximido de requerir el consentimiento cuando mediare unasituación de emergencia con grave peligro para la vidad del paciente y no pudiendo darlopor sí o a través de sus representantes legales.</v>
      </c>
    </row>
    <row r="2902" spans="1:5" x14ac:dyDescent="0.25">
      <c r="A2902">
        <f t="shared" si="98"/>
        <v>2901</v>
      </c>
      <c r="B2902" t="s">
        <v>2334</v>
      </c>
      <c r="C2902">
        <v>1</v>
      </c>
      <c r="D2902" t="str">
        <f t="shared" si="96"/>
        <v>U</v>
      </c>
      <c r="E2902" t="str">
        <f t="shared" si="97"/>
        <v>Usted conforma un equipo de profesionales que desarrolla actividades en un Centro de Salud de laCiudad de Buenos Aires. En el marco de las actividades atiende a una mujer que luego de variasconsultas le comenta que sufre situaciones de violencia por parte de su pareja. Habiendocomprobado esta situación, Según la Ley Nacional 26485 de "Protección Integral para prevenir yerradicar la violencia...."¿Cuál debe ser su accionar ?</v>
      </c>
    </row>
    <row r="2903" spans="1:5" x14ac:dyDescent="0.25">
      <c r="A2903">
        <f t="shared" si="98"/>
        <v>2902</v>
      </c>
      <c r="B2903" t="s">
        <v>2335</v>
      </c>
      <c r="C2903">
        <v>0</v>
      </c>
      <c r="D2903" t="str">
        <f t="shared" si="96"/>
        <v>a</v>
      </c>
      <c r="E2903" t="str">
        <f t="shared" si="97"/>
        <v>a)Debe asesorar a la víctima para que realice la denuncia, ya que sólo ella o surepresentante legal pueden hacerlo.</v>
      </c>
    </row>
    <row r="2904" spans="1:5" x14ac:dyDescent="0.25">
      <c r="A2904">
        <f t="shared" si="98"/>
        <v>2903</v>
      </c>
      <c r="B2904" t="s">
        <v>2474</v>
      </c>
      <c r="C2904">
        <v>0</v>
      </c>
      <c r="D2904" t="str">
        <f t="shared" si="96"/>
        <v>*</v>
      </c>
      <c r="E2904" t="str">
        <f t="shared" si="97"/>
        <v>b)Debe realizar la denuncia en forma obligatoria.</v>
      </c>
    </row>
    <row r="2905" spans="1:5" x14ac:dyDescent="0.25">
      <c r="A2905">
        <f t="shared" si="98"/>
        <v>2904</v>
      </c>
      <c r="B2905" t="s">
        <v>2336</v>
      </c>
      <c r="C2905">
        <v>0</v>
      </c>
      <c r="D2905" t="str">
        <f t="shared" si="96"/>
        <v>c</v>
      </c>
      <c r="E2905" t="str">
        <f t="shared" si="97"/>
        <v>c)Debe realizar la derivación a un ente autorizado para efectuar denuncia.</v>
      </c>
    </row>
    <row r="2906" spans="1:5" x14ac:dyDescent="0.25">
      <c r="A2906">
        <f t="shared" si="98"/>
        <v>2905</v>
      </c>
      <c r="B2906" t="s">
        <v>2337</v>
      </c>
      <c r="C2906">
        <v>0</v>
      </c>
      <c r="D2906" t="str">
        <f t="shared" si="96"/>
        <v>d</v>
      </c>
      <c r="E2906" t="str">
        <f t="shared" si="97"/>
        <v>d)Debe informar a la Dirección de la Institución, quien es la única que puede realizar ladenuncia.</v>
      </c>
    </row>
    <row r="2907" spans="1:5" x14ac:dyDescent="0.25">
      <c r="A2907">
        <f t="shared" si="98"/>
        <v>2906</v>
      </c>
      <c r="B2907" t="s">
        <v>2338</v>
      </c>
      <c r="C2907">
        <v>1</v>
      </c>
      <c r="D2907" t="str">
        <f t="shared" si="96"/>
        <v>T</v>
      </c>
      <c r="E2907" t="str">
        <f t="shared" si="97"/>
        <v>Teresa una mujer de 24 años, oriunda de la provincia de Jujuy, asiste a un hospital para laatención de su parto. Durante la hospitalización sufre situaciones claramente descalificantes y dehumillación por su lenguaje y su vestimenta, por parte de algunos profesionales del equipo ya que,a pesar de explicitar no entender qué le sucede, a Teresa no le informan de los procedimientos, nile hablan en un lenguaje mas claro y sencillo para que ella pueda comprender. Según el Artículo 6de la Ley 26485 sobre "Protección Integral para prevenir la violencia..." esta situación, ¿podría serdenunciada como violencia?</v>
      </c>
    </row>
    <row r="2908" spans="1:5" x14ac:dyDescent="0.25">
      <c r="A2908">
        <f t="shared" si="98"/>
        <v>2907</v>
      </c>
      <c r="B2908" t="s">
        <v>2475</v>
      </c>
      <c r="C2908">
        <v>0</v>
      </c>
      <c r="D2908" t="str">
        <f t="shared" si="96"/>
        <v>*</v>
      </c>
      <c r="E2908" t="str">
        <f t="shared" si="97"/>
        <v>a)Sí, por constituir un caso de violencia obstétrica.</v>
      </c>
    </row>
    <row r="2909" spans="1:5" x14ac:dyDescent="0.25">
      <c r="A2909">
        <f t="shared" si="98"/>
        <v>2908</v>
      </c>
      <c r="B2909" t="s">
        <v>2339</v>
      </c>
      <c r="C2909">
        <v>0</v>
      </c>
      <c r="D2909" t="str">
        <f t="shared" si="96"/>
        <v>b</v>
      </c>
      <c r="E2909" t="str">
        <f t="shared" si="97"/>
        <v>b)No, porque no media agresión física a la mujer.</v>
      </c>
    </row>
    <row r="2910" spans="1:5" x14ac:dyDescent="0.25">
      <c r="A2910">
        <f t="shared" si="98"/>
        <v>2909</v>
      </c>
      <c r="B2910" t="s">
        <v>2340</v>
      </c>
      <c r="C2910">
        <v>0</v>
      </c>
      <c r="D2910" t="str">
        <f t="shared" si="96"/>
        <v>c</v>
      </c>
      <c r="E2910" t="str">
        <f t="shared" si="97"/>
        <v>c)Sí, por constituir un caso que atenta contra la libertad reproductiva.</v>
      </c>
    </row>
    <row r="2911" spans="1:5" x14ac:dyDescent="0.25">
      <c r="A2911">
        <f t="shared" si="98"/>
        <v>2910</v>
      </c>
      <c r="B2911" t="s">
        <v>2341</v>
      </c>
      <c r="C2911">
        <v>0</v>
      </c>
      <c r="D2911" t="str">
        <f t="shared" si="96"/>
        <v>d</v>
      </c>
      <c r="E2911" t="str">
        <f t="shared" si="97"/>
        <v>d)No, por no estar contemplada esta situación como de violencia.</v>
      </c>
    </row>
    <row r="2912" spans="1:5" x14ac:dyDescent="0.25">
      <c r="A2912">
        <f t="shared" si="98"/>
        <v>2911</v>
      </c>
      <c r="B2912" t="s">
        <v>2342</v>
      </c>
      <c r="C2912">
        <v>1</v>
      </c>
      <c r="D2912" t="str">
        <f t="shared" si="96"/>
        <v>S</v>
      </c>
      <c r="E2912" t="str">
        <f t="shared" si="97"/>
        <v>Según la Ley orgánica de comunas Nº 1777 ¿Qué características tienen las competenciascomunales?</v>
      </c>
    </row>
    <row r="2913" spans="1:5" x14ac:dyDescent="0.25">
      <c r="A2913">
        <f t="shared" si="98"/>
        <v>2912</v>
      </c>
      <c r="B2913" t="s">
        <v>2343</v>
      </c>
      <c r="C2913">
        <v>0</v>
      </c>
      <c r="D2913" t="str">
        <f t="shared" si="96"/>
        <v>a</v>
      </c>
      <c r="E2913" t="str">
        <f t="shared" si="97"/>
        <v>a)Son inclusivas y concurrentes.</v>
      </c>
    </row>
    <row r="2914" spans="1:5" x14ac:dyDescent="0.25">
      <c r="A2914">
        <f t="shared" si="98"/>
        <v>2913</v>
      </c>
      <c r="B2914" t="s">
        <v>2344</v>
      </c>
      <c r="C2914">
        <v>0</v>
      </c>
      <c r="D2914" t="str">
        <f t="shared" si="96"/>
        <v>b</v>
      </c>
      <c r="E2914" t="str">
        <f t="shared" si="97"/>
        <v>b)Son discrecionales y exclusivas.</v>
      </c>
    </row>
    <row r="2915" spans="1:5" x14ac:dyDescent="0.25">
      <c r="A2915">
        <f t="shared" si="98"/>
        <v>2914</v>
      </c>
      <c r="B2915" t="s">
        <v>2476</v>
      </c>
      <c r="C2915">
        <v>0</v>
      </c>
      <c r="D2915" t="str">
        <f t="shared" si="96"/>
        <v>*</v>
      </c>
      <c r="E2915" t="str">
        <f t="shared" si="97"/>
        <v>c)Son exclusivas y concurrentes.</v>
      </c>
    </row>
    <row r="2916" spans="1:5" x14ac:dyDescent="0.25">
      <c r="A2916">
        <f t="shared" si="98"/>
        <v>2915</v>
      </c>
      <c r="B2916" t="s">
        <v>2345</v>
      </c>
      <c r="C2916">
        <v>0</v>
      </c>
      <c r="D2916" t="str">
        <f t="shared" ref="D2916:D2976" si="99">+MID(B2916,1,1)</f>
        <v>d</v>
      </c>
      <c r="E2916" t="str">
        <f t="shared" si="97"/>
        <v>d)Son inclusivas y discrecionales.</v>
      </c>
    </row>
    <row r="2917" spans="1:5" x14ac:dyDescent="0.25">
      <c r="A2917">
        <f t="shared" si="98"/>
        <v>2916</v>
      </c>
      <c r="B2917" t="s">
        <v>2346</v>
      </c>
      <c r="C2917">
        <v>1</v>
      </c>
      <c r="D2917" t="str">
        <f t="shared" si="99"/>
        <v>L</v>
      </c>
      <c r="E2917" t="str">
        <f t="shared" si="97"/>
        <v>La Ley 418 de Salud y Procreación Responsable enuncia tres objetivos generales: garantizar elacceso a varones y mujeres a la información y a las prestaciones y métodos para el ejercicioresponsable de sus derechos sexuales y reproductivos; garantizar a las mujeres la atenciónintegral durante el embarazo, parto y puerpuerio; ¿Cuál es el tercer objetivo de la Ley?</v>
      </c>
    </row>
    <row r="2918" spans="1:5" x14ac:dyDescent="0.25">
      <c r="A2918">
        <f t="shared" si="98"/>
        <v>2917</v>
      </c>
      <c r="B2918" t="s">
        <v>2347</v>
      </c>
      <c r="C2918">
        <v>0</v>
      </c>
      <c r="D2918" t="str">
        <f t="shared" si="99"/>
        <v>a</v>
      </c>
      <c r="E2918" t="str">
        <f t="shared" si="97"/>
        <v>a)Aumentar la tasa de natalidad.</v>
      </c>
    </row>
    <row r="2919" spans="1:5" x14ac:dyDescent="0.25">
      <c r="A2919">
        <f t="shared" si="98"/>
        <v>2918</v>
      </c>
      <c r="B2919" t="s">
        <v>2348</v>
      </c>
      <c r="C2919">
        <v>0</v>
      </c>
      <c r="D2919" t="str">
        <f t="shared" si="99"/>
        <v>b</v>
      </c>
      <c r="E2919" t="str">
        <f t="shared" si="97"/>
        <v>b)Desarrollar una amplia capacitación en los equipos de salud.</v>
      </c>
    </row>
    <row r="2920" spans="1:5" x14ac:dyDescent="0.25">
      <c r="A2920">
        <f t="shared" si="98"/>
        <v>2919</v>
      </c>
      <c r="B2920" t="s">
        <v>2349</v>
      </c>
      <c r="C2920">
        <v>0</v>
      </c>
      <c r="D2920" t="str">
        <f t="shared" si="99"/>
        <v>c</v>
      </c>
      <c r="E2920" t="str">
        <f t="shared" si="97"/>
        <v>c)Detener la práctica de los abortos ilegales.</v>
      </c>
    </row>
    <row r="2921" spans="1:5" x14ac:dyDescent="0.25">
      <c r="A2921">
        <f t="shared" si="98"/>
        <v>2920</v>
      </c>
      <c r="B2921" t="s">
        <v>2477</v>
      </c>
      <c r="C2921">
        <v>0</v>
      </c>
      <c r="D2921" t="str">
        <f t="shared" si="99"/>
        <v>*</v>
      </c>
      <c r="E2921" t="str">
        <f t="shared" si="97"/>
        <v>d)Disminuir la morbimortalidad materna e infantil.</v>
      </c>
    </row>
    <row r="2922" spans="1:5" x14ac:dyDescent="0.25">
      <c r="A2922">
        <f t="shared" si="98"/>
        <v>2921</v>
      </c>
      <c r="B2922" t="s">
        <v>2350</v>
      </c>
      <c r="C2922">
        <v>1</v>
      </c>
      <c r="D2922" t="str">
        <f t="shared" si="99"/>
        <v>M</v>
      </c>
      <c r="E2922" t="str">
        <f t="shared" si="97"/>
        <v>Maria Emilia está cursando su segundo mes de embarazo y ha iniciado los controles prenatales enel CESAC Nº 39. Se acerca al Servicio Social y comenta, algo angustiada, que el médico le habríaindicado que tanto ella como su pareja deben realizarse el test de HIV en forma obligatoria. En elmarco de la Ley Nacional de SIDA ¿Qué orientación le dará la trabajadora social en relación altesteo de HIV?</v>
      </c>
    </row>
    <row r="2923" spans="1:5" x14ac:dyDescent="0.25">
      <c r="A2923">
        <f t="shared" si="98"/>
        <v>2922</v>
      </c>
      <c r="B2923" t="s">
        <v>2351</v>
      </c>
      <c r="C2923">
        <v>0</v>
      </c>
      <c r="D2923" t="str">
        <f t="shared" si="99"/>
        <v>a</v>
      </c>
      <c r="E2923" t="str">
        <f t="shared" si="97"/>
        <v>a)Es voluntario para su pareja, pero de rutina para la embarazada.</v>
      </c>
    </row>
    <row r="2924" spans="1:5" x14ac:dyDescent="0.25">
      <c r="A2924">
        <f t="shared" si="98"/>
        <v>2923</v>
      </c>
      <c r="B2924" t="s">
        <v>2478</v>
      </c>
      <c r="C2924">
        <v>0</v>
      </c>
      <c r="D2924" t="str">
        <f t="shared" si="99"/>
        <v>*</v>
      </c>
      <c r="E2924" t="str">
        <f t="shared" si="97"/>
        <v>b)Es voluntario para todos.</v>
      </c>
    </row>
    <row r="2925" spans="1:5" x14ac:dyDescent="0.25">
      <c r="A2925">
        <f t="shared" si="98"/>
        <v>2924</v>
      </c>
      <c r="B2925" t="s">
        <v>2352</v>
      </c>
      <c r="C2925">
        <v>0</v>
      </c>
      <c r="D2925" t="str">
        <f t="shared" si="99"/>
        <v>c</v>
      </c>
      <c r="E2925" t="str">
        <f t="shared" si="97"/>
        <v>c)Es obligatorio por rutina a ambos progenitores.</v>
      </c>
    </row>
    <row r="2926" spans="1:5" x14ac:dyDescent="0.25">
      <c r="A2926">
        <f t="shared" si="98"/>
        <v>2925</v>
      </c>
      <c r="B2926" t="s">
        <v>2353</v>
      </c>
      <c r="C2926">
        <v>0</v>
      </c>
      <c r="D2926" t="str">
        <f t="shared" si="99"/>
        <v>d</v>
      </c>
      <c r="E2926" t="str">
        <f t="shared" si="97"/>
        <v>d)Es obligatorio para la mujer a los fines de evitar la transmisión vertical.</v>
      </c>
    </row>
    <row r="2927" spans="1:5" x14ac:dyDescent="0.25">
      <c r="A2927">
        <f t="shared" si="98"/>
        <v>2926</v>
      </c>
      <c r="B2927" t="s">
        <v>2354</v>
      </c>
      <c r="C2927">
        <v>1</v>
      </c>
      <c r="D2927" t="str">
        <f t="shared" si="99"/>
        <v>S</v>
      </c>
      <c r="E2927" t="str">
        <f t="shared" si="97"/>
        <v>Según la Ley 1777 de la Ciudad de Buenos Aires, ¿Cuál es la Naturaleza Jurídica de las Comunas?</v>
      </c>
    </row>
    <row r="2928" spans="1:5" x14ac:dyDescent="0.25">
      <c r="A2928">
        <f t="shared" si="98"/>
        <v>2927</v>
      </c>
      <c r="B2928" t="s">
        <v>2479</v>
      </c>
      <c r="C2928">
        <v>0</v>
      </c>
      <c r="D2928" t="str">
        <f t="shared" si="99"/>
        <v>*</v>
      </c>
      <c r="E2928" t="str">
        <f t="shared" si="97"/>
        <v>a)Son unidades de gestión política y administrativa descentralizada con competenciaterritorial, patrimonio y personería jurídica propia.</v>
      </c>
    </row>
    <row r="2929" spans="1:5" x14ac:dyDescent="0.25">
      <c r="A2929">
        <f t="shared" si="98"/>
        <v>2928</v>
      </c>
      <c r="B2929" t="s">
        <v>2355</v>
      </c>
      <c r="C2929">
        <v>0</v>
      </c>
      <c r="D2929" t="str">
        <f t="shared" si="99"/>
        <v>b</v>
      </c>
      <c r="E2929" t="str">
        <f t="shared" si="97"/>
        <v>b)Son unidades descentralizadas de gestión político, técnico y administrativas concompetencias propias no delegativas.</v>
      </c>
    </row>
    <row r="2930" spans="1:5" x14ac:dyDescent="0.25">
      <c r="A2930">
        <f t="shared" si="98"/>
        <v>2929</v>
      </c>
      <c r="B2930" t="s">
        <v>2356</v>
      </c>
      <c r="C2930">
        <v>0</v>
      </c>
      <c r="D2930" t="str">
        <f t="shared" si="99"/>
        <v>c</v>
      </c>
      <c r="E2930" t="str">
        <f t="shared" si="97"/>
        <v>c)Son centros de gestión administrativa delimitados territorialmente para favorecer laparticipación ciudadana en la asignación de recursos presupuestados a nivel central.</v>
      </c>
    </row>
    <row r="2931" spans="1:5" x14ac:dyDescent="0.25">
      <c r="A2931">
        <f t="shared" si="98"/>
        <v>2930</v>
      </c>
      <c r="B2931" t="s">
        <v>2357</v>
      </c>
      <c r="C2931">
        <v>0</v>
      </c>
      <c r="D2931" t="str">
        <f t="shared" si="99"/>
        <v>d</v>
      </c>
      <c r="E2931" t="str">
        <f t="shared" si="97"/>
        <v>d)Son la delimitación zonal de distintos barrios de la Ciudad con característicassociodemográficas similares, con un gobierno local.</v>
      </c>
    </row>
    <row r="2932" spans="1:5" x14ac:dyDescent="0.25">
      <c r="A2932">
        <f t="shared" si="98"/>
        <v>2931</v>
      </c>
      <c r="B2932" t="s">
        <v>2358</v>
      </c>
      <c r="C2932">
        <v>1</v>
      </c>
      <c r="D2932" t="str">
        <f t="shared" si="99"/>
        <v>M</v>
      </c>
      <c r="E2932" t="str">
        <f t="shared" si="97"/>
        <v>Mariano, un joven de 23 años, llega a la guardia de un Hospital Monovalente de Salud Mental delGobierno de la Ciudad traído por sus padres ya que no puede trasladarse por sus propios medios.Durante la entrevista refiere haber consumido alcohol junto con otras drogas y teneralucionaciones visuales. En la guardia el equipo interviniente duda sobre la internación en esainstitución. De acuerdo a la Ley 26657 de "Salud Mental" ¿Cómo debe abordarse la situación?</v>
      </c>
    </row>
    <row r="2933" spans="1:5" x14ac:dyDescent="0.25">
      <c r="A2933">
        <f t="shared" si="98"/>
        <v>2932</v>
      </c>
      <c r="B2933" t="s">
        <v>2359</v>
      </c>
      <c r="C2933">
        <v>0</v>
      </c>
      <c r="D2933" t="str">
        <f t="shared" si="99"/>
        <v>a</v>
      </c>
      <c r="E2933" t="str">
        <f t="shared" si="97"/>
        <v>a)Las adicciones requieren un tipo especial de abordaje que sólo puede ser realizado eninstituciones especializadas tanto públicas como privadas.</v>
      </c>
    </row>
    <row r="2934" spans="1:5" x14ac:dyDescent="0.25">
      <c r="A2934">
        <f t="shared" si="98"/>
        <v>2933</v>
      </c>
      <c r="B2934" t="s">
        <v>2360</v>
      </c>
      <c r="C2934">
        <v>0</v>
      </c>
      <c r="D2934" t="str">
        <f t="shared" si="99"/>
        <v>b</v>
      </c>
      <c r="E2934" t="str">
        <f t="shared" si="97"/>
        <v>b)Los hospitales monovalentes sólo atenderán adicciones cuando los pacientes tambiénpresenten una franca patología psiquiátrica.</v>
      </c>
    </row>
    <row r="2935" spans="1:5" x14ac:dyDescent="0.25">
      <c r="A2935">
        <f t="shared" si="98"/>
        <v>2934</v>
      </c>
      <c r="B2935" t="s">
        <v>2480</v>
      </c>
      <c r="C2935">
        <v>0</v>
      </c>
      <c r="D2935" t="str">
        <f t="shared" si="99"/>
        <v>*</v>
      </c>
      <c r="E2935" t="str">
        <f t="shared" si="97"/>
        <v>c)Las adicciones deben ser abordadas como parte integrante de las políticas de saludmental.</v>
      </c>
    </row>
    <row r="2936" spans="1:5" x14ac:dyDescent="0.25">
      <c r="A2936">
        <f t="shared" si="98"/>
        <v>2935</v>
      </c>
      <c r="B2936" t="s">
        <v>2361</v>
      </c>
      <c r="C2936">
        <v>0</v>
      </c>
      <c r="D2936" t="str">
        <f t="shared" si="99"/>
        <v>d</v>
      </c>
      <c r="E2936" t="str">
        <f t="shared" si="97"/>
        <v>d)Las adicciones deber ser tratadas clínicamente en hospitales generales hasta suestabilización y luego derivados a un hospital monovalente.</v>
      </c>
    </row>
    <row r="2937" spans="1:5" x14ac:dyDescent="0.25">
      <c r="A2937">
        <f t="shared" si="98"/>
        <v>2936</v>
      </c>
      <c r="B2937" t="s">
        <v>2362</v>
      </c>
      <c r="C2937">
        <v>1</v>
      </c>
      <c r="D2937" t="str">
        <f t="shared" si="99"/>
        <v>E</v>
      </c>
      <c r="E2937" t="str">
        <f t="shared" si="97"/>
        <v>Enrique Santos asumió recientemente como Secretario de Municipios Saludables del Ministerio deSalud de la Nación. Necesita incorporar empleados para ocupar un puesto de telefonista y otro desecretario bilingüe en su equipo de trabajo. Dado que en su plantel no se cumple el cupo previstopor Ley 22431 de "Protección Integral de personas discapacitadas", decide realizar unaconvocatoria dirigida a la población discapacitada para cubrir los puestos de trabajo. ¿Qué otrorequisito se establece para la efectivización de este derecho?</v>
      </c>
    </row>
    <row r="2938" spans="1:5" x14ac:dyDescent="0.25">
      <c r="A2938">
        <f t="shared" si="98"/>
        <v>2937</v>
      </c>
      <c r="B2938" t="s">
        <v>2363</v>
      </c>
      <c r="C2938">
        <v>0</v>
      </c>
      <c r="D2938" t="str">
        <f t="shared" si="99"/>
        <v>a</v>
      </c>
      <c r="E2938" t="str">
        <f t="shared" si="97"/>
        <v>a)Que el aspirante sea mayor de 21 años de edad.</v>
      </c>
    </row>
    <row r="2939" spans="1:5" x14ac:dyDescent="0.25">
      <c r="A2939">
        <f t="shared" si="98"/>
        <v>2938</v>
      </c>
      <c r="B2939" t="s">
        <v>2481</v>
      </c>
      <c r="C2939">
        <v>0</v>
      </c>
      <c r="D2939" t="str">
        <f t="shared" si="99"/>
        <v>*</v>
      </c>
      <c r="E2939" t="str">
        <f t="shared" si="97"/>
        <v>b)Que la persona demuestre idoneidad para el cargo.</v>
      </c>
    </row>
    <row r="2940" spans="1:5" x14ac:dyDescent="0.25">
      <c r="A2940">
        <f t="shared" si="98"/>
        <v>2939</v>
      </c>
      <c r="B2940" t="s">
        <v>2364</v>
      </c>
      <c r="C2940">
        <v>0</v>
      </c>
      <c r="D2940" t="str">
        <f t="shared" si="99"/>
        <v>c</v>
      </c>
      <c r="E2940" t="str">
        <f t="shared" si="97"/>
        <v>c)Que no cuente con ningún otro tipo de ingreso económico.</v>
      </c>
    </row>
    <row r="2941" spans="1:5" x14ac:dyDescent="0.25">
      <c r="A2941">
        <f t="shared" si="98"/>
        <v>2940</v>
      </c>
      <c r="B2941" t="s">
        <v>2365</v>
      </c>
      <c r="C2941">
        <v>0</v>
      </c>
      <c r="D2941" t="str">
        <f t="shared" si="99"/>
        <v>d</v>
      </c>
      <c r="E2941" t="str">
        <f t="shared" si="97"/>
        <v>d)Que se conforme un listado con los aspirantes en condiciones de ocupar el puesto y serealice un sorteo público.</v>
      </c>
    </row>
    <row r="2942" spans="1:5" x14ac:dyDescent="0.25">
      <c r="A2942">
        <f t="shared" si="98"/>
        <v>2941</v>
      </c>
      <c r="B2942" t="s">
        <v>2366</v>
      </c>
      <c r="C2942">
        <v>1</v>
      </c>
      <c r="D2942" t="str">
        <f t="shared" si="99"/>
        <v>C</v>
      </c>
      <c r="E2942" t="str">
        <f t="shared" si="97"/>
        <v>Carlos y Lucía de 28 y 27 años respectivamente, y llevan cuatro años de casados. Hace dos añostuvieron a su primer hijo Joaquín. Durante el último tiempo la pareja viene pensando en laposibilidad de adoptar a pesar que nada les impide tener otro hijo. Lucía se acerca al ServicioSocial del Hospital y comenta sus intenciones con el fin de ser orientada. De acuerdo a la Ley Nº24479 "Régimen de Adopción" ¿Cuál será la orientación del Trabajador Social?</v>
      </c>
    </row>
    <row r="2943" spans="1:5" x14ac:dyDescent="0.25">
      <c r="A2943">
        <f t="shared" si="98"/>
        <v>2942</v>
      </c>
      <c r="B2943" t="s">
        <v>2482</v>
      </c>
      <c r="C2943">
        <v>0</v>
      </c>
      <c r="D2943" t="str">
        <f t="shared" si="99"/>
        <v>*</v>
      </c>
      <c r="E2943" t="str">
        <f t="shared" si="97"/>
        <v>a)Dado que no están imposibilitados de tener hijos, no podrán iniciar los trámites deadopción.</v>
      </c>
    </row>
    <row r="2944" spans="1:5" x14ac:dyDescent="0.25">
      <c r="A2944">
        <f t="shared" si="98"/>
        <v>2943</v>
      </c>
      <c r="B2944" t="s">
        <v>2367</v>
      </c>
      <c r="C2944">
        <v>0</v>
      </c>
      <c r="D2944" t="str">
        <f t="shared" si="99"/>
        <v>b</v>
      </c>
      <c r="E2944" t="str">
        <f t="shared" si="97"/>
        <v>b)Dado que tienen más de tres años de casados, los orienta a realizar los trámites a unJuzgado de Familia.</v>
      </c>
    </row>
    <row r="2945" spans="1:5" x14ac:dyDescent="0.25">
      <c r="A2945">
        <f t="shared" si="98"/>
        <v>2944</v>
      </c>
      <c r="B2945" t="s">
        <v>2368</v>
      </c>
      <c r="C2945">
        <v>0</v>
      </c>
      <c r="D2945" t="str">
        <f t="shared" si="99"/>
        <v>c</v>
      </c>
      <c r="E2945" t="str">
        <f t="shared" si="97"/>
        <v>c)Deberán esperar a cumplir más de treinta años de edad para comenzar los trámites deadopción.</v>
      </c>
    </row>
    <row r="2946" spans="1:5" x14ac:dyDescent="0.25">
      <c r="A2946">
        <f t="shared" si="98"/>
        <v>2945</v>
      </c>
      <c r="B2946" t="s">
        <v>2369</v>
      </c>
      <c r="C2946">
        <v>0</v>
      </c>
      <c r="D2946" t="str">
        <f t="shared" si="99"/>
        <v>d</v>
      </c>
      <c r="E2946" t="str">
        <f t="shared" si="97"/>
        <v>d)Dado que ya tienen un hijo biológico deberán solicitar un permiso especial al Juez deFamilia de su jurisdicción.</v>
      </c>
    </row>
    <row r="2947" spans="1:5" x14ac:dyDescent="0.25">
      <c r="A2947">
        <f t="shared" si="98"/>
        <v>2946</v>
      </c>
      <c r="B2947" t="s">
        <v>2370</v>
      </c>
      <c r="C2947">
        <v>1</v>
      </c>
      <c r="D2947" t="str">
        <f t="shared" si="99"/>
        <v>L</v>
      </c>
      <c r="E2947" t="str">
        <f t="shared" ref="E2947:E2976" si="100">+IF(D2947="*",MID(B2947,3,500),B2947)</f>
        <v>La Ley 114 de "Protección Integral de los Derechos de Niños, Niñas y Adolescentes" crea a lasDefensorías Zonales con el objeto de diseñar y desarrollar un sistema articulado de efectivización,defensa y resguardo de los derechos de los niños/as y adolescentes, debiendo ejecutar acciones ypolíticas públicas específicas. ¿De acuerdo con qué criterios deberán implementarse talesacciones?</v>
      </c>
    </row>
    <row r="2948" spans="1:5" x14ac:dyDescent="0.25">
      <c r="A2948">
        <f t="shared" si="98"/>
        <v>2947</v>
      </c>
      <c r="B2948" t="s">
        <v>2371</v>
      </c>
      <c r="C2948">
        <v>0</v>
      </c>
      <c r="D2948" t="str">
        <f t="shared" si="99"/>
        <v>a</v>
      </c>
      <c r="E2948" t="str">
        <f t="shared" si="100"/>
        <v>a)Integrales y progresivos.</v>
      </c>
    </row>
    <row r="2949" spans="1:5" x14ac:dyDescent="0.25">
      <c r="A2949">
        <f t="shared" si="98"/>
        <v>2948</v>
      </c>
      <c r="B2949" t="s">
        <v>2372</v>
      </c>
      <c r="C2949">
        <v>0</v>
      </c>
      <c r="D2949" t="str">
        <f t="shared" si="99"/>
        <v>b</v>
      </c>
      <c r="E2949" t="str">
        <f t="shared" si="100"/>
        <v>b)Estratégicos y plurales.</v>
      </c>
    </row>
    <row r="2950" spans="1:5" x14ac:dyDescent="0.25">
      <c r="A2950">
        <f t="shared" si="98"/>
        <v>2949</v>
      </c>
      <c r="B2950" t="s">
        <v>2483</v>
      </c>
      <c r="C2950">
        <v>0</v>
      </c>
      <c r="D2950" t="str">
        <f t="shared" si="99"/>
        <v>*</v>
      </c>
      <c r="E2950" t="str">
        <f t="shared" si="100"/>
        <v>c)Interdisciplinarios y participativos.</v>
      </c>
    </row>
    <row r="2951" spans="1:5" x14ac:dyDescent="0.25">
      <c r="A2951">
        <f t="shared" ref="A2951:A2976" si="101">+A2950+1</f>
        <v>2950</v>
      </c>
      <c r="B2951" t="s">
        <v>2373</v>
      </c>
      <c r="C2951">
        <v>0</v>
      </c>
      <c r="D2951" t="str">
        <f t="shared" si="99"/>
        <v>d</v>
      </c>
      <c r="E2951" t="str">
        <f t="shared" si="100"/>
        <v>d)Jurídicos y preventivos.</v>
      </c>
    </row>
    <row r="2952" spans="1:5" x14ac:dyDescent="0.25">
      <c r="A2952">
        <f t="shared" si="101"/>
        <v>2951</v>
      </c>
      <c r="B2952" t="s">
        <v>2374</v>
      </c>
      <c r="C2952">
        <v>1</v>
      </c>
      <c r="D2952" t="str">
        <f t="shared" si="99"/>
        <v>S</v>
      </c>
      <c r="E2952" t="str">
        <f t="shared" si="100"/>
        <v>Según la Ley 153 "Básica de Salud", el subsector estatal se organiza y desarrolla de acuerdo a laestrategia de APS con la constitucion de redes y tres niveles de atención. Las prestaciones y losservicios se articulan de acuerdo a la Ley 153, ¿Cúal es la característica esencial para categorizar aestos tres niveles?</v>
      </c>
    </row>
    <row r="2953" spans="1:5" x14ac:dyDescent="0.25">
      <c r="A2953">
        <f t="shared" si="101"/>
        <v>2952</v>
      </c>
      <c r="B2953" t="s">
        <v>2375</v>
      </c>
      <c r="C2953">
        <v>0</v>
      </c>
      <c r="D2953" t="str">
        <f t="shared" si="99"/>
        <v>a</v>
      </c>
      <c r="E2953" t="str">
        <f t="shared" si="100"/>
        <v>a)La atención integrada de todas las personas.</v>
      </c>
    </row>
    <row r="2954" spans="1:5" x14ac:dyDescent="0.25">
      <c r="A2954">
        <f t="shared" si="101"/>
        <v>2953</v>
      </c>
      <c r="B2954" t="s">
        <v>2484</v>
      </c>
      <c r="C2954">
        <v>0</v>
      </c>
      <c r="D2954" t="str">
        <f t="shared" si="99"/>
        <v>*</v>
      </c>
      <c r="E2954" t="str">
        <f t="shared" si="100"/>
        <v>b)Las capacidades de resolución.</v>
      </c>
    </row>
    <row r="2955" spans="1:5" x14ac:dyDescent="0.25">
      <c r="A2955">
        <f t="shared" si="101"/>
        <v>2954</v>
      </c>
      <c r="B2955" t="s">
        <v>2376</v>
      </c>
      <c r="C2955">
        <v>0</v>
      </c>
      <c r="D2955" t="str">
        <f t="shared" si="99"/>
        <v>c</v>
      </c>
      <c r="E2955" t="str">
        <f t="shared" si="100"/>
        <v>c)La capacitación del recurso humano.</v>
      </c>
    </row>
    <row r="2956" spans="1:5" x14ac:dyDescent="0.25">
      <c r="A2956">
        <f t="shared" si="101"/>
        <v>2955</v>
      </c>
      <c r="B2956" t="s">
        <v>2377</v>
      </c>
      <c r="C2956">
        <v>0</v>
      </c>
      <c r="D2956" t="str">
        <f t="shared" si="99"/>
        <v>d</v>
      </c>
      <c r="E2956" t="str">
        <f t="shared" si="100"/>
        <v>d)La asignación del médico de cabecera correspondiente al barrio.</v>
      </c>
    </row>
    <row r="2957" spans="1:5" x14ac:dyDescent="0.25">
      <c r="A2957">
        <f t="shared" si="101"/>
        <v>2956</v>
      </c>
      <c r="B2957" t="s">
        <v>2378</v>
      </c>
      <c r="C2957">
        <v>1</v>
      </c>
      <c r="D2957" t="str">
        <f t="shared" si="99"/>
        <v>¿</v>
      </c>
      <c r="E2957" t="str">
        <f t="shared" si="100"/>
        <v>¿Cómo define la Ley Nº 23377 de "Ejercicio de la profesión de Servicio Social o Trabajo Social" ensu Artículo 2 el ejercicio profesional?</v>
      </c>
    </row>
    <row r="2958" spans="1:5" x14ac:dyDescent="0.25">
      <c r="A2958">
        <f t="shared" si="101"/>
        <v>2957</v>
      </c>
      <c r="B2958" t="s">
        <v>2379</v>
      </c>
      <c r="C2958">
        <v>0</v>
      </c>
      <c r="D2958" t="str">
        <f t="shared" si="99"/>
        <v>a</v>
      </c>
      <c r="E2958" t="str">
        <f t="shared" si="100"/>
        <v>a)Toda acción desarrollada desde las Ciencias Sociales tendiente a alcanzar una mejorcalidad de vida para todos los habitantes del territorio argentino.</v>
      </c>
    </row>
    <row r="2959" spans="1:5" x14ac:dyDescent="0.25">
      <c r="A2959">
        <f t="shared" si="101"/>
        <v>2958</v>
      </c>
      <c r="B2959" t="s">
        <v>2380</v>
      </c>
      <c r="C2959">
        <v>0</v>
      </c>
      <c r="D2959" t="str">
        <f t="shared" si="99"/>
        <v>b</v>
      </c>
      <c r="E2959" t="str">
        <f t="shared" si="100"/>
        <v>b)La tarea socioeducativa destinada a todos los individuos, grupos y comunidades pobres,tendientes al logro de la integración social.</v>
      </c>
    </row>
    <row r="2960" spans="1:5" x14ac:dyDescent="0.25">
      <c r="A2960">
        <f t="shared" si="101"/>
        <v>2959</v>
      </c>
      <c r="B2960" t="s">
        <v>2485</v>
      </c>
      <c r="C2960">
        <v>0</v>
      </c>
      <c r="D2960" t="str">
        <f t="shared" si="99"/>
        <v>*</v>
      </c>
      <c r="E2960" t="str">
        <f t="shared" si="100"/>
        <v>c)La acción esencialmente educativa, de carácter promocional, preventivo y asistencialdestinada a situaciones de carencia, desorganización o desintegración social.</v>
      </c>
    </row>
    <row r="2961" spans="1:5" x14ac:dyDescent="0.25">
      <c r="A2961">
        <f t="shared" si="101"/>
        <v>2960</v>
      </c>
      <c r="B2961" t="s">
        <v>2381</v>
      </c>
      <c r="C2961">
        <v>0</v>
      </c>
      <c r="D2961" t="str">
        <f t="shared" si="99"/>
        <v>d</v>
      </c>
      <c r="E2961" t="str">
        <f t="shared" si="100"/>
        <v>d)La intervención profesional orientada a la estimulación de individuos, grupos ycomunidades tendiente a la adaptación de las normas institucionales y legales vigentes.</v>
      </c>
    </row>
    <row r="2962" spans="1:5" x14ac:dyDescent="0.25">
      <c r="A2962">
        <f t="shared" si="101"/>
        <v>2961</v>
      </c>
      <c r="B2962" t="s">
        <v>2382</v>
      </c>
      <c r="C2962">
        <v>1</v>
      </c>
      <c r="D2962" t="str">
        <f t="shared" si="99"/>
        <v>M</v>
      </c>
      <c r="E2962" t="str">
        <f t="shared" si="100"/>
        <v>Marita Rodríguez trabajadora social, matriculada en el Consejo Profesional de Graduados enServicio Social o Trabajo Social hace tres años, ha ganado un concurso para desarrollar unproyecto internacional en otro país. Dado que estará ausente por un año y medio, se acerca alConsejo Profesional a fin de asesorarse sobre la posibilidad de suspender el pago de la cuota anualde la matrícula profesional. Según la Ley 23377 artículo 43 ¿Cómo será orientada en lainstitución?</v>
      </c>
    </row>
    <row r="2963" spans="1:5" x14ac:dyDescent="0.25">
      <c r="A2963">
        <f t="shared" si="101"/>
        <v>2962</v>
      </c>
      <c r="B2963" t="s">
        <v>2383</v>
      </c>
      <c r="C2963">
        <v>0</v>
      </c>
      <c r="D2963" t="str">
        <f t="shared" si="99"/>
        <v>a</v>
      </c>
      <c r="E2963" t="str">
        <f t="shared" si="100"/>
        <v>a)Deberá solicitar la suspensión a través de una carta y quedará sujeto a la decisión de laComisión Directiva.</v>
      </c>
    </row>
    <row r="2964" spans="1:5" x14ac:dyDescent="0.25">
      <c r="A2964">
        <f t="shared" si="101"/>
        <v>2963</v>
      </c>
      <c r="B2964" t="s">
        <v>2384</v>
      </c>
      <c r="C2964">
        <v>0</v>
      </c>
      <c r="D2964" t="str">
        <f t="shared" si="99"/>
        <v>b</v>
      </c>
      <c r="E2964" t="str">
        <f t="shared" si="100"/>
        <v>b)Podrá suspender el pago de la matrícula por seis meses, luego deberá reiterar la solicitudpor el periódo que esté desarrollando la actividad en otra jurisdicción.</v>
      </c>
    </row>
    <row r="2965" spans="1:5" x14ac:dyDescent="0.25">
      <c r="A2965">
        <f t="shared" si="101"/>
        <v>2964</v>
      </c>
      <c r="B2965" t="s">
        <v>2385</v>
      </c>
      <c r="C2965">
        <v>0</v>
      </c>
      <c r="D2965" t="str">
        <f t="shared" si="99"/>
        <v>c</v>
      </c>
      <c r="E2965" t="str">
        <f t="shared" si="100"/>
        <v>c)No podrá suspender la matrícula ya que no han transcurrido cinco años de sumatriculación en la institución.</v>
      </c>
    </row>
    <row r="2966" spans="1:5" x14ac:dyDescent="0.25">
      <c r="A2966">
        <f t="shared" si="101"/>
        <v>2965</v>
      </c>
      <c r="B2966" t="s">
        <v>2486</v>
      </c>
      <c r="C2966">
        <v>0</v>
      </c>
      <c r="D2966" t="str">
        <f t="shared" si="99"/>
        <v>*</v>
      </c>
      <c r="E2966" t="str">
        <f t="shared" si="100"/>
        <v>d)Podrá suspender la matrícula ya que desarrollará actividad laboral en otra jurisdicción pormas de un año.</v>
      </c>
    </row>
    <row r="2967" spans="1:5" x14ac:dyDescent="0.25">
      <c r="A2967">
        <f t="shared" si="101"/>
        <v>2966</v>
      </c>
      <c r="B2967" t="s">
        <v>2386</v>
      </c>
      <c r="C2967">
        <v>1</v>
      </c>
      <c r="D2967" t="str">
        <f t="shared" si="99"/>
        <v>S</v>
      </c>
      <c r="E2967" t="str">
        <f t="shared" si="100"/>
        <v>Según la Ley 448 de la Ciudad de Buenos Aires, en su artículo 10, ¿Qué acciones se debendesarrollar para la promoción de la salud mental de la población?</v>
      </c>
    </row>
    <row r="2968" spans="1:5" x14ac:dyDescent="0.25">
      <c r="A2968">
        <f t="shared" si="101"/>
        <v>2967</v>
      </c>
      <c r="B2968" t="s">
        <v>2387</v>
      </c>
      <c r="C2968">
        <v>0</v>
      </c>
      <c r="D2968" t="str">
        <f t="shared" si="99"/>
        <v>a</v>
      </c>
      <c r="E2968" t="str">
        <f t="shared" si="100"/>
        <v>a)La articulación de un sistema de redes que garantice calidad y efectividad en el abordajede las problemáticas del área.</v>
      </c>
    </row>
    <row r="2969" spans="1:5" x14ac:dyDescent="0.25">
      <c r="A2969">
        <f t="shared" si="101"/>
        <v>2968</v>
      </c>
      <c r="B2969" t="s">
        <v>2388</v>
      </c>
      <c r="C2969">
        <v>0</v>
      </c>
      <c r="D2969" t="str">
        <f t="shared" si="99"/>
        <v>b</v>
      </c>
      <c r="E2969" t="str">
        <f t="shared" si="100"/>
        <v>b)La implementación de acciones sobre problemas específicos de la salud y los síntomassociales que emergen de la comunidad.</v>
      </c>
    </row>
    <row r="2970" spans="1:5" x14ac:dyDescent="0.25">
      <c r="A2970">
        <f t="shared" si="101"/>
        <v>2969</v>
      </c>
      <c r="B2970" t="s">
        <v>2487</v>
      </c>
      <c r="C2970">
        <v>0</v>
      </c>
      <c r="D2970" t="str">
        <f t="shared" si="99"/>
        <v>*</v>
      </c>
      <c r="E2970" t="str">
        <f t="shared" si="100"/>
        <v>c)La ejecución de políticas orientadas al reforzamiento y restitución de lazos solidarios.</v>
      </c>
    </row>
    <row r="2971" spans="1:5" x14ac:dyDescent="0.25">
      <c r="A2971">
        <f t="shared" si="101"/>
        <v>2970</v>
      </c>
      <c r="B2971" t="s">
        <v>2389</v>
      </c>
      <c r="C2971">
        <v>0</v>
      </c>
      <c r="D2971" t="str">
        <f t="shared" si="99"/>
        <v>d</v>
      </c>
      <c r="E2971" t="str">
        <f t="shared" si="100"/>
        <v>d)La organización de un plan de atención que incluya distintas corrientes teóricas de lasalud mental y a efectores de salud general.</v>
      </c>
    </row>
    <row r="2972" spans="1:5" x14ac:dyDescent="0.25">
      <c r="A2972">
        <f t="shared" si="101"/>
        <v>2971</v>
      </c>
      <c r="B2972" t="s">
        <v>2390</v>
      </c>
      <c r="C2972">
        <v>1</v>
      </c>
      <c r="D2972" t="str">
        <f t="shared" si="99"/>
        <v>U</v>
      </c>
      <c r="E2972" t="str">
        <f t="shared" si="100"/>
        <v>Un hombre de 45 años de nacionalidad argelino que aún no ha iniciado su trámite migratorio, esinternado en un Hospital General de la Ciudad de Buenos Aires a causa de un cuadro agudo dediabetes. A partir de esta internación se indica la continuidad de su tratamiento con insulina NPHsuministrada en dosis diarias. Dado que el hombre migrante no tiene obra social ni prepaga, desdela Dirección del Hospital se niega la provisión de esta medicación por su alto costo y laimposibilidad de reintegro. Teniendo en cuenta la Ley de Migraciones 25871 ¿Qué orientación se lebrindará desde el Servicio Social del hospital?</v>
      </c>
    </row>
    <row r="2973" spans="1:5" x14ac:dyDescent="0.25">
      <c r="A2973">
        <f t="shared" si="101"/>
        <v>2972</v>
      </c>
      <c r="B2973" t="s">
        <v>2391</v>
      </c>
      <c r="C2973">
        <v>0</v>
      </c>
      <c r="D2973" t="str">
        <f t="shared" si="99"/>
        <v>a</v>
      </c>
      <c r="E2973" t="str">
        <f t="shared" si="100"/>
        <v>a)Que siendo el Consulado de Argelia la representación institucional de su país, y dada lairregularidad migratoria, es la institución responsable de garantizarle el acceso a lamedicación.</v>
      </c>
    </row>
    <row r="2974" spans="1:5" x14ac:dyDescent="0.25">
      <c r="A2974">
        <f t="shared" si="101"/>
        <v>2973</v>
      </c>
      <c r="B2974" t="s">
        <v>2488</v>
      </c>
      <c r="C2974">
        <v>0</v>
      </c>
      <c r="D2974" t="str">
        <f t="shared" si="99"/>
        <v>*</v>
      </c>
      <c r="E2974" t="str">
        <f t="shared" si="100"/>
        <v>b)Que siendo el Estado a través de sus instituciones quien debe garantizarle el acceso a lamedicación, desde el Servicio Social se iniciarán las acciones pertinentes para obtener lamedicación.</v>
      </c>
    </row>
    <row r="2975" spans="1:5" x14ac:dyDescent="0.25">
      <c r="A2975">
        <f t="shared" si="101"/>
        <v>2974</v>
      </c>
      <c r="B2975" t="s">
        <v>2392</v>
      </c>
      <c r="C2975">
        <v>0</v>
      </c>
      <c r="D2975" t="str">
        <f t="shared" si="99"/>
        <v>c</v>
      </c>
      <c r="E2975" t="str">
        <f t="shared" si="100"/>
        <v>c)Que comience el trámite de regularización migratoria en la Dirección Nacional deMigraciones y con la constancia inicie una Pensión No Contributiva para cubrir los gastosde la medicación.</v>
      </c>
    </row>
    <row r="2976" spans="1:5" x14ac:dyDescent="0.25">
      <c r="A2976">
        <f t="shared" si="101"/>
        <v>2975</v>
      </c>
      <c r="B2976" t="s">
        <v>2393</v>
      </c>
      <c r="C2976">
        <v>0</v>
      </c>
      <c r="D2976" t="str">
        <f t="shared" si="99"/>
        <v>d</v>
      </c>
      <c r="E2976" t="str">
        <f t="shared" si="100"/>
        <v>d)Desde el Servicio Social se lo orientará hacia una ONG y/o Fundación que brindeasesoramiento y recursos a la población migrante a fin de facilitar el acceso almedicamento.</v>
      </c>
    </row>
  </sheetData>
  <sheetProtection password="A988" sheet="1" objects="1" scenarios="1"/>
  <autoFilter ref="A1:C2976"/>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G21"/>
  <sheetViews>
    <sheetView showGridLines="0" showRowColHeaders="0" tabSelected="1" zoomScaleNormal="100" workbookViewId="0">
      <selection sqref="A1:D1"/>
    </sheetView>
  </sheetViews>
  <sheetFormatPr baseColWidth="10" defaultRowHeight="15" x14ac:dyDescent="0.25"/>
  <cols>
    <col min="1" max="4" width="46.140625" style="3" customWidth="1"/>
    <col min="5" max="16384" width="11.42578125" style="3"/>
  </cols>
  <sheetData>
    <row r="1" spans="1:7" ht="29.25" customHeight="1" x14ac:dyDescent="0.65">
      <c r="A1" s="20" t="s">
        <v>2490</v>
      </c>
      <c r="B1" s="20"/>
      <c r="C1" s="20"/>
      <c r="D1" s="20"/>
      <c r="G1" s="4" t="s">
        <v>1592</v>
      </c>
    </row>
    <row r="2" spans="1:7" x14ac:dyDescent="0.25">
      <c r="A2" s="21" t="s">
        <v>2489</v>
      </c>
      <c r="B2" s="21"/>
      <c r="C2" s="21"/>
      <c r="D2" s="21"/>
      <c r="G2" s="4" t="s">
        <v>1593</v>
      </c>
    </row>
    <row r="3" spans="1:7" x14ac:dyDescent="0.25">
      <c r="B3" s="22" t="s">
        <v>1595</v>
      </c>
      <c r="C3" s="22"/>
    </row>
    <row r="4" spans="1:7" ht="18.75" customHeight="1" x14ac:dyDescent="0.25"/>
    <row r="5" spans="1:7" ht="18.75" customHeight="1" x14ac:dyDescent="0.25"/>
    <row r="6" spans="1:7" ht="18.75" customHeight="1" x14ac:dyDescent="0.25"/>
    <row r="7" spans="1:7" ht="18.75" customHeight="1" x14ac:dyDescent="0.25">
      <c r="B7" s="5" t="s">
        <v>1591</v>
      </c>
      <c r="C7" s="18" t="s">
        <v>1593</v>
      </c>
    </row>
    <row r="8" spans="1:7" ht="18.75" customHeight="1" x14ac:dyDescent="0.25"/>
    <row r="9" spans="1:7" ht="18.75" customHeight="1" x14ac:dyDescent="0.25">
      <c r="B9" s="5" t="s">
        <v>1596</v>
      </c>
      <c r="C9" s="17">
        <v>10</v>
      </c>
    </row>
    <row r="10" spans="1:7" ht="18.75" customHeight="1" x14ac:dyDescent="0.25"/>
    <row r="11" spans="1:7" ht="18.75" customHeight="1" x14ac:dyDescent="0.25"/>
    <row r="12" spans="1:7" ht="18.75" customHeight="1" x14ac:dyDescent="0.25"/>
    <row r="20" spans="4:4" ht="32.25" customHeight="1" x14ac:dyDescent="0.5">
      <c r="D20" s="6" t="s">
        <v>1594</v>
      </c>
    </row>
    <row r="21" spans="4:4" ht="12" customHeight="1" x14ac:dyDescent="0.25">
      <c r="D21" s="3" t="s">
        <v>2014</v>
      </c>
    </row>
  </sheetData>
  <sheetProtection password="A988" sheet="1" objects="1" scenarios="1"/>
  <mergeCells count="3">
    <mergeCell ref="A1:D1"/>
    <mergeCell ref="A2:D2"/>
    <mergeCell ref="B3:C3"/>
  </mergeCells>
  <dataValidations count="2">
    <dataValidation type="list" allowBlank="1" showInputMessage="1" showErrorMessage="1" sqref="C7">
      <formula1>$G$1:$G$2</formula1>
    </dataValidation>
    <dataValidation type="list" allowBlank="1" showInputMessage="1" showErrorMessage="1" sqref="C9">
      <formula1>"10,20,50,100"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49" r:id="rId4" name="CommandButton1">
          <controlPr defaultSize="0" autoLine="0" r:id="rId5">
            <anchor moveWithCells="1">
              <from>
                <xdr:col>1</xdr:col>
                <xdr:colOff>1885950</xdr:colOff>
                <xdr:row>11</xdr:row>
                <xdr:rowOff>66675</xdr:rowOff>
              </from>
              <to>
                <xdr:col>2</xdr:col>
                <xdr:colOff>1409700</xdr:colOff>
                <xdr:row>14</xdr:row>
                <xdr:rowOff>95250</xdr:rowOff>
              </to>
            </anchor>
          </controlPr>
        </control>
      </mc:Choice>
      <mc:Fallback>
        <control shapeId="2049"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B1:F19"/>
  <sheetViews>
    <sheetView showGridLines="0" workbookViewId="0">
      <selection activeCell="B3" sqref="B3:C5"/>
    </sheetView>
  </sheetViews>
  <sheetFormatPr baseColWidth="10" defaultRowHeight="15" x14ac:dyDescent="0.25"/>
  <cols>
    <col min="1" max="1" width="6.28515625" style="11" customWidth="1"/>
    <col min="2" max="2" width="169.140625" style="11" customWidth="1"/>
    <col min="3" max="3" width="3.5703125" style="11" customWidth="1"/>
    <col min="4" max="16384" width="11.42578125" style="11"/>
  </cols>
  <sheetData>
    <row r="1" spans="2:3" ht="21" customHeight="1" thickBot="1" x14ac:dyDescent="0.3">
      <c r="B1" s="24" t="str">
        <f>+"Pregunta Número: "&amp;control!C2</f>
        <v>Pregunta Número: 1</v>
      </c>
      <c r="C1" s="25"/>
    </row>
    <row r="2" spans="2:3" ht="6.75" customHeight="1" x14ac:dyDescent="0.25"/>
    <row r="3" spans="2:3" ht="34.5" customHeight="1" x14ac:dyDescent="0.25">
      <c r="B3" s="23" t="str">
        <f>+LOOKUP(control!B1,Preguntas!A2:A2976,Preguntas!B2:B2976)</f>
        <v>¿A qué nivel en la construcción de redes se refiere Mario Róvere, cuando lo describe como "una ayuda no sistemática, ni organizada sino espontánea que empiezan a estructurar una serie de mecanismos de reciprocidad?</v>
      </c>
      <c r="C3" s="23"/>
    </row>
    <row r="4" spans="2:3" ht="34.5" customHeight="1" x14ac:dyDescent="0.25">
      <c r="B4" s="23"/>
      <c r="C4" s="23"/>
    </row>
    <row r="5" spans="2:3" ht="34.5" customHeight="1" x14ac:dyDescent="0.25">
      <c r="B5" s="23"/>
      <c r="C5" s="23"/>
    </row>
    <row r="6" spans="2:3" ht="7.5" customHeight="1" x14ac:dyDescent="0.25"/>
    <row r="7" spans="2:3" ht="39" customHeight="1" x14ac:dyDescent="0.25">
      <c r="B7" s="14" t="str">
        <f>IF(Configuración!$C$7="Fácil",LOOKUP(control!$B$1+1,Preguntas!$A$2:$A$2976,Preguntas!$B$2:$B$2976),LOOKUP(control!$B$1+1,Preguntas!$A$2:$A$2976,Preguntas!$E$2:$E$2976))</f>
        <v>a) Acercamiento.</v>
      </c>
      <c r="C7" s="12"/>
    </row>
    <row r="8" spans="2:3" ht="39" customHeight="1" x14ac:dyDescent="0.25">
      <c r="B8" s="14" t="str">
        <f>IF(Configuración!$C$7="Fácil",LOOKUP(control!$B$1+2,Preguntas!$A$2:$A$2976,Preguntas!$B$2:$B$2976),LOOKUP(control!$B$1+2,Preguntas!$A$2:$A$2976,Preguntas!$E$2:$E$2976))</f>
        <v>b) Asociación.</v>
      </c>
      <c r="C8" s="12"/>
    </row>
    <row r="9" spans="2:3" ht="39" customHeight="1" x14ac:dyDescent="0.25">
      <c r="B9" s="14" t="str">
        <f>IF(Configuración!$C$7="Fácil",LOOKUP(control!$B$1+3,Preguntas!$A$2:$A$2976,Preguntas!$B$2:$B$2501),LOOKUP(control!$B$1+3,Preguntas!$A$2:$A$2976,Preguntas!$E$2:$E$2976))</f>
        <v>c) Colaboración.</v>
      </c>
      <c r="C9" s="12"/>
    </row>
    <row r="10" spans="2:3" ht="39" customHeight="1" x14ac:dyDescent="0.25">
      <c r="B10" s="14" t="str">
        <f>IF(Configuración!$C$7="Fácil",LOOKUP(control!$B$1+4,Preguntas!$A$2:$A$2976,Preguntas!$B$2:$B$2976),LOOKUP(control!$B$1+4,Preguntas!$A$2:$A$2976,Preguntas!$E$2:$E$2976))</f>
        <v>d) Reconocimiento.</v>
      </c>
      <c r="C10" s="12"/>
    </row>
    <row r="11" spans="2:3" ht="12" customHeight="1" x14ac:dyDescent="0.25"/>
    <row r="14" spans="2:3" ht="12" customHeight="1" x14ac:dyDescent="0.25"/>
    <row r="15" spans="2:3" ht="11.25" customHeight="1" thickBot="1" x14ac:dyDescent="0.3"/>
    <row r="16" spans="2:3" ht="15.75" thickBot="1" x14ac:dyDescent="0.3">
      <c r="B16" s="15">
        <f ca="1">+control!F16</f>
        <v>1107.1530208333352</v>
      </c>
    </row>
    <row r="17" spans="2:6" x14ac:dyDescent="0.25">
      <c r="F17" s="13"/>
    </row>
    <row r="18" spans="2:6" x14ac:dyDescent="0.25">
      <c r="B18" s="13"/>
      <c r="C18" s="19">
        <v>41235.510057870371</v>
      </c>
    </row>
    <row r="19" spans="2:6" x14ac:dyDescent="0.25">
      <c r="B19" s="13"/>
      <c r="C19" s="19">
        <f ca="1">NOW()</f>
        <v>42650.715787037036</v>
      </c>
    </row>
  </sheetData>
  <sheetProtection password="A988" sheet="1" objects="1" scenarios="1"/>
  <mergeCells count="2">
    <mergeCell ref="B3:C5"/>
    <mergeCell ref="B1:C1"/>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45" r:id="rId4" name="CommandButton2">
          <controlPr defaultSize="0" autoLine="0" r:id="rId5">
            <anchor moveWithCells="1">
              <from>
                <xdr:col>1</xdr:col>
                <xdr:colOff>1476375</xdr:colOff>
                <xdr:row>10</xdr:row>
                <xdr:rowOff>114300</xdr:rowOff>
              </from>
              <to>
                <xdr:col>1</xdr:col>
                <xdr:colOff>3381375</xdr:colOff>
                <xdr:row>14</xdr:row>
                <xdr:rowOff>57150</xdr:rowOff>
              </to>
            </anchor>
          </controlPr>
        </control>
      </mc:Choice>
      <mc:Fallback>
        <control shapeId="1045" r:id="rId4" name="CommandButton2"/>
      </mc:Fallback>
    </mc:AlternateContent>
    <mc:AlternateContent xmlns:mc="http://schemas.openxmlformats.org/markup-compatibility/2006">
      <mc:Choice Requires="x14">
        <control shapeId="1043" r:id="rId6" name="CommandButton1">
          <controlPr defaultSize="0" autoLine="0" r:id="rId7">
            <anchor moveWithCells="1">
              <from>
                <xdr:col>1</xdr:col>
                <xdr:colOff>7829550</xdr:colOff>
                <xdr:row>10</xdr:row>
                <xdr:rowOff>133350</xdr:rowOff>
              </from>
              <to>
                <xdr:col>1</xdr:col>
                <xdr:colOff>9734550</xdr:colOff>
                <xdr:row>14</xdr:row>
                <xdr:rowOff>76200</xdr:rowOff>
              </to>
            </anchor>
          </controlPr>
        </control>
      </mc:Choice>
      <mc:Fallback>
        <control shapeId="1043" r:id="rId6" name="CommandButton1"/>
      </mc:Fallback>
    </mc:AlternateContent>
    <mc:AlternateContent xmlns:mc="http://schemas.openxmlformats.org/markup-compatibility/2006">
      <mc:Choice Requires="x14">
        <control shapeId="1039" r:id="rId8" name="OptionButton4">
          <controlPr defaultSize="0" autoLine="0" autoPict="0" linkedCell="control!G4" r:id="rId9">
            <anchor moveWithCells="1">
              <from>
                <xdr:col>2</xdr:col>
                <xdr:colOff>28575</xdr:colOff>
                <xdr:row>9</xdr:row>
                <xdr:rowOff>19050</xdr:rowOff>
              </from>
              <to>
                <xdr:col>3</xdr:col>
                <xdr:colOff>0</xdr:colOff>
                <xdr:row>9</xdr:row>
                <xdr:rowOff>485775</xdr:rowOff>
              </to>
            </anchor>
          </controlPr>
        </control>
      </mc:Choice>
      <mc:Fallback>
        <control shapeId="1039" r:id="rId8" name="OptionButton4"/>
      </mc:Fallback>
    </mc:AlternateContent>
    <mc:AlternateContent xmlns:mc="http://schemas.openxmlformats.org/markup-compatibility/2006">
      <mc:Choice Requires="x14">
        <control shapeId="1038" r:id="rId10" name="OptionButton3">
          <controlPr defaultSize="0" autoLine="0" autoPict="0" linkedCell="control!G3" r:id="rId11">
            <anchor moveWithCells="1">
              <from>
                <xdr:col>2</xdr:col>
                <xdr:colOff>9525</xdr:colOff>
                <xdr:row>8</xdr:row>
                <xdr:rowOff>9525</xdr:rowOff>
              </from>
              <to>
                <xdr:col>3</xdr:col>
                <xdr:colOff>9525</xdr:colOff>
                <xdr:row>8</xdr:row>
                <xdr:rowOff>485775</xdr:rowOff>
              </to>
            </anchor>
          </controlPr>
        </control>
      </mc:Choice>
      <mc:Fallback>
        <control shapeId="1038" r:id="rId10" name="OptionButton3"/>
      </mc:Fallback>
    </mc:AlternateContent>
    <mc:AlternateContent xmlns:mc="http://schemas.openxmlformats.org/markup-compatibility/2006">
      <mc:Choice Requires="x14">
        <control shapeId="1037" r:id="rId12" name="OptionButton2">
          <controlPr defaultSize="0" autoLine="0" linkedCell="control!G2" r:id="rId13">
            <anchor moveWithCells="1">
              <from>
                <xdr:col>2</xdr:col>
                <xdr:colOff>19050</xdr:colOff>
                <xdr:row>7</xdr:row>
                <xdr:rowOff>19050</xdr:rowOff>
              </from>
              <to>
                <xdr:col>3</xdr:col>
                <xdr:colOff>9525</xdr:colOff>
                <xdr:row>8</xdr:row>
                <xdr:rowOff>0</xdr:rowOff>
              </to>
            </anchor>
          </controlPr>
        </control>
      </mc:Choice>
      <mc:Fallback>
        <control shapeId="1037" r:id="rId12" name="OptionButton2"/>
      </mc:Fallback>
    </mc:AlternateContent>
    <mc:AlternateContent xmlns:mc="http://schemas.openxmlformats.org/markup-compatibility/2006">
      <mc:Choice Requires="x14">
        <control shapeId="1036" r:id="rId14" name="OptionButton1">
          <controlPr defaultSize="0" autoLine="0" autoPict="0" linkedCell="control!G1" r:id="rId15">
            <anchor moveWithCells="1">
              <from>
                <xdr:col>2</xdr:col>
                <xdr:colOff>19050</xdr:colOff>
                <xdr:row>6</xdr:row>
                <xdr:rowOff>9525</xdr:rowOff>
              </from>
              <to>
                <xdr:col>3</xdr:col>
                <xdr:colOff>0</xdr:colOff>
                <xdr:row>7</xdr:row>
                <xdr:rowOff>0</xdr:rowOff>
              </to>
            </anchor>
          </controlPr>
        </control>
      </mc:Choice>
      <mc:Fallback>
        <control shapeId="1036" r:id="rId14" name="OptionButton1"/>
      </mc:Fallback>
    </mc:AlternateContent>
    <mc:AlternateContent xmlns:mc="http://schemas.openxmlformats.org/markup-compatibility/2006">
      <mc:Choice Requires="x14">
        <control shapeId="1046" r:id="rId16" name="CommandButton3">
          <controlPr defaultSize="0" autoLine="0" autoPict="0" r:id="rId17">
            <anchor moveWithCells="1">
              <from>
                <xdr:col>1</xdr:col>
                <xdr:colOff>4733925</xdr:colOff>
                <xdr:row>10</xdr:row>
                <xdr:rowOff>123825</xdr:rowOff>
              </from>
              <to>
                <xdr:col>1</xdr:col>
                <xdr:colOff>6638925</xdr:colOff>
                <xdr:row>14</xdr:row>
                <xdr:rowOff>66675</xdr:rowOff>
              </to>
            </anchor>
          </controlPr>
        </control>
      </mc:Choice>
      <mc:Fallback>
        <control shapeId="1046" r:id="rId16" name="CommandButton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F104"/>
  <sheetViews>
    <sheetView topLeftCell="C1" workbookViewId="0">
      <selection activeCell="E4" sqref="E4"/>
    </sheetView>
  </sheetViews>
  <sheetFormatPr baseColWidth="10" defaultRowHeight="15" x14ac:dyDescent="0.25"/>
  <cols>
    <col min="1" max="2" width="11.42578125" hidden="1" customWidth="1"/>
    <col min="3" max="3" width="6.28515625" customWidth="1"/>
    <col min="4" max="4" width="112.7109375" customWidth="1"/>
    <col min="5" max="5" width="68.7109375" customWidth="1"/>
  </cols>
  <sheetData>
    <row r="1" spans="1:5" ht="63.75" customHeight="1" thickBot="1" x14ac:dyDescent="0.3">
      <c r="C1" s="26" t="str">
        <f>+control!F13</f>
        <v>El Examen ha finalizado, gracias por su participación. Usted ha respondido correctamente a un total de 1 preguntas, lo que significa un total de 0.5 puntos. Recuerde que a esta cantidad de puntos Ud. deberá sumar el promedio obtenido en la carrera. El tiempo total empleado para responder a las preguntas fue de 00:00:13. A continuación las respuestas correctas a las preguntas formuladas.</v>
      </c>
      <c r="D1" s="27"/>
      <c r="E1" s="28"/>
    </row>
    <row r="2" spans="1:5" ht="70.5" customHeight="1" x14ac:dyDescent="0.25"/>
    <row r="3" spans="1:5" x14ac:dyDescent="0.25">
      <c r="A3" s="7"/>
      <c r="B3" s="7"/>
      <c r="C3" s="7"/>
      <c r="D3" s="8"/>
      <c r="E3" s="8"/>
    </row>
    <row r="4" spans="1:5" ht="99.95" customHeight="1" x14ac:dyDescent="0.25">
      <c r="A4" s="7"/>
      <c r="B4" s="7"/>
      <c r="C4" s="7"/>
      <c r="D4" s="7"/>
      <c r="E4" s="7"/>
    </row>
    <row r="5" spans="1:5" ht="99.95" customHeight="1" x14ac:dyDescent="0.25">
      <c r="A5" s="7"/>
      <c r="B5" s="7"/>
      <c r="C5" s="7"/>
      <c r="D5" s="7"/>
      <c r="E5" s="7"/>
    </row>
    <row r="6" spans="1:5" ht="99.95" customHeight="1" x14ac:dyDescent="0.25">
      <c r="A6" s="7"/>
      <c r="B6" s="7"/>
      <c r="C6" s="7"/>
      <c r="D6" s="7"/>
      <c r="E6" s="7"/>
    </row>
    <row r="7" spans="1:5" ht="99.95" customHeight="1" x14ac:dyDescent="0.25">
      <c r="A7" s="7"/>
      <c r="B7" s="7"/>
      <c r="C7" s="7"/>
      <c r="D7" s="7"/>
      <c r="E7" s="7"/>
    </row>
    <row r="8" spans="1:5" ht="99.95" customHeight="1" x14ac:dyDescent="0.25">
      <c r="A8" s="7"/>
      <c r="B8" s="7"/>
      <c r="C8" s="7"/>
      <c r="D8" s="7"/>
      <c r="E8" s="7"/>
    </row>
    <row r="9" spans="1:5" ht="99.95" customHeight="1" x14ac:dyDescent="0.25">
      <c r="A9" s="7"/>
      <c r="B9" s="7"/>
      <c r="C9" s="7"/>
      <c r="D9" s="7"/>
      <c r="E9" s="7"/>
    </row>
    <row r="10" spans="1:5" ht="99.95" customHeight="1" x14ac:dyDescent="0.25">
      <c r="A10" s="7"/>
      <c r="B10" s="7"/>
      <c r="C10" s="7"/>
      <c r="D10" s="7"/>
      <c r="E10" s="7"/>
    </row>
    <row r="11" spans="1:5" ht="99.95" customHeight="1" x14ac:dyDescent="0.25">
      <c r="A11" s="7"/>
      <c r="B11" s="7"/>
      <c r="C11" s="7"/>
      <c r="D11" s="7"/>
      <c r="E11" s="7"/>
    </row>
    <row r="12" spans="1:5" ht="99.95" customHeight="1" x14ac:dyDescent="0.25">
      <c r="A12" s="7"/>
      <c r="B12" s="7"/>
      <c r="C12" s="7"/>
      <c r="D12" s="7"/>
      <c r="E12" s="7"/>
    </row>
    <row r="13" spans="1:5" ht="99.95" customHeight="1" x14ac:dyDescent="0.25">
      <c r="A13" s="7"/>
      <c r="B13" s="7"/>
      <c r="C13" s="7"/>
      <c r="D13" s="7"/>
      <c r="E13" s="7"/>
    </row>
    <row r="14" spans="1:5" ht="99.95" customHeight="1" x14ac:dyDescent="0.25">
      <c r="A14" s="7"/>
      <c r="B14" s="7"/>
      <c r="C14" s="7"/>
      <c r="D14" s="7"/>
      <c r="E14" s="7"/>
    </row>
    <row r="15" spans="1:5" ht="99.95" customHeight="1" x14ac:dyDescent="0.25">
      <c r="A15" s="7"/>
      <c r="B15" s="7"/>
      <c r="C15" s="7"/>
      <c r="D15" s="7"/>
      <c r="E15" s="7"/>
    </row>
    <row r="16" spans="1:5" ht="99.95" customHeight="1" x14ac:dyDescent="0.25">
      <c r="A16" s="7"/>
      <c r="B16" s="7"/>
      <c r="C16" s="7"/>
      <c r="D16" s="7"/>
      <c r="E16" s="7"/>
    </row>
    <row r="17" spans="1:5" ht="99.95" customHeight="1" x14ac:dyDescent="0.25">
      <c r="A17" s="7"/>
      <c r="B17" s="7"/>
      <c r="C17" s="7"/>
      <c r="D17" s="7"/>
      <c r="E17" s="7"/>
    </row>
    <row r="18" spans="1:5" ht="99.95" customHeight="1" x14ac:dyDescent="0.25">
      <c r="A18" s="7"/>
      <c r="B18" s="7"/>
      <c r="C18" s="7"/>
      <c r="D18" s="7"/>
      <c r="E18" s="7"/>
    </row>
    <row r="19" spans="1:5" ht="99.95" customHeight="1" x14ac:dyDescent="0.25">
      <c r="A19" s="7"/>
      <c r="B19" s="7"/>
      <c r="C19" s="7"/>
      <c r="D19" s="7"/>
      <c r="E19" s="7"/>
    </row>
    <row r="20" spans="1:5" ht="99.95" customHeight="1" x14ac:dyDescent="0.25">
      <c r="A20" s="7"/>
      <c r="B20" s="7"/>
      <c r="C20" s="7"/>
      <c r="D20" s="7"/>
      <c r="E20" s="7"/>
    </row>
    <row r="21" spans="1:5" ht="99.95" customHeight="1" x14ac:dyDescent="0.25">
      <c r="A21" s="7"/>
      <c r="B21" s="7"/>
      <c r="C21" s="7"/>
      <c r="D21" s="7"/>
      <c r="E21" s="7"/>
    </row>
    <row r="22" spans="1:5" ht="99.95" customHeight="1" x14ac:dyDescent="0.25">
      <c r="A22" s="7"/>
      <c r="B22" s="7"/>
      <c r="C22" s="7"/>
      <c r="D22" s="7"/>
      <c r="E22" s="7"/>
    </row>
    <row r="23" spans="1:5" ht="99.95" customHeight="1" x14ac:dyDescent="0.25">
      <c r="A23" s="7"/>
      <c r="B23" s="7"/>
      <c r="C23" s="7"/>
      <c r="D23" s="7"/>
      <c r="E23" s="7"/>
    </row>
    <row r="24" spans="1:5" ht="99.95" customHeight="1" x14ac:dyDescent="0.25">
      <c r="A24" s="7"/>
      <c r="B24" s="7"/>
      <c r="C24" s="7"/>
      <c r="D24" s="7"/>
      <c r="E24" s="7"/>
    </row>
    <row r="25" spans="1:5" ht="99.95" customHeight="1" x14ac:dyDescent="0.25">
      <c r="A25" s="7"/>
      <c r="B25" s="7"/>
      <c r="C25" s="7"/>
      <c r="D25" s="7"/>
      <c r="E25" s="7"/>
    </row>
    <row r="26" spans="1:5" ht="99.95" customHeight="1" x14ac:dyDescent="0.25">
      <c r="A26" s="7"/>
      <c r="B26" s="7"/>
      <c r="C26" s="7"/>
      <c r="D26" s="7"/>
      <c r="E26" s="7"/>
    </row>
    <row r="27" spans="1:5" ht="99.95" customHeight="1" x14ac:dyDescent="0.25">
      <c r="A27" s="7"/>
      <c r="B27" s="7"/>
      <c r="C27" s="7"/>
      <c r="D27" s="7"/>
      <c r="E27" s="7"/>
    </row>
    <row r="28" spans="1:5" ht="99.95" customHeight="1" x14ac:dyDescent="0.25">
      <c r="A28" s="7"/>
      <c r="B28" s="7"/>
      <c r="C28" s="7"/>
      <c r="D28" s="7"/>
      <c r="E28" s="7"/>
    </row>
    <row r="29" spans="1:5" ht="99.95" customHeight="1" x14ac:dyDescent="0.25">
      <c r="A29" s="7"/>
      <c r="B29" s="7"/>
      <c r="C29" s="7"/>
      <c r="D29" s="7"/>
      <c r="E29" s="7"/>
    </row>
    <row r="30" spans="1:5" ht="99.95" customHeight="1" x14ac:dyDescent="0.25">
      <c r="A30" s="7"/>
      <c r="B30" s="7"/>
      <c r="C30" s="7"/>
      <c r="D30" s="7"/>
      <c r="E30" s="7"/>
    </row>
    <row r="31" spans="1:5" ht="99.95" customHeight="1" x14ac:dyDescent="0.25">
      <c r="A31" s="7"/>
      <c r="B31" s="7"/>
      <c r="C31" s="7"/>
      <c r="D31" s="7"/>
      <c r="E31" s="7"/>
    </row>
    <row r="32" spans="1:5" ht="99.95" customHeight="1" x14ac:dyDescent="0.25">
      <c r="A32" s="7"/>
      <c r="B32" s="7"/>
      <c r="C32" s="7"/>
      <c r="D32" s="7"/>
      <c r="E32" s="7"/>
    </row>
    <row r="33" spans="1:5" ht="99.95" customHeight="1" x14ac:dyDescent="0.25">
      <c r="A33" s="7"/>
      <c r="B33" s="7"/>
      <c r="C33" s="7"/>
      <c r="D33" s="7"/>
      <c r="E33" s="7"/>
    </row>
    <row r="34" spans="1:5" ht="99.95" customHeight="1" x14ac:dyDescent="0.25">
      <c r="A34" s="7"/>
      <c r="B34" s="7"/>
      <c r="C34" s="7"/>
      <c r="D34" s="7"/>
      <c r="E34" s="7"/>
    </row>
    <row r="35" spans="1:5" ht="99.95" customHeight="1" x14ac:dyDescent="0.25">
      <c r="A35" s="7"/>
      <c r="B35" s="7"/>
      <c r="C35" s="7"/>
      <c r="D35" s="7"/>
      <c r="E35" s="7"/>
    </row>
    <row r="36" spans="1:5" ht="99.95" customHeight="1" x14ac:dyDescent="0.25">
      <c r="A36" s="7"/>
      <c r="B36" s="7"/>
      <c r="C36" s="7"/>
      <c r="D36" s="7"/>
      <c r="E36" s="7"/>
    </row>
    <row r="37" spans="1:5" ht="99.95" customHeight="1" x14ac:dyDescent="0.25">
      <c r="A37" s="7"/>
      <c r="B37" s="7"/>
      <c r="C37" s="7"/>
      <c r="D37" s="7"/>
      <c r="E37" s="7"/>
    </row>
    <row r="38" spans="1:5" ht="99.95" customHeight="1" x14ac:dyDescent="0.25">
      <c r="A38" s="7"/>
      <c r="B38" s="7"/>
      <c r="C38" s="7"/>
      <c r="D38" s="7"/>
      <c r="E38" s="7"/>
    </row>
    <row r="39" spans="1:5" ht="99.95" customHeight="1" x14ac:dyDescent="0.25">
      <c r="A39" s="7"/>
      <c r="B39" s="7"/>
      <c r="C39" s="7"/>
      <c r="D39" s="7"/>
      <c r="E39" s="7"/>
    </row>
    <row r="40" spans="1:5" ht="99.95" customHeight="1" x14ac:dyDescent="0.25">
      <c r="A40" s="7"/>
      <c r="B40" s="7"/>
      <c r="C40" s="7"/>
      <c r="D40" s="7"/>
      <c r="E40" s="7"/>
    </row>
    <row r="41" spans="1:5" ht="99.95" customHeight="1" x14ac:dyDescent="0.25">
      <c r="A41" s="7"/>
      <c r="B41" s="7"/>
      <c r="C41" s="7"/>
      <c r="D41" s="7"/>
      <c r="E41" s="7"/>
    </row>
    <row r="42" spans="1:5" ht="99.95" customHeight="1" x14ac:dyDescent="0.25">
      <c r="A42" s="7"/>
      <c r="B42" s="7"/>
      <c r="C42" s="7"/>
      <c r="D42" s="7"/>
      <c r="E42" s="7"/>
    </row>
    <row r="43" spans="1:5" ht="99.95" customHeight="1" x14ac:dyDescent="0.25">
      <c r="A43" s="7"/>
      <c r="B43" s="7"/>
      <c r="C43" s="7"/>
      <c r="D43" s="7"/>
      <c r="E43" s="7"/>
    </row>
    <row r="44" spans="1:5" ht="99.95" customHeight="1" x14ac:dyDescent="0.25">
      <c r="A44" s="7"/>
      <c r="B44" s="7"/>
      <c r="C44" s="7"/>
      <c r="D44" s="7"/>
      <c r="E44" s="7"/>
    </row>
    <row r="45" spans="1:5" ht="99.95" customHeight="1" x14ac:dyDescent="0.25">
      <c r="A45" s="7"/>
      <c r="B45" s="7"/>
      <c r="C45" s="7"/>
      <c r="D45" s="7"/>
      <c r="E45" s="7"/>
    </row>
    <row r="46" spans="1:5" ht="99.95" customHeight="1" x14ac:dyDescent="0.25">
      <c r="A46" s="7"/>
      <c r="B46" s="7"/>
      <c r="C46" s="7"/>
      <c r="D46" s="7"/>
      <c r="E46" s="7"/>
    </row>
    <row r="47" spans="1:5" ht="99.95" customHeight="1" x14ac:dyDescent="0.25">
      <c r="A47" s="7"/>
      <c r="B47" s="7"/>
      <c r="C47" s="7"/>
      <c r="D47" s="7"/>
      <c r="E47" s="7"/>
    </row>
    <row r="48" spans="1:5" ht="99.95" customHeight="1" x14ac:dyDescent="0.25">
      <c r="A48" s="7"/>
      <c r="B48" s="7"/>
      <c r="C48" s="7"/>
      <c r="D48" s="7"/>
      <c r="E48" s="7"/>
    </row>
    <row r="49" spans="1:5" ht="99.95" customHeight="1" x14ac:dyDescent="0.25">
      <c r="A49" s="7"/>
      <c r="B49" s="7"/>
      <c r="C49" s="7"/>
      <c r="D49" s="7"/>
      <c r="E49" s="7"/>
    </row>
    <row r="50" spans="1:5" ht="99.95" customHeight="1" x14ac:dyDescent="0.25">
      <c r="A50" s="7"/>
      <c r="B50" s="7"/>
      <c r="C50" s="7"/>
      <c r="D50" s="7"/>
      <c r="E50" s="7"/>
    </row>
    <row r="51" spans="1:5" ht="99.95" customHeight="1" x14ac:dyDescent="0.25">
      <c r="A51" s="7"/>
      <c r="B51" s="7"/>
      <c r="C51" s="7"/>
      <c r="D51" s="7"/>
      <c r="E51" s="7"/>
    </row>
    <row r="52" spans="1:5" ht="99.95" customHeight="1" x14ac:dyDescent="0.25">
      <c r="A52" s="7"/>
      <c r="B52" s="7"/>
      <c r="C52" s="7"/>
      <c r="D52" s="7"/>
      <c r="E52" s="7"/>
    </row>
    <row r="53" spans="1:5" ht="99.95" customHeight="1" x14ac:dyDescent="0.25">
      <c r="A53" s="7"/>
      <c r="B53" s="7"/>
      <c r="C53" s="7"/>
      <c r="D53" s="7"/>
      <c r="E53" s="7"/>
    </row>
    <row r="54" spans="1:5" ht="99.95" customHeight="1" x14ac:dyDescent="0.25">
      <c r="A54" s="7"/>
      <c r="B54" s="7"/>
      <c r="C54" s="7"/>
      <c r="D54" s="7"/>
      <c r="E54" s="7"/>
    </row>
    <row r="55" spans="1:5" ht="99.95" customHeight="1" x14ac:dyDescent="0.25">
      <c r="A55" s="7"/>
      <c r="B55" s="7"/>
      <c r="C55" s="7"/>
      <c r="D55" s="7"/>
      <c r="E55" s="7"/>
    </row>
    <row r="56" spans="1:5" ht="99.95" customHeight="1" x14ac:dyDescent="0.25">
      <c r="A56" s="7"/>
      <c r="B56" s="7"/>
      <c r="C56" s="7"/>
      <c r="D56" s="7"/>
      <c r="E56" s="7"/>
    </row>
    <row r="57" spans="1:5" ht="99.95" customHeight="1" x14ac:dyDescent="0.25">
      <c r="A57" s="7"/>
      <c r="B57" s="7"/>
      <c r="C57" s="7"/>
      <c r="D57" s="7"/>
      <c r="E57" s="7"/>
    </row>
    <row r="58" spans="1:5" ht="99.95" customHeight="1" x14ac:dyDescent="0.25">
      <c r="A58" s="7"/>
      <c r="B58" s="7"/>
      <c r="C58" s="7"/>
      <c r="D58" s="7"/>
      <c r="E58" s="7"/>
    </row>
    <row r="59" spans="1:5" ht="99.95" customHeight="1" x14ac:dyDescent="0.25">
      <c r="A59" s="7"/>
      <c r="B59" s="7"/>
      <c r="C59" s="7"/>
      <c r="D59" s="7"/>
      <c r="E59" s="7"/>
    </row>
    <row r="60" spans="1:5" ht="99.95" customHeight="1" x14ac:dyDescent="0.25">
      <c r="A60" s="7"/>
      <c r="B60" s="7"/>
      <c r="C60" s="7"/>
      <c r="D60" s="7"/>
      <c r="E60" s="7"/>
    </row>
    <row r="61" spans="1:5" ht="99.95" customHeight="1" x14ac:dyDescent="0.25">
      <c r="A61" s="7"/>
      <c r="B61" s="7"/>
      <c r="C61" s="7"/>
      <c r="D61" s="7"/>
      <c r="E61" s="7"/>
    </row>
    <row r="62" spans="1:5" ht="99.95" customHeight="1" x14ac:dyDescent="0.25">
      <c r="A62" s="7"/>
      <c r="B62" s="7"/>
      <c r="C62" s="7"/>
      <c r="D62" s="7"/>
      <c r="E62" s="7"/>
    </row>
    <row r="63" spans="1:5" ht="99.95" customHeight="1" x14ac:dyDescent="0.25">
      <c r="A63" s="7"/>
      <c r="B63" s="7"/>
      <c r="C63" s="7"/>
      <c r="D63" s="7"/>
      <c r="E63" s="7"/>
    </row>
    <row r="64" spans="1:5" ht="99.95" customHeight="1" x14ac:dyDescent="0.25">
      <c r="A64" s="7"/>
      <c r="B64" s="7"/>
      <c r="C64" s="7"/>
      <c r="D64" s="7"/>
      <c r="E64" s="7"/>
    </row>
    <row r="65" spans="1:5" ht="99.95" customHeight="1" x14ac:dyDescent="0.25">
      <c r="A65" s="7"/>
      <c r="B65" s="7"/>
      <c r="C65" s="7"/>
      <c r="D65" s="7"/>
      <c r="E65" s="7"/>
    </row>
    <row r="66" spans="1:5" ht="99.95" customHeight="1" x14ac:dyDescent="0.25">
      <c r="A66" s="7"/>
      <c r="B66" s="7"/>
      <c r="C66" s="7"/>
      <c r="D66" s="7"/>
      <c r="E66" s="7"/>
    </row>
    <row r="67" spans="1:5" ht="99.95" customHeight="1" x14ac:dyDescent="0.25">
      <c r="A67" s="7"/>
      <c r="B67" s="7"/>
      <c r="C67" s="7"/>
      <c r="D67" s="7"/>
      <c r="E67" s="7"/>
    </row>
    <row r="68" spans="1:5" ht="99.95" customHeight="1" x14ac:dyDescent="0.25">
      <c r="A68" s="7"/>
      <c r="B68" s="7"/>
      <c r="C68" s="7"/>
      <c r="D68" s="7"/>
      <c r="E68" s="7"/>
    </row>
    <row r="69" spans="1:5" ht="99.95" customHeight="1" x14ac:dyDescent="0.25">
      <c r="A69" s="7"/>
      <c r="B69" s="7"/>
      <c r="C69" s="7"/>
      <c r="D69" s="7"/>
      <c r="E69" s="7"/>
    </row>
    <row r="70" spans="1:5" ht="99.95" customHeight="1" x14ac:dyDescent="0.25">
      <c r="A70" s="7"/>
      <c r="B70" s="7"/>
      <c r="C70" s="7"/>
      <c r="D70" s="7"/>
      <c r="E70" s="7"/>
    </row>
    <row r="71" spans="1:5" ht="99.95" customHeight="1" x14ac:dyDescent="0.25">
      <c r="A71" s="7"/>
      <c r="B71" s="7"/>
      <c r="C71" s="7"/>
      <c r="D71" s="7"/>
      <c r="E71" s="7"/>
    </row>
    <row r="72" spans="1:5" ht="99.95" customHeight="1" x14ac:dyDescent="0.25">
      <c r="A72" s="7"/>
      <c r="B72" s="7"/>
      <c r="C72" s="7"/>
      <c r="D72" s="7"/>
      <c r="E72" s="7"/>
    </row>
    <row r="73" spans="1:5" ht="99.95" customHeight="1" x14ac:dyDescent="0.25">
      <c r="A73" s="7"/>
      <c r="B73" s="7"/>
      <c r="C73" s="7"/>
      <c r="D73" s="7"/>
      <c r="E73" s="7"/>
    </row>
    <row r="74" spans="1:5" ht="99.95" customHeight="1" x14ac:dyDescent="0.25">
      <c r="A74" s="7"/>
      <c r="B74" s="7"/>
      <c r="C74" s="7"/>
      <c r="D74" s="7"/>
      <c r="E74" s="7"/>
    </row>
    <row r="75" spans="1:5" ht="99.95" customHeight="1" x14ac:dyDescent="0.25">
      <c r="A75" s="7"/>
      <c r="B75" s="7"/>
      <c r="C75" s="7"/>
      <c r="D75" s="7"/>
      <c r="E75" s="7"/>
    </row>
    <row r="76" spans="1:5" ht="99.95" customHeight="1" x14ac:dyDescent="0.25">
      <c r="A76" s="7"/>
      <c r="B76" s="7"/>
      <c r="C76" s="7"/>
      <c r="D76" s="7"/>
      <c r="E76" s="7"/>
    </row>
    <row r="77" spans="1:5" ht="99.95" customHeight="1" x14ac:dyDescent="0.25">
      <c r="A77" s="7"/>
      <c r="B77" s="7"/>
      <c r="C77" s="7"/>
      <c r="D77" s="7"/>
      <c r="E77" s="7"/>
    </row>
    <row r="78" spans="1:5" ht="99.95" customHeight="1" x14ac:dyDescent="0.25">
      <c r="A78" s="7"/>
      <c r="B78" s="7"/>
      <c r="C78" s="7"/>
      <c r="D78" s="7"/>
      <c r="E78" s="7"/>
    </row>
    <row r="79" spans="1:5" ht="99.95" customHeight="1" x14ac:dyDescent="0.25">
      <c r="A79" s="7"/>
      <c r="B79" s="7"/>
      <c r="C79" s="7"/>
      <c r="D79" s="7"/>
      <c r="E79" s="7"/>
    </row>
    <row r="80" spans="1:5" ht="99.95" customHeight="1" x14ac:dyDescent="0.25">
      <c r="A80" s="7"/>
      <c r="B80" s="7"/>
      <c r="C80" s="7"/>
      <c r="D80" s="7"/>
      <c r="E80" s="7"/>
    </row>
    <row r="81" spans="1:5" ht="99.95" customHeight="1" x14ac:dyDescent="0.25">
      <c r="A81" s="7"/>
      <c r="B81" s="7"/>
      <c r="C81" s="7"/>
      <c r="D81" s="7"/>
      <c r="E81" s="7"/>
    </row>
    <row r="82" spans="1:5" ht="99.95" customHeight="1" x14ac:dyDescent="0.25">
      <c r="A82" s="7"/>
      <c r="B82" s="7"/>
      <c r="C82" s="7"/>
      <c r="D82" s="7"/>
      <c r="E82" s="7"/>
    </row>
    <row r="83" spans="1:5" ht="99.95" customHeight="1" x14ac:dyDescent="0.25">
      <c r="A83" s="7"/>
      <c r="B83" s="7"/>
      <c r="C83" s="7"/>
      <c r="D83" s="7"/>
      <c r="E83" s="7"/>
    </row>
    <row r="84" spans="1:5" ht="99.95" customHeight="1" x14ac:dyDescent="0.25">
      <c r="A84" s="7"/>
      <c r="B84" s="7"/>
      <c r="C84" s="7"/>
      <c r="D84" s="7"/>
      <c r="E84" s="7"/>
    </row>
    <row r="85" spans="1:5" ht="99.95" customHeight="1" x14ac:dyDescent="0.25">
      <c r="A85" s="7"/>
      <c r="B85" s="7"/>
      <c r="C85" s="7"/>
      <c r="D85" s="7"/>
      <c r="E85" s="7"/>
    </row>
    <row r="86" spans="1:5" ht="99.95" customHeight="1" x14ac:dyDescent="0.25">
      <c r="A86" s="7"/>
      <c r="B86" s="7"/>
      <c r="C86" s="7"/>
      <c r="D86" s="7"/>
      <c r="E86" s="7"/>
    </row>
    <row r="87" spans="1:5" ht="99.95" customHeight="1" x14ac:dyDescent="0.25">
      <c r="A87" s="7"/>
      <c r="B87" s="7"/>
      <c r="C87" s="7"/>
      <c r="D87" s="7"/>
      <c r="E87" s="7"/>
    </row>
    <row r="88" spans="1:5" ht="99.95" customHeight="1" x14ac:dyDescent="0.25">
      <c r="A88" s="7"/>
      <c r="B88" s="7"/>
      <c r="C88" s="7"/>
      <c r="D88" s="7"/>
      <c r="E88" s="7"/>
    </row>
    <row r="89" spans="1:5" ht="99.95" customHeight="1" x14ac:dyDescent="0.25">
      <c r="A89" s="7"/>
      <c r="B89" s="7"/>
      <c r="C89" s="7"/>
      <c r="D89" s="7"/>
      <c r="E89" s="7"/>
    </row>
    <row r="90" spans="1:5" ht="99.95" customHeight="1" x14ac:dyDescent="0.25">
      <c r="A90" s="7"/>
      <c r="B90" s="7"/>
      <c r="C90" s="7"/>
      <c r="D90" s="7"/>
      <c r="E90" s="7"/>
    </row>
    <row r="91" spans="1:5" ht="99.95" customHeight="1" x14ac:dyDescent="0.25">
      <c r="A91" s="7"/>
      <c r="B91" s="7"/>
      <c r="C91" s="7"/>
      <c r="D91" s="7"/>
      <c r="E91" s="7"/>
    </row>
    <row r="92" spans="1:5" ht="99.95" customHeight="1" x14ac:dyDescent="0.25">
      <c r="A92" s="7"/>
      <c r="B92" s="7"/>
      <c r="C92" s="7"/>
      <c r="D92" s="7"/>
      <c r="E92" s="7"/>
    </row>
    <row r="93" spans="1:5" ht="99.95" customHeight="1" x14ac:dyDescent="0.25">
      <c r="A93" s="7"/>
      <c r="B93" s="7"/>
      <c r="C93" s="7"/>
      <c r="D93" s="7"/>
      <c r="E93" s="7"/>
    </row>
    <row r="94" spans="1:5" ht="99.95" customHeight="1" x14ac:dyDescent="0.25">
      <c r="A94" s="7"/>
      <c r="B94" s="7"/>
      <c r="C94" s="7"/>
      <c r="D94" s="7"/>
      <c r="E94" s="7"/>
    </row>
    <row r="95" spans="1:5" ht="99.95" customHeight="1" x14ac:dyDescent="0.25">
      <c r="A95" s="7"/>
      <c r="B95" s="7"/>
      <c r="C95" s="7"/>
      <c r="D95" s="7"/>
      <c r="E95" s="7"/>
    </row>
    <row r="96" spans="1:5" ht="99.95" customHeight="1" x14ac:dyDescent="0.25">
      <c r="A96" s="7"/>
      <c r="B96" s="7"/>
      <c r="C96" s="7"/>
      <c r="D96" s="7"/>
      <c r="E96" s="7"/>
    </row>
    <row r="97" spans="1:6" ht="99.95" customHeight="1" x14ac:dyDescent="0.25">
      <c r="A97" s="7"/>
      <c r="B97" s="7"/>
      <c r="C97" s="7"/>
      <c r="D97" s="7"/>
      <c r="E97" s="7"/>
    </row>
    <row r="98" spans="1:6" ht="99.95" customHeight="1" x14ac:dyDescent="0.25">
      <c r="A98" s="7"/>
      <c r="B98" s="7"/>
      <c r="C98" s="7"/>
      <c r="D98" s="7"/>
      <c r="E98" s="7"/>
    </row>
    <row r="99" spans="1:6" ht="99.95" customHeight="1" x14ac:dyDescent="0.25">
      <c r="A99" s="7"/>
      <c r="B99" s="7"/>
      <c r="C99" s="7"/>
      <c r="D99" s="7"/>
      <c r="E99" s="7"/>
    </row>
    <row r="100" spans="1:6" ht="99.95" customHeight="1" x14ac:dyDescent="0.25">
      <c r="A100" s="7"/>
      <c r="B100" s="7"/>
      <c r="C100" s="7"/>
      <c r="D100" s="7"/>
      <c r="E100" s="7"/>
    </row>
    <row r="101" spans="1:6" ht="99.95" customHeight="1" x14ac:dyDescent="0.25">
      <c r="A101" s="7"/>
      <c r="B101" s="7"/>
      <c r="C101" s="7"/>
      <c r="D101" s="7"/>
      <c r="E101" s="7"/>
    </row>
    <row r="102" spans="1:6" ht="99.95" customHeight="1" x14ac:dyDescent="0.25">
      <c r="A102" s="7"/>
      <c r="B102" s="7"/>
      <c r="C102" s="7">
        <v>99</v>
      </c>
      <c r="D102" s="7" t="e">
        <f>+LOOKUP(A102,Preguntas!A99:A2598,Preguntas!B99:B2598)</f>
        <v>#N/A</v>
      </c>
      <c r="E102" s="7" t="e">
        <f>+LOOKUP(A102+B102,Preguntas!A99:A2598,Preguntas!B99:B2598)</f>
        <v>#N/A</v>
      </c>
    </row>
    <row r="103" spans="1:6" ht="99.95" customHeight="1" x14ac:dyDescent="0.25">
      <c r="A103" s="7"/>
      <c r="B103" s="7"/>
      <c r="C103" s="7">
        <v>100</v>
      </c>
      <c r="D103" s="7" t="e">
        <f>+LOOKUP(A103,Preguntas!A100:A2599,Preguntas!B100:B2599)</f>
        <v>#N/A</v>
      </c>
      <c r="E103" s="7" t="e">
        <f>+LOOKUP(A103+B103,Preguntas!A100:A2599,Preguntas!B100:B2599)</f>
        <v>#N/A</v>
      </c>
    </row>
    <row r="104" spans="1:6" x14ac:dyDescent="0.25">
      <c r="A104" t="s">
        <v>2015</v>
      </c>
      <c r="B104" t="s">
        <v>2015</v>
      </c>
      <c r="C104" t="s">
        <v>2015</v>
      </c>
      <c r="D104" t="s">
        <v>2015</v>
      </c>
      <c r="E104" t="s">
        <v>2015</v>
      </c>
      <c r="F104" t="s">
        <v>2015</v>
      </c>
    </row>
  </sheetData>
  <mergeCells count="1">
    <mergeCell ref="C1:E1"/>
  </mergeCells>
  <pageMargins left="0.7" right="0.7" top="0.75" bottom="0.75" header="0.3" footer="0.3"/>
  <drawing r:id="rId1"/>
  <legacyDrawing r:id="rId2"/>
  <controls>
    <mc:AlternateContent xmlns:mc="http://schemas.openxmlformats.org/markup-compatibility/2006">
      <mc:Choice Requires="x14">
        <control shapeId="3073" r:id="rId3" name="CommandButton1">
          <controlPr defaultSize="0" autoLine="0" autoPict="0" r:id="rId4">
            <anchor moveWithCells="1">
              <from>
                <xdr:col>3</xdr:col>
                <xdr:colOff>2905125</xdr:colOff>
                <xdr:row>1</xdr:row>
                <xdr:rowOff>276225</xdr:rowOff>
              </from>
              <to>
                <xdr:col>4</xdr:col>
                <xdr:colOff>1343025</xdr:colOff>
                <xdr:row>1</xdr:row>
                <xdr:rowOff>638175</xdr:rowOff>
              </to>
            </anchor>
          </controlPr>
        </control>
      </mc:Choice>
      <mc:Fallback>
        <control shapeId="3073" r:id="rId3"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D4:E103"/>
  <sheetViews>
    <sheetView workbookViewId="0">
      <selection activeCell="I11" sqref="I11"/>
    </sheetView>
  </sheetViews>
  <sheetFormatPr baseColWidth="10" defaultRowHeight="15" x14ac:dyDescent="0.25"/>
  <sheetData>
    <row r="4" spans="4:5" x14ac:dyDescent="0.25">
      <c r="D4" s="7" t="e">
        <f>+LOOKUP(A4,Preguntas!$A$1:$A$2979,Preguntas!$B$1:$B$2979)</f>
        <v>#N/A</v>
      </c>
      <c r="E4" s="7" t="e">
        <f>+LOOKUP(A4+B4,Preguntas!$A$1:$A$2979,Preguntas!$B$1:$B$2979)</f>
        <v>#N/A</v>
      </c>
    </row>
    <row r="5" spans="4:5" x14ac:dyDescent="0.25">
      <c r="D5" s="7" t="e">
        <f>+LOOKUP(A5,Preguntas!$A$1:$A$2979,Preguntas!$B$1:$B$2979)</f>
        <v>#N/A</v>
      </c>
      <c r="E5" s="7" t="e">
        <f>+LOOKUP(A5+B5,Preguntas!$A$1:$A$2979,Preguntas!$B$1:$B$2979)</f>
        <v>#N/A</v>
      </c>
    </row>
    <row r="6" spans="4:5" x14ac:dyDescent="0.25">
      <c r="D6" s="7" t="e">
        <f>+LOOKUP(A6,Preguntas!$A$1:$A$2979,Preguntas!$B$1:$B$2979)</f>
        <v>#N/A</v>
      </c>
      <c r="E6" s="7" t="e">
        <f>+LOOKUP(A6+B6,Preguntas!$A$1:$A$2979,Preguntas!$B$1:$B$2979)</f>
        <v>#N/A</v>
      </c>
    </row>
    <row r="7" spans="4:5" x14ac:dyDescent="0.25">
      <c r="D7" s="7" t="e">
        <f>+LOOKUP(A7,Preguntas!$A$1:$A$2979,Preguntas!$B$1:$B$2979)</f>
        <v>#N/A</v>
      </c>
      <c r="E7" s="7" t="e">
        <f>+LOOKUP(A7+B7,Preguntas!$A$1:$A$2979,Preguntas!$B$1:$B$2979)</f>
        <v>#N/A</v>
      </c>
    </row>
    <row r="8" spans="4:5" x14ac:dyDescent="0.25">
      <c r="D8" s="7" t="e">
        <f>+LOOKUP(A8,Preguntas!$A$1:$A$2979,Preguntas!$B$1:$B$2979)</f>
        <v>#N/A</v>
      </c>
      <c r="E8" s="7" t="e">
        <f>+LOOKUP(A8+B8,Preguntas!$A$1:$A$2979,Preguntas!$B$1:$B$2979)</f>
        <v>#N/A</v>
      </c>
    </row>
    <row r="9" spans="4:5" x14ac:dyDescent="0.25">
      <c r="D9" s="7" t="e">
        <f>+LOOKUP(A9,Preguntas!$A$1:$A$2979,Preguntas!$B$1:$B$2979)</f>
        <v>#N/A</v>
      </c>
      <c r="E9" s="7" t="e">
        <f>+LOOKUP(A9+B9,Preguntas!$A$1:$A$2979,Preguntas!$B$1:$B$2979)</f>
        <v>#N/A</v>
      </c>
    </row>
    <row r="10" spans="4:5" x14ac:dyDescent="0.25">
      <c r="D10" s="7" t="e">
        <f>+LOOKUP(A10,Preguntas!$A$1:$A$2979,Preguntas!$B$1:$B$2979)</f>
        <v>#N/A</v>
      </c>
      <c r="E10" s="7" t="e">
        <f>+LOOKUP(A10+B10,Preguntas!$A$1:$A$2979,Preguntas!$B$1:$B$2979)</f>
        <v>#N/A</v>
      </c>
    </row>
    <row r="11" spans="4:5" x14ac:dyDescent="0.25">
      <c r="D11" s="7" t="e">
        <f>+LOOKUP(A11,Preguntas!$A$1:$A$2979,Preguntas!$B$1:$B$2979)</f>
        <v>#N/A</v>
      </c>
      <c r="E11" s="7" t="e">
        <f>+LOOKUP(A11+B11,Preguntas!$A$1:$A$2979,Preguntas!$B$1:$B$2979)</f>
        <v>#N/A</v>
      </c>
    </row>
    <row r="12" spans="4:5" x14ac:dyDescent="0.25">
      <c r="D12" s="7" t="e">
        <f>+LOOKUP(A12,Preguntas!$A$1:$A$2979,Preguntas!$B$1:$B$2979)</f>
        <v>#N/A</v>
      </c>
      <c r="E12" s="7" t="e">
        <f>+LOOKUP(A12+B12,Preguntas!$A$1:$A$2979,Preguntas!$B$1:$B$2979)</f>
        <v>#N/A</v>
      </c>
    </row>
    <row r="13" spans="4:5" x14ac:dyDescent="0.25">
      <c r="D13" s="7" t="e">
        <f>+LOOKUP(A13,Preguntas!$A$1:$A$2979,Preguntas!$B$1:$B$2979)</f>
        <v>#N/A</v>
      </c>
      <c r="E13" s="7" t="e">
        <f>+LOOKUP(A13+B13,Preguntas!$A$1:$A$2979,Preguntas!$B$1:$B$2979)</f>
        <v>#N/A</v>
      </c>
    </row>
    <row r="14" spans="4:5" x14ac:dyDescent="0.25">
      <c r="D14" s="7" t="e">
        <f>+LOOKUP(A14,Preguntas!$A$1:$A$2979,Preguntas!$B$1:$B$2979)</f>
        <v>#N/A</v>
      </c>
      <c r="E14" s="7" t="e">
        <f>+LOOKUP(A14+B14,Preguntas!$A$1:$A$2979,Preguntas!$B$1:$B$2979)</f>
        <v>#N/A</v>
      </c>
    </row>
    <row r="15" spans="4:5" x14ac:dyDescent="0.25">
      <c r="D15" s="7" t="e">
        <f>+LOOKUP(A15,Preguntas!$A$1:$A$2979,Preguntas!$B$1:$B$2979)</f>
        <v>#N/A</v>
      </c>
      <c r="E15" s="7" t="e">
        <f>+LOOKUP(A15+B15,Preguntas!$A$1:$A$2979,Preguntas!$B$1:$B$2979)</f>
        <v>#N/A</v>
      </c>
    </row>
    <row r="16" spans="4:5" x14ac:dyDescent="0.25">
      <c r="D16" s="7" t="e">
        <f>+LOOKUP(A16,Preguntas!$A$1:$A$2979,Preguntas!$B$1:$B$2979)</f>
        <v>#N/A</v>
      </c>
      <c r="E16" s="7" t="e">
        <f>+LOOKUP(A16+B16,Preguntas!$A$1:$A$2979,Preguntas!$B$1:$B$2979)</f>
        <v>#N/A</v>
      </c>
    </row>
    <row r="17" spans="4:5" x14ac:dyDescent="0.25">
      <c r="D17" s="7" t="e">
        <f>+LOOKUP(A17,Preguntas!$A$1:$A$2979,Preguntas!$B$1:$B$2979)</f>
        <v>#N/A</v>
      </c>
      <c r="E17" s="7" t="e">
        <f>+LOOKUP(A17+B17,Preguntas!$A$1:$A$2979,Preguntas!$B$1:$B$2979)</f>
        <v>#N/A</v>
      </c>
    </row>
    <row r="18" spans="4:5" x14ac:dyDescent="0.25">
      <c r="D18" s="7" t="e">
        <f>+LOOKUP(A18,Preguntas!$A$1:$A$2979,Preguntas!$B$1:$B$2979)</f>
        <v>#N/A</v>
      </c>
      <c r="E18" s="7" t="e">
        <f>+LOOKUP(A18+B18,Preguntas!$A$1:$A$2979,Preguntas!$B$1:$B$2979)</f>
        <v>#N/A</v>
      </c>
    </row>
    <row r="19" spans="4:5" x14ac:dyDescent="0.25">
      <c r="D19" s="7" t="e">
        <f>+LOOKUP(A19,Preguntas!$A$1:$A$2979,Preguntas!$B$1:$B$2979)</f>
        <v>#N/A</v>
      </c>
      <c r="E19" s="7" t="e">
        <f>+LOOKUP(A19+B19,Preguntas!$A$1:$A$2979,Preguntas!$B$1:$B$2979)</f>
        <v>#N/A</v>
      </c>
    </row>
    <row r="20" spans="4:5" x14ac:dyDescent="0.25">
      <c r="D20" s="7" t="e">
        <f>+LOOKUP(A20,Preguntas!$A$1:$A$2979,Preguntas!$B$1:$B$2979)</f>
        <v>#N/A</v>
      </c>
      <c r="E20" s="7" t="e">
        <f>+LOOKUP(A20+B20,Preguntas!$A$1:$A$2979,Preguntas!$B$1:$B$2979)</f>
        <v>#N/A</v>
      </c>
    </row>
    <row r="21" spans="4:5" x14ac:dyDescent="0.25">
      <c r="D21" s="7" t="e">
        <f>+LOOKUP(A21,Preguntas!$A$1:$A$2979,Preguntas!$B$1:$B$2979)</f>
        <v>#N/A</v>
      </c>
      <c r="E21" s="7" t="e">
        <f>+LOOKUP(A21+B21,Preguntas!$A$1:$A$2979,Preguntas!$B$1:$B$2979)</f>
        <v>#N/A</v>
      </c>
    </row>
    <row r="22" spans="4:5" x14ac:dyDescent="0.25">
      <c r="D22" s="7" t="e">
        <f>+LOOKUP(A22,Preguntas!$A$1:$A$2979,Preguntas!$B$1:$B$2979)</f>
        <v>#N/A</v>
      </c>
      <c r="E22" s="7" t="e">
        <f>+LOOKUP(A22+B22,Preguntas!$A$1:$A$2979,Preguntas!$B$1:$B$2979)</f>
        <v>#N/A</v>
      </c>
    </row>
    <row r="23" spans="4:5" x14ac:dyDescent="0.25">
      <c r="D23" s="7" t="e">
        <f>+LOOKUP(A23,Preguntas!$A$1:$A$2979,Preguntas!$B$1:$B$2979)</f>
        <v>#N/A</v>
      </c>
      <c r="E23" s="7" t="e">
        <f>+LOOKUP(A23+B23,Preguntas!$A$1:$A$2979,Preguntas!$B$1:$B$2979)</f>
        <v>#N/A</v>
      </c>
    </row>
    <row r="24" spans="4:5" x14ac:dyDescent="0.25">
      <c r="D24" s="7" t="e">
        <f>+LOOKUP(A24,Preguntas!$A$1:$A$2979,Preguntas!$B$1:$B$2979)</f>
        <v>#N/A</v>
      </c>
      <c r="E24" s="7" t="e">
        <f>+LOOKUP(A24+B24,Preguntas!$A$1:$A$2979,Preguntas!$B$1:$B$2979)</f>
        <v>#N/A</v>
      </c>
    </row>
    <row r="25" spans="4:5" x14ac:dyDescent="0.25">
      <c r="D25" s="7" t="e">
        <f>+LOOKUP(A25,Preguntas!$A$1:$A$2979,Preguntas!$B$1:$B$2979)</f>
        <v>#N/A</v>
      </c>
      <c r="E25" s="7" t="e">
        <f>+LOOKUP(A25+B25,Preguntas!$A$1:$A$2979,Preguntas!$B$1:$B$2979)</f>
        <v>#N/A</v>
      </c>
    </row>
    <row r="26" spans="4:5" x14ac:dyDescent="0.25">
      <c r="D26" s="7" t="e">
        <f>+LOOKUP(A26,Preguntas!$A$1:$A$2979,Preguntas!$B$1:$B$2979)</f>
        <v>#N/A</v>
      </c>
      <c r="E26" s="7" t="e">
        <f>+LOOKUP(A26+B26,Preguntas!$A$1:$A$2979,Preguntas!$B$1:$B$2979)</f>
        <v>#N/A</v>
      </c>
    </row>
    <row r="27" spans="4:5" x14ac:dyDescent="0.25">
      <c r="D27" s="7" t="e">
        <f>+LOOKUP(A27,Preguntas!$A$1:$A$2979,Preguntas!$B$1:$B$2979)</f>
        <v>#N/A</v>
      </c>
      <c r="E27" s="7" t="e">
        <f>+LOOKUP(A27+B27,Preguntas!$A$1:$A$2979,Preguntas!$B$1:$B$2979)</f>
        <v>#N/A</v>
      </c>
    </row>
    <row r="28" spans="4:5" x14ac:dyDescent="0.25">
      <c r="D28" s="7" t="e">
        <f>+LOOKUP(A28,Preguntas!$A$1:$A$2979,Preguntas!$B$1:$B$2979)</f>
        <v>#N/A</v>
      </c>
      <c r="E28" s="7" t="e">
        <f>+LOOKUP(A28+B28,Preguntas!$A$1:$A$2979,Preguntas!$B$1:$B$2979)</f>
        <v>#N/A</v>
      </c>
    </row>
    <row r="29" spans="4:5" x14ac:dyDescent="0.25">
      <c r="D29" s="7" t="e">
        <f>+LOOKUP(A29,Preguntas!$A$1:$A$2979,Preguntas!$B$1:$B$2979)</f>
        <v>#N/A</v>
      </c>
      <c r="E29" s="7" t="e">
        <f>+LOOKUP(A29+B29,Preguntas!$A$1:$A$2979,Preguntas!$B$1:$B$2979)</f>
        <v>#N/A</v>
      </c>
    </row>
    <row r="30" spans="4:5" x14ac:dyDescent="0.25">
      <c r="D30" s="7" t="e">
        <f>+LOOKUP(A30,Preguntas!$A$1:$A$2979,Preguntas!$B$1:$B$2979)</f>
        <v>#N/A</v>
      </c>
      <c r="E30" s="7" t="e">
        <f>+LOOKUP(A30+B30,Preguntas!$A$1:$A$2979,Preguntas!$B$1:$B$2979)</f>
        <v>#N/A</v>
      </c>
    </row>
    <row r="31" spans="4:5" x14ac:dyDescent="0.25">
      <c r="D31" s="7" t="e">
        <f>+LOOKUP(A31,Preguntas!$A$1:$A$2979,Preguntas!$B$1:$B$2979)</f>
        <v>#N/A</v>
      </c>
      <c r="E31" s="7" t="e">
        <f>+LOOKUP(A31+B31,Preguntas!$A$1:$A$2979,Preguntas!$B$1:$B$2979)</f>
        <v>#N/A</v>
      </c>
    </row>
    <row r="32" spans="4:5" x14ac:dyDescent="0.25">
      <c r="D32" s="7" t="e">
        <f>+LOOKUP(A32,Preguntas!$A$1:$A$2979,Preguntas!$B$1:$B$2979)</f>
        <v>#N/A</v>
      </c>
      <c r="E32" s="7" t="e">
        <f>+LOOKUP(A32+B32,Preguntas!$A$1:$A$2979,Preguntas!$B$1:$B$2979)</f>
        <v>#N/A</v>
      </c>
    </row>
    <row r="33" spans="4:5" x14ac:dyDescent="0.25">
      <c r="D33" s="7" t="e">
        <f>+LOOKUP(A33,Preguntas!$A$1:$A$2979,Preguntas!$B$1:$B$2979)</f>
        <v>#N/A</v>
      </c>
      <c r="E33" s="7" t="e">
        <f>+LOOKUP(A33+B33,Preguntas!$A$1:$A$2979,Preguntas!$B$1:$B$2979)</f>
        <v>#N/A</v>
      </c>
    </row>
    <row r="34" spans="4:5" x14ac:dyDescent="0.25">
      <c r="D34" s="7" t="e">
        <f>+LOOKUP(A34,Preguntas!$A$1:$A$2979,Preguntas!$B$1:$B$2979)</f>
        <v>#N/A</v>
      </c>
      <c r="E34" s="7" t="e">
        <f>+LOOKUP(A34+B34,Preguntas!$A$1:$A$2979,Preguntas!$B$1:$B$2979)</f>
        <v>#N/A</v>
      </c>
    </row>
    <row r="35" spans="4:5" x14ac:dyDescent="0.25">
      <c r="D35" s="7" t="e">
        <f>+LOOKUP(A35,Preguntas!$A$1:$A$2979,Preguntas!$B$1:$B$2979)</f>
        <v>#N/A</v>
      </c>
      <c r="E35" s="7" t="e">
        <f>+LOOKUP(A35+B35,Preguntas!$A$1:$A$2979,Preguntas!$B$1:$B$2979)</f>
        <v>#N/A</v>
      </c>
    </row>
    <row r="36" spans="4:5" x14ac:dyDescent="0.25">
      <c r="D36" s="7" t="e">
        <f>+LOOKUP(A36,Preguntas!$A$1:$A$2979,Preguntas!$B$1:$B$2979)</f>
        <v>#N/A</v>
      </c>
      <c r="E36" s="7" t="e">
        <f>+LOOKUP(A36+B36,Preguntas!$A$1:$A$2979,Preguntas!$B$1:$B$2979)</f>
        <v>#N/A</v>
      </c>
    </row>
    <row r="37" spans="4:5" x14ac:dyDescent="0.25">
      <c r="D37" s="7" t="e">
        <f>+LOOKUP(A37,Preguntas!$A$1:$A$2979,Preguntas!$B$1:$B$2979)</f>
        <v>#N/A</v>
      </c>
      <c r="E37" s="7" t="e">
        <f>+LOOKUP(A37+B37,Preguntas!$A$1:$A$2979,Preguntas!$B$1:$B$2979)</f>
        <v>#N/A</v>
      </c>
    </row>
    <row r="38" spans="4:5" x14ac:dyDescent="0.25">
      <c r="D38" s="7" t="e">
        <f>+LOOKUP(A38,Preguntas!$A$1:$A$2979,Preguntas!$B$1:$B$2979)</f>
        <v>#N/A</v>
      </c>
      <c r="E38" s="7" t="e">
        <f>+LOOKUP(A38+B38,Preguntas!$A$1:$A$2979,Preguntas!$B$1:$B$2979)</f>
        <v>#N/A</v>
      </c>
    </row>
    <row r="39" spans="4:5" x14ac:dyDescent="0.25">
      <c r="D39" s="7" t="e">
        <f>+LOOKUP(A39,Preguntas!$A$1:$A$2979,Preguntas!$B$1:$B$2979)</f>
        <v>#N/A</v>
      </c>
      <c r="E39" s="7" t="e">
        <f>+LOOKUP(A39+B39,Preguntas!$A$1:$A$2979,Preguntas!$B$1:$B$2979)</f>
        <v>#N/A</v>
      </c>
    </row>
    <row r="40" spans="4:5" x14ac:dyDescent="0.25">
      <c r="D40" s="7" t="e">
        <f>+LOOKUP(A40,Preguntas!$A$1:$A$2979,Preguntas!$B$1:$B$2979)</f>
        <v>#N/A</v>
      </c>
      <c r="E40" s="7" t="e">
        <f>+LOOKUP(A40+B40,Preguntas!$A$1:$A$2979,Preguntas!$B$1:$B$2979)</f>
        <v>#N/A</v>
      </c>
    </row>
    <row r="41" spans="4:5" x14ac:dyDescent="0.25">
      <c r="D41" s="7" t="e">
        <f>+LOOKUP(A41,Preguntas!$A$1:$A$2979,Preguntas!$B$1:$B$2979)</f>
        <v>#N/A</v>
      </c>
      <c r="E41" s="7" t="e">
        <f>+LOOKUP(A41+B41,Preguntas!$A$1:$A$2979,Preguntas!$B$1:$B$2979)</f>
        <v>#N/A</v>
      </c>
    </row>
    <row r="42" spans="4:5" x14ac:dyDescent="0.25">
      <c r="D42" s="7" t="e">
        <f>+LOOKUP(A42,Preguntas!$A$1:$A$2979,Preguntas!$B$1:$B$2979)</f>
        <v>#N/A</v>
      </c>
      <c r="E42" s="7" t="e">
        <f>+LOOKUP(A42+B42,Preguntas!$A$1:$A$2979,Preguntas!$B$1:$B$2979)</f>
        <v>#N/A</v>
      </c>
    </row>
    <row r="43" spans="4:5" x14ac:dyDescent="0.25">
      <c r="D43" s="7" t="e">
        <f>+LOOKUP(A43,Preguntas!$A$1:$A$2979,Preguntas!$B$1:$B$2979)</f>
        <v>#N/A</v>
      </c>
      <c r="E43" s="7" t="e">
        <f>+LOOKUP(A43+B43,Preguntas!$A$1:$A$2979,Preguntas!$B$1:$B$2979)</f>
        <v>#N/A</v>
      </c>
    </row>
    <row r="44" spans="4:5" x14ac:dyDescent="0.25">
      <c r="D44" s="7" t="e">
        <f>+LOOKUP(A44,Preguntas!$A$1:$A$2979,Preguntas!$B$1:$B$2979)</f>
        <v>#N/A</v>
      </c>
      <c r="E44" s="7" t="e">
        <f>+LOOKUP(A44+B44,Preguntas!$A$1:$A$2979,Preguntas!$B$1:$B$2979)</f>
        <v>#N/A</v>
      </c>
    </row>
    <row r="45" spans="4:5" x14ac:dyDescent="0.25">
      <c r="D45" s="7" t="e">
        <f>+LOOKUP(A45,Preguntas!$A$1:$A$2979,Preguntas!$B$1:$B$2979)</f>
        <v>#N/A</v>
      </c>
      <c r="E45" s="7" t="e">
        <f>+LOOKUP(A45+B45,Preguntas!$A$1:$A$2979,Preguntas!$B$1:$B$2979)</f>
        <v>#N/A</v>
      </c>
    </row>
    <row r="46" spans="4:5" x14ac:dyDescent="0.25">
      <c r="D46" s="7" t="e">
        <f>+LOOKUP(A46,Preguntas!$A$1:$A$2979,Preguntas!$B$1:$B$2979)</f>
        <v>#N/A</v>
      </c>
      <c r="E46" s="7" t="e">
        <f>+LOOKUP(A46+B46,Preguntas!$A$1:$A$2979,Preguntas!$B$1:$B$2979)</f>
        <v>#N/A</v>
      </c>
    </row>
    <row r="47" spans="4:5" x14ac:dyDescent="0.25">
      <c r="D47" s="7" t="e">
        <f>+LOOKUP(A47,Preguntas!$A$1:$A$2979,Preguntas!$B$1:$B$2979)</f>
        <v>#N/A</v>
      </c>
      <c r="E47" s="7" t="e">
        <f>+LOOKUP(A47+B47,Preguntas!$A$1:$A$2979,Preguntas!$B$1:$B$2979)</f>
        <v>#N/A</v>
      </c>
    </row>
    <row r="48" spans="4:5" x14ac:dyDescent="0.25">
      <c r="D48" s="7" t="e">
        <f>+LOOKUP(A48,Preguntas!$A$1:$A$2979,Preguntas!$B$1:$B$2979)</f>
        <v>#N/A</v>
      </c>
      <c r="E48" s="7" t="e">
        <f>+LOOKUP(A48+B48,Preguntas!$A$1:$A$2979,Preguntas!$B$1:$B$2979)</f>
        <v>#N/A</v>
      </c>
    </row>
    <row r="49" spans="4:5" x14ac:dyDescent="0.25">
      <c r="D49" s="7" t="e">
        <f>+LOOKUP(A49,Preguntas!$A$1:$A$2979,Preguntas!$B$1:$B$2979)</f>
        <v>#N/A</v>
      </c>
      <c r="E49" s="7" t="e">
        <f>+LOOKUP(A49+B49,Preguntas!$A$1:$A$2979,Preguntas!$B$1:$B$2979)</f>
        <v>#N/A</v>
      </c>
    </row>
    <row r="50" spans="4:5" x14ac:dyDescent="0.25">
      <c r="D50" s="7" t="e">
        <f>+LOOKUP(A50,Preguntas!$A$1:$A$2979,Preguntas!$B$1:$B$2979)</f>
        <v>#N/A</v>
      </c>
      <c r="E50" s="7" t="e">
        <f>+LOOKUP(A50+B50,Preguntas!$A$1:$A$2979,Preguntas!$B$1:$B$2979)</f>
        <v>#N/A</v>
      </c>
    </row>
    <row r="51" spans="4:5" x14ac:dyDescent="0.25">
      <c r="D51" s="7" t="e">
        <f>+LOOKUP(A51,Preguntas!$A$1:$A$2979,Preguntas!$B$1:$B$2979)</f>
        <v>#N/A</v>
      </c>
      <c r="E51" s="7" t="e">
        <f>+LOOKUP(A51+B51,Preguntas!$A$1:$A$2979,Preguntas!$B$1:$B$2979)</f>
        <v>#N/A</v>
      </c>
    </row>
    <row r="52" spans="4:5" x14ac:dyDescent="0.25">
      <c r="D52" s="7" t="e">
        <f>+LOOKUP(A52,Preguntas!$A$1:$A$2979,Preguntas!$B$1:$B$2979)</f>
        <v>#N/A</v>
      </c>
      <c r="E52" s="7" t="e">
        <f>+LOOKUP(A52+B52,Preguntas!$A$1:$A$2979,Preguntas!$B$1:$B$2979)</f>
        <v>#N/A</v>
      </c>
    </row>
    <row r="53" spans="4:5" x14ac:dyDescent="0.25">
      <c r="D53" s="7" t="e">
        <f>+LOOKUP(A53,Preguntas!$A$1:$A$2979,Preguntas!$B$1:$B$2979)</f>
        <v>#N/A</v>
      </c>
      <c r="E53" s="7" t="e">
        <f>+LOOKUP(A53+B53,Preguntas!$A$1:$A$2979,Preguntas!$B$1:$B$2979)</f>
        <v>#N/A</v>
      </c>
    </row>
    <row r="54" spans="4:5" x14ac:dyDescent="0.25">
      <c r="D54" s="7" t="e">
        <f>+LOOKUP(A54,Preguntas!$A$1:$A$2979,Preguntas!$B$1:$B$2979)</f>
        <v>#N/A</v>
      </c>
      <c r="E54" s="7" t="e">
        <f>+LOOKUP(A54+B54,Preguntas!$A$1:$A$2979,Preguntas!$B$1:$B$2979)</f>
        <v>#N/A</v>
      </c>
    </row>
    <row r="55" spans="4:5" x14ac:dyDescent="0.25">
      <c r="D55" s="7" t="e">
        <f>+LOOKUP(A55,Preguntas!$A$1:$A$2979,Preguntas!$B$1:$B$2979)</f>
        <v>#N/A</v>
      </c>
      <c r="E55" s="7" t="e">
        <f>+LOOKUP(A55+B55,Preguntas!$A$1:$A$2979,Preguntas!$B$1:$B$2979)</f>
        <v>#N/A</v>
      </c>
    </row>
    <row r="56" spans="4:5" x14ac:dyDescent="0.25">
      <c r="D56" s="7" t="e">
        <f>+LOOKUP(A56,Preguntas!$A$1:$A$2979,Preguntas!$B$1:$B$2979)</f>
        <v>#N/A</v>
      </c>
      <c r="E56" s="7" t="e">
        <f>+LOOKUP(A56+B56,Preguntas!$A$1:$A$2979,Preguntas!$B$1:$B$2979)</f>
        <v>#N/A</v>
      </c>
    </row>
    <row r="57" spans="4:5" x14ac:dyDescent="0.25">
      <c r="D57" s="7" t="e">
        <f>+LOOKUP(A57,Preguntas!$A$1:$A$2979,Preguntas!$B$1:$B$2979)</f>
        <v>#N/A</v>
      </c>
      <c r="E57" s="7" t="e">
        <f>+LOOKUP(A57+B57,Preguntas!$A$1:$A$2979,Preguntas!$B$1:$B$2979)</f>
        <v>#N/A</v>
      </c>
    </row>
    <row r="58" spans="4:5" x14ac:dyDescent="0.25">
      <c r="D58" s="7" t="e">
        <f>+LOOKUP(A58,Preguntas!$A$1:$A$2979,Preguntas!$B$1:$B$2979)</f>
        <v>#N/A</v>
      </c>
      <c r="E58" s="7" t="e">
        <f>+LOOKUP(A58+B58,Preguntas!$A$1:$A$2979,Preguntas!$B$1:$B$2979)</f>
        <v>#N/A</v>
      </c>
    </row>
    <row r="59" spans="4:5" x14ac:dyDescent="0.25">
      <c r="D59" s="7" t="e">
        <f>+LOOKUP(A59,Preguntas!$A$1:$A$2979,Preguntas!$B$1:$B$2979)</f>
        <v>#N/A</v>
      </c>
      <c r="E59" s="7" t="e">
        <f>+LOOKUP(A59+B59,Preguntas!$A$1:$A$2979,Preguntas!$B$1:$B$2979)</f>
        <v>#N/A</v>
      </c>
    </row>
    <row r="60" spans="4:5" x14ac:dyDescent="0.25">
      <c r="D60" s="7" t="e">
        <f>+LOOKUP(A60,Preguntas!$A$1:$A$2979,Preguntas!$B$1:$B$2979)</f>
        <v>#N/A</v>
      </c>
      <c r="E60" s="7" t="e">
        <f>+LOOKUP(A60+B60,Preguntas!$A$1:$A$2979,Preguntas!$B$1:$B$2979)</f>
        <v>#N/A</v>
      </c>
    </row>
    <row r="61" spans="4:5" x14ac:dyDescent="0.25">
      <c r="D61" s="7" t="e">
        <f>+LOOKUP(A61,Preguntas!$A$1:$A$2979,Preguntas!$B$1:$B$2979)</f>
        <v>#N/A</v>
      </c>
      <c r="E61" s="7" t="e">
        <f>+LOOKUP(A61+B61,Preguntas!$A$1:$A$2979,Preguntas!$B$1:$B$2979)</f>
        <v>#N/A</v>
      </c>
    </row>
    <row r="62" spans="4:5" x14ac:dyDescent="0.25">
      <c r="D62" s="7" t="e">
        <f>+LOOKUP(A62,Preguntas!$A$1:$A$2979,Preguntas!$B$1:$B$2979)</f>
        <v>#N/A</v>
      </c>
      <c r="E62" s="7" t="e">
        <f>+LOOKUP(A62+B62,Preguntas!$A$1:$A$2979,Preguntas!$B$1:$B$2979)</f>
        <v>#N/A</v>
      </c>
    </row>
    <row r="63" spans="4:5" x14ac:dyDescent="0.25">
      <c r="D63" s="7" t="e">
        <f>+LOOKUP(A63,Preguntas!$A$1:$A$2979,Preguntas!$B$1:$B$2979)</f>
        <v>#N/A</v>
      </c>
      <c r="E63" s="7" t="e">
        <f>+LOOKUP(A63+B63,Preguntas!$A$1:$A$2979,Preguntas!$B$1:$B$2979)</f>
        <v>#N/A</v>
      </c>
    </row>
    <row r="64" spans="4:5" x14ac:dyDescent="0.25">
      <c r="D64" s="7" t="e">
        <f>+LOOKUP(A64,Preguntas!$A$1:$A$2979,Preguntas!$B$1:$B$2979)</f>
        <v>#N/A</v>
      </c>
      <c r="E64" s="7" t="e">
        <f>+LOOKUP(A64+B64,Preguntas!$A$1:$A$2979,Preguntas!$B$1:$B$2979)</f>
        <v>#N/A</v>
      </c>
    </row>
    <row r="65" spans="4:5" x14ac:dyDescent="0.25">
      <c r="D65" s="7" t="e">
        <f>+LOOKUP(A65,Preguntas!$A$1:$A$2979,Preguntas!$B$1:$B$2979)</f>
        <v>#N/A</v>
      </c>
      <c r="E65" s="7" t="e">
        <f>+LOOKUP(A65+B65,Preguntas!$A$1:$A$2979,Preguntas!$B$1:$B$2979)</f>
        <v>#N/A</v>
      </c>
    </row>
    <row r="66" spans="4:5" x14ac:dyDescent="0.25">
      <c r="D66" s="7" t="e">
        <f>+LOOKUP(A66,Preguntas!$A$1:$A$2979,Preguntas!$B$1:$B$2979)</f>
        <v>#N/A</v>
      </c>
      <c r="E66" s="7" t="e">
        <f>+LOOKUP(A66+B66,Preguntas!$A$1:$A$2979,Preguntas!$B$1:$B$2979)</f>
        <v>#N/A</v>
      </c>
    </row>
    <row r="67" spans="4:5" x14ac:dyDescent="0.25">
      <c r="D67" s="7" t="e">
        <f>+LOOKUP(A67,Preguntas!$A$1:$A$2979,Preguntas!$B$1:$B$2979)</f>
        <v>#N/A</v>
      </c>
      <c r="E67" s="7" t="e">
        <f>+LOOKUP(A67+B67,Preguntas!$A$1:$A$2979,Preguntas!$B$1:$B$2979)</f>
        <v>#N/A</v>
      </c>
    </row>
    <row r="68" spans="4:5" x14ac:dyDescent="0.25">
      <c r="D68" s="7" t="e">
        <f>+LOOKUP(A68,Preguntas!$A$1:$A$2979,Preguntas!$B$1:$B$2979)</f>
        <v>#N/A</v>
      </c>
      <c r="E68" s="7" t="e">
        <f>+LOOKUP(A68+B68,Preguntas!$A$1:$A$2979,Preguntas!$B$1:$B$2979)</f>
        <v>#N/A</v>
      </c>
    </row>
    <row r="69" spans="4:5" x14ac:dyDescent="0.25">
      <c r="D69" s="7" t="e">
        <f>+LOOKUP(A69,Preguntas!$A$1:$A$2979,Preguntas!$B$1:$B$2979)</f>
        <v>#N/A</v>
      </c>
      <c r="E69" s="7" t="e">
        <f>+LOOKUP(A69+B69,Preguntas!$A$1:$A$2979,Preguntas!$B$1:$B$2979)</f>
        <v>#N/A</v>
      </c>
    </row>
    <row r="70" spans="4:5" x14ac:dyDescent="0.25">
      <c r="D70" s="7" t="e">
        <f>+LOOKUP(A70,Preguntas!$A$1:$A$2979,Preguntas!$B$1:$B$2979)</f>
        <v>#N/A</v>
      </c>
      <c r="E70" s="7" t="e">
        <f>+LOOKUP(A70+B70,Preguntas!$A$1:$A$2979,Preguntas!$B$1:$B$2979)</f>
        <v>#N/A</v>
      </c>
    </row>
    <row r="71" spans="4:5" x14ac:dyDescent="0.25">
      <c r="D71" s="7" t="e">
        <f>+LOOKUP(A71,Preguntas!$A$1:$A$2979,Preguntas!$B$1:$B$2979)</f>
        <v>#N/A</v>
      </c>
      <c r="E71" s="7" t="e">
        <f>+LOOKUP(A71+B71,Preguntas!$A$1:$A$2979,Preguntas!$B$1:$B$2979)</f>
        <v>#N/A</v>
      </c>
    </row>
    <row r="72" spans="4:5" x14ac:dyDescent="0.25">
      <c r="D72" s="7" t="e">
        <f>+LOOKUP(A72,Preguntas!$A$1:$A$2979,Preguntas!$B$1:$B$2979)</f>
        <v>#N/A</v>
      </c>
      <c r="E72" s="7" t="e">
        <f>+LOOKUP(A72+B72,Preguntas!$A$1:$A$2979,Preguntas!$B$1:$B$2979)</f>
        <v>#N/A</v>
      </c>
    </row>
    <row r="73" spans="4:5" x14ac:dyDescent="0.25">
      <c r="D73" s="7" t="e">
        <f>+LOOKUP(A73,Preguntas!$A$1:$A$2979,Preguntas!$B$1:$B$2979)</f>
        <v>#N/A</v>
      </c>
      <c r="E73" s="7" t="e">
        <f>+LOOKUP(A73+B73,Preguntas!$A$1:$A$2979,Preguntas!$B$1:$B$2979)</f>
        <v>#N/A</v>
      </c>
    </row>
    <row r="74" spans="4:5" x14ac:dyDescent="0.25">
      <c r="D74" s="7" t="e">
        <f>+LOOKUP(A74,Preguntas!$A$1:$A$2979,Preguntas!$B$1:$B$2979)</f>
        <v>#N/A</v>
      </c>
      <c r="E74" s="7" t="e">
        <f>+LOOKUP(A74+B74,Preguntas!$A$1:$A$2979,Preguntas!$B$1:$B$2979)</f>
        <v>#N/A</v>
      </c>
    </row>
    <row r="75" spans="4:5" x14ac:dyDescent="0.25">
      <c r="D75" s="7" t="e">
        <f>+LOOKUP(A75,Preguntas!$A$1:$A$2979,Preguntas!$B$1:$B$2979)</f>
        <v>#N/A</v>
      </c>
      <c r="E75" s="7" t="e">
        <f>+LOOKUP(A75+B75,Preguntas!$A$1:$A$2979,Preguntas!$B$1:$B$2979)</f>
        <v>#N/A</v>
      </c>
    </row>
    <row r="76" spans="4:5" x14ac:dyDescent="0.25">
      <c r="D76" s="7" t="e">
        <f>+LOOKUP(A76,Preguntas!$A$1:$A$2979,Preguntas!$B$1:$B$2979)</f>
        <v>#N/A</v>
      </c>
      <c r="E76" s="7" t="e">
        <f>+LOOKUP(A76+B76,Preguntas!$A$1:$A$2979,Preguntas!$B$1:$B$2979)</f>
        <v>#N/A</v>
      </c>
    </row>
    <row r="77" spans="4:5" x14ac:dyDescent="0.25">
      <c r="D77" s="7" t="e">
        <f>+LOOKUP(A77,Preguntas!$A$1:$A$2979,Preguntas!$B$1:$B$2979)</f>
        <v>#N/A</v>
      </c>
      <c r="E77" s="7" t="e">
        <f>+LOOKUP(A77+B77,Preguntas!$A$1:$A$2979,Preguntas!$B$1:$B$2979)</f>
        <v>#N/A</v>
      </c>
    </row>
    <row r="78" spans="4:5" x14ac:dyDescent="0.25">
      <c r="D78" s="7" t="e">
        <f>+LOOKUP(A78,Preguntas!$A$1:$A$2979,Preguntas!$B$1:$B$2979)</f>
        <v>#N/A</v>
      </c>
      <c r="E78" s="7" t="e">
        <f>+LOOKUP(A78+B78,Preguntas!$A$1:$A$2979,Preguntas!$B$1:$B$2979)</f>
        <v>#N/A</v>
      </c>
    </row>
    <row r="79" spans="4:5" x14ac:dyDescent="0.25">
      <c r="D79" s="7" t="e">
        <f>+LOOKUP(A79,Preguntas!$A$1:$A$2979,Preguntas!$B$1:$B$2979)</f>
        <v>#N/A</v>
      </c>
      <c r="E79" s="7" t="e">
        <f>+LOOKUP(A79+B79,Preguntas!$A$1:$A$2979,Preguntas!$B$1:$B$2979)</f>
        <v>#N/A</v>
      </c>
    </row>
    <row r="80" spans="4:5" x14ac:dyDescent="0.25">
      <c r="D80" s="7" t="e">
        <f>+LOOKUP(A80,Preguntas!$A$1:$A$2979,Preguntas!$B$1:$B$2979)</f>
        <v>#N/A</v>
      </c>
      <c r="E80" s="7" t="e">
        <f>+LOOKUP(A80+B80,Preguntas!$A$1:$A$2979,Preguntas!$B$1:$B$2979)</f>
        <v>#N/A</v>
      </c>
    </row>
    <row r="81" spans="4:5" x14ac:dyDescent="0.25">
      <c r="D81" s="7" t="e">
        <f>+LOOKUP(A81,Preguntas!$A$1:$A$2979,Preguntas!$B$1:$B$2979)</f>
        <v>#N/A</v>
      </c>
      <c r="E81" s="7" t="e">
        <f>+LOOKUP(A81+B81,Preguntas!$A$1:$A$2979,Preguntas!$B$1:$B$2979)</f>
        <v>#N/A</v>
      </c>
    </row>
    <row r="82" spans="4:5" x14ac:dyDescent="0.25">
      <c r="D82" s="7" t="e">
        <f>+LOOKUP(A82,Preguntas!$A$1:$A$2979,Preguntas!$B$1:$B$2979)</f>
        <v>#N/A</v>
      </c>
      <c r="E82" s="7" t="e">
        <f>+LOOKUP(A82+B82,Preguntas!$A$1:$A$2979,Preguntas!$B$1:$B$2979)</f>
        <v>#N/A</v>
      </c>
    </row>
    <row r="83" spans="4:5" x14ac:dyDescent="0.25">
      <c r="D83" s="7" t="e">
        <f>+LOOKUP(A83,Preguntas!$A$1:$A$2979,Preguntas!$B$1:$B$2979)</f>
        <v>#N/A</v>
      </c>
      <c r="E83" s="7" t="e">
        <f>+LOOKUP(A83+B83,Preguntas!$A$1:$A$2979,Preguntas!$B$1:$B$2979)</f>
        <v>#N/A</v>
      </c>
    </row>
    <row r="84" spans="4:5" x14ac:dyDescent="0.25">
      <c r="D84" s="7" t="e">
        <f>+LOOKUP(A84,Preguntas!$A$1:$A$2979,Preguntas!$B$1:$B$2979)</f>
        <v>#N/A</v>
      </c>
      <c r="E84" s="7" t="e">
        <f>+LOOKUP(A84+B84,Preguntas!$A$1:$A$2979,Preguntas!$B$1:$B$2979)</f>
        <v>#N/A</v>
      </c>
    </row>
    <row r="85" spans="4:5" x14ac:dyDescent="0.25">
      <c r="D85" s="7" t="e">
        <f>+LOOKUP(A85,Preguntas!$A$1:$A$2979,Preguntas!$B$1:$B$2979)</f>
        <v>#N/A</v>
      </c>
      <c r="E85" s="7" t="e">
        <f>+LOOKUP(A85+B85,Preguntas!$A$1:$A$2979,Preguntas!$B$1:$B$2979)</f>
        <v>#N/A</v>
      </c>
    </row>
    <row r="86" spans="4:5" x14ac:dyDescent="0.25">
      <c r="D86" s="7" t="e">
        <f>+LOOKUP(A86,Preguntas!$A$1:$A$2979,Preguntas!$B$1:$B$2979)</f>
        <v>#N/A</v>
      </c>
      <c r="E86" s="7" t="e">
        <f>+LOOKUP(A86+B86,Preguntas!$A$1:$A$2979,Preguntas!$B$1:$B$2979)</f>
        <v>#N/A</v>
      </c>
    </row>
    <row r="87" spans="4:5" x14ac:dyDescent="0.25">
      <c r="D87" s="7" t="e">
        <f>+LOOKUP(A87,Preguntas!$A$1:$A$2979,Preguntas!$B$1:$B$2979)</f>
        <v>#N/A</v>
      </c>
      <c r="E87" s="7" t="e">
        <f>+LOOKUP(A87+B87,Preguntas!$A$1:$A$2979,Preguntas!$B$1:$B$2979)</f>
        <v>#N/A</v>
      </c>
    </row>
    <row r="88" spans="4:5" x14ac:dyDescent="0.25">
      <c r="D88" s="7" t="e">
        <f>+LOOKUP(A88,Preguntas!$A$1:$A$2979,Preguntas!$B$1:$B$2979)</f>
        <v>#N/A</v>
      </c>
      <c r="E88" s="7" t="e">
        <f>+LOOKUP(A88+B88,Preguntas!$A$1:$A$2979,Preguntas!$B$1:$B$2979)</f>
        <v>#N/A</v>
      </c>
    </row>
    <row r="89" spans="4:5" x14ac:dyDescent="0.25">
      <c r="D89" s="7" t="e">
        <f>+LOOKUP(A89,Preguntas!$A$1:$A$2979,Preguntas!$B$1:$B$2979)</f>
        <v>#N/A</v>
      </c>
      <c r="E89" s="7" t="e">
        <f>+LOOKUP(A89+B89,Preguntas!$A$1:$A$2979,Preguntas!$B$1:$B$2979)</f>
        <v>#N/A</v>
      </c>
    </row>
    <row r="90" spans="4:5" x14ac:dyDescent="0.25">
      <c r="D90" s="7" t="e">
        <f>+LOOKUP(A90,Preguntas!$A$1:$A$2979,Preguntas!$B$1:$B$2979)</f>
        <v>#N/A</v>
      </c>
      <c r="E90" s="7" t="e">
        <f>+LOOKUP(A90+B90,Preguntas!$A$1:$A$2979,Preguntas!$B$1:$B$2979)</f>
        <v>#N/A</v>
      </c>
    </row>
    <row r="91" spans="4:5" x14ac:dyDescent="0.25">
      <c r="D91" s="7" t="e">
        <f>+LOOKUP(A91,Preguntas!$A$1:$A$2979,Preguntas!$B$1:$B$2979)</f>
        <v>#N/A</v>
      </c>
      <c r="E91" s="7" t="e">
        <f>+LOOKUP(A91+B91,Preguntas!$A$1:$A$2979,Preguntas!$B$1:$B$2979)</f>
        <v>#N/A</v>
      </c>
    </row>
    <row r="92" spans="4:5" x14ac:dyDescent="0.25">
      <c r="D92" s="7" t="e">
        <f>+LOOKUP(A92,Preguntas!$A$1:$A$2979,Preguntas!$B$1:$B$2979)</f>
        <v>#N/A</v>
      </c>
      <c r="E92" s="7" t="e">
        <f>+LOOKUP(A92+B92,Preguntas!$A$1:$A$2979,Preguntas!$B$1:$B$2979)</f>
        <v>#N/A</v>
      </c>
    </row>
    <row r="93" spans="4:5" x14ac:dyDescent="0.25">
      <c r="D93" s="7" t="e">
        <f>+LOOKUP(A93,Preguntas!$A$1:$A$2979,Preguntas!$B$1:$B$2979)</f>
        <v>#N/A</v>
      </c>
      <c r="E93" s="7" t="e">
        <f>+LOOKUP(A93+B93,Preguntas!$A$1:$A$2979,Preguntas!$B$1:$B$2979)</f>
        <v>#N/A</v>
      </c>
    </row>
    <row r="94" spans="4:5" x14ac:dyDescent="0.25">
      <c r="D94" s="7" t="e">
        <f>+LOOKUP(A94,Preguntas!$A$1:$A$2979,Preguntas!$B$1:$B$2979)</f>
        <v>#N/A</v>
      </c>
      <c r="E94" s="7" t="e">
        <f>+LOOKUP(A94+B94,Preguntas!$A$1:$A$2979,Preguntas!$B$1:$B$2979)</f>
        <v>#N/A</v>
      </c>
    </row>
    <row r="95" spans="4:5" x14ac:dyDescent="0.25">
      <c r="D95" s="7" t="e">
        <f>+LOOKUP(A95,Preguntas!$A$1:$A$2979,Preguntas!$B$1:$B$2979)</f>
        <v>#N/A</v>
      </c>
      <c r="E95" s="7" t="e">
        <f>+LOOKUP(A95+B95,Preguntas!$A$1:$A$2979,Preguntas!$B$1:$B$2979)</f>
        <v>#N/A</v>
      </c>
    </row>
    <row r="96" spans="4:5" x14ac:dyDescent="0.25">
      <c r="D96" s="7" t="e">
        <f>+LOOKUP(A96,Preguntas!$A$1:$A$2979,Preguntas!$B$1:$B$2979)</f>
        <v>#N/A</v>
      </c>
      <c r="E96" s="7" t="e">
        <f>+LOOKUP(A96+B96,Preguntas!$A$1:$A$2979,Preguntas!$B$1:$B$2979)</f>
        <v>#N/A</v>
      </c>
    </row>
    <row r="97" spans="4:5" x14ac:dyDescent="0.25">
      <c r="D97" s="7" t="e">
        <f>+LOOKUP(A97,Preguntas!$A$1:$A$2979,Preguntas!$B$1:$B$2979)</f>
        <v>#N/A</v>
      </c>
      <c r="E97" s="7" t="e">
        <f>+LOOKUP(A97+B97,Preguntas!$A$1:$A$2979,Preguntas!$B$1:$B$2979)</f>
        <v>#N/A</v>
      </c>
    </row>
    <row r="98" spans="4:5" x14ac:dyDescent="0.25">
      <c r="D98" s="7" t="e">
        <f>+LOOKUP(A98,Preguntas!$A$1:$A$2979,Preguntas!$B$1:$B$2979)</f>
        <v>#N/A</v>
      </c>
      <c r="E98" s="7" t="e">
        <f>+LOOKUP(A98+B98,Preguntas!$A$1:$A$2979,Preguntas!$B$1:$B$2979)</f>
        <v>#N/A</v>
      </c>
    </row>
    <row r="99" spans="4:5" x14ac:dyDescent="0.25">
      <c r="D99" s="7" t="e">
        <f>+LOOKUP(A99,Preguntas!$A$1:$A$2979,Preguntas!$B$1:$B$2979)</f>
        <v>#N/A</v>
      </c>
      <c r="E99" s="7" t="e">
        <f>+LOOKUP(A99+B99,Preguntas!$A$1:$A$2979,Preguntas!$B$1:$B$2979)</f>
        <v>#N/A</v>
      </c>
    </row>
    <row r="100" spans="4:5" x14ac:dyDescent="0.25">
      <c r="D100" s="7" t="e">
        <f>+LOOKUP(A100,Preguntas!$A$1:$A$2979,Preguntas!$B$1:$B$2979)</f>
        <v>#N/A</v>
      </c>
      <c r="E100" s="7" t="e">
        <f>+LOOKUP(A100+B100,Preguntas!$A$1:$A$2979,Preguntas!$B$1:$B$2979)</f>
        <v>#N/A</v>
      </c>
    </row>
    <row r="101" spans="4:5" x14ac:dyDescent="0.25">
      <c r="D101" s="7" t="e">
        <f>+LOOKUP(A101,Preguntas!$A$1:$A$2979,Preguntas!$B$1:$B$2979)</f>
        <v>#N/A</v>
      </c>
      <c r="E101" s="7" t="e">
        <f>+LOOKUP(A101+B101,Preguntas!$A$1:$A$2979,Preguntas!$B$1:$B$2979)</f>
        <v>#N/A</v>
      </c>
    </row>
    <row r="102" spans="4:5" x14ac:dyDescent="0.25">
      <c r="D102" s="7" t="e">
        <f>+LOOKUP(A102,Preguntas!$A$1:$A$2979,Preguntas!$B$1:$B$2979)</f>
        <v>#N/A</v>
      </c>
      <c r="E102" s="7" t="e">
        <f>+LOOKUP(A102+B102,Preguntas!$A$1:$A$2979,Preguntas!$B$1:$B$2979)</f>
        <v>#N/A</v>
      </c>
    </row>
    <row r="103" spans="4:5" x14ac:dyDescent="0.25">
      <c r="D103" s="7" t="e">
        <f>+LOOKUP(A103,Preguntas!$A$1:$A$2979,Preguntas!$B$1:$B$2979)</f>
        <v>#N/A</v>
      </c>
      <c r="E103" s="7" t="e">
        <f>+LOOKUP(A103+B103,Preguntas!$A$1:$A$2979,Preguntas!$B$1:$B$2979)</f>
        <v>#N/A</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6</vt:i4>
      </vt:variant>
    </vt:vector>
  </HeadingPairs>
  <TitlesOfParts>
    <vt:vector size="6" baseType="lpstr">
      <vt:lpstr>control</vt:lpstr>
      <vt:lpstr>Preguntas</vt:lpstr>
      <vt:lpstr>Configuración</vt:lpstr>
      <vt:lpstr>EXAMEN</vt:lpstr>
      <vt:lpstr>Respuestas</vt:lpstr>
      <vt:lpstr>Respuestas2</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lcaravaggio</dc:creator>
  <cp:lastModifiedBy>Leonardo Caravaggio</cp:lastModifiedBy>
  <dcterms:created xsi:type="dcterms:W3CDTF">2012-11-19T13:53:09Z</dcterms:created>
  <dcterms:modified xsi:type="dcterms:W3CDTF">2016-10-07T20:10:46Z</dcterms:modified>
</cp:coreProperties>
</file>